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bookViews>
    <workbookView xWindow="0" yWindow="0" windowWidth="28800" windowHeight="12330" activeTab="1"/>
  </bookViews>
  <sheets>
    <sheet name="Sin Coser" sheetId="1" r:id="rId1"/>
    <sheet name="Cosidos" sheetId="2" r:id="rId2"/>
    <sheet name="Enviado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3" i="3"/>
</calcChain>
</file>

<file path=xl/sharedStrings.xml><?xml version="1.0" encoding="utf-8"?>
<sst xmlns="http://schemas.openxmlformats.org/spreadsheetml/2006/main" count="28" uniqueCount="9">
  <si>
    <t>Artículo</t>
  </si>
  <si>
    <t>Artículo descripción</t>
  </si>
  <si>
    <t>Talle</t>
  </si>
  <si>
    <t>BORCEGUI  R.LION WATERPROOF SD-250137</t>
  </si>
  <si>
    <t>FECHA</t>
  </si>
  <si>
    <t>Cant</t>
  </si>
  <si>
    <t>REMITO Nª</t>
  </si>
  <si>
    <t>TALLE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</si>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</sst>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/>
    <xf numFmtId="16" fontId="0" fillId="0" borderId="0" xfId="0" applyNumberFormat="1" applyFont="1" applyFill="1"/>
    <xf numFmtId="0" fontId="1" fillId="0" borderId="0" xfId="0" applyFont="1"/>
    <xf numFmtId="14" fontId="1" fillId="0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9"/>
  <sheetViews>
    <sheetView workbookViewId="0">
      <selection activeCell="D17" sqref="D17:D18"/>
    </sheetView>
  </sheetViews>
  <sheetFormatPr baseColWidth="10" defaultRowHeight="15" x14ac:dyDescent="0.25"/>
  <cols>
    <col min="1" max="1" width="12.28515625" bestFit="1" customWidth="1"/>
    <col min="2" max="2" width="57.140625" bestFit="1" customWidth="1"/>
    <col min="3" max="3" width="7.140625" bestFit="1" customWidth="1"/>
    <col min="4" max="4" width="6.85546875" bestFit="1" customWidth="1"/>
  </cols>
  <sheetData>
    <row r="1" spans="1:4" ht="21" x14ac:dyDescent="0.35">
      <c r="A1" s="7" t="s">
        <v>0</v>
      </c>
      <c r="B1" s="7" t="s">
        <v>1</v>
      </c>
      <c r="C1" s="7" t="s">
        <v>2</v>
      </c>
      <c r="D1" s="7" t="s">
        <v>5</v>
      </c>
    </row>
    <row r="2" spans="1:4" ht="21" x14ac:dyDescent="0.35">
      <c r="A2" s="6">
        <v>8205137</v>
      </c>
      <c r="B2" s="6" t="s">
        <v>3</v>
      </c>
      <c r="C2" s="6">
        <v>36</v>
      </c>
      <c r="D2" s="10">
        <f>3-SUM(Enviados!B$3:B$21)</f>
        <v>1</v>
      </c>
    </row>
    <row r="3" spans="1:4" ht="21" x14ac:dyDescent="0.35">
      <c r="A3" s="6">
        <v>8205137</v>
      </c>
      <c r="B3" s="6" t="s">
        <v>3</v>
      </c>
      <c r="C3" s="6">
        <v>37</v>
      </c>
      <c r="D3" s="10">
        <f>54-SUM(Enviados!C$3:C$21)</f>
        <v>52</v>
      </c>
    </row>
    <row r="4" spans="1:4" ht="21" x14ac:dyDescent="0.35">
      <c r="A4" s="6">
        <v>8205137</v>
      </c>
      <c r="B4" s="6" t="s">
        <v>3</v>
      </c>
      <c r="C4" s="6">
        <v>38</v>
      </c>
      <c r="D4" s="10">
        <f>38-SUM(Enviados!D$3:D$21)</f>
        <v>36</v>
      </c>
    </row>
    <row r="5" spans="1:4" ht="21" x14ac:dyDescent="0.35">
      <c r="A5" s="6">
        <v>8205137</v>
      </c>
      <c r="B5" s="6" t="s">
        <v>3</v>
      </c>
      <c r="C5" s="6">
        <v>39</v>
      </c>
      <c r="D5" s="10">
        <f>47-SUM(Enviados!E$3:E$21)</f>
        <v>44</v>
      </c>
    </row>
    <row r="6" spans="1:4" ht="21" x14ac:dyDescent="0.35">
      <c r="A6" s="6">
        <v>8205137</v>
      </c>
      <c r="B6" s="6" t="s">
        <v>3</v>
      </c>
      <c r="C6" s="6">
        <v>40</v>
      </c>
      <c r="D6" s="10">
        <f>53-SUM(Enviados!F$3:F$21)</f>
        <v>50</v>
      </c>
    </row>
    <row r="7" spans="1:4" ht="21" x14ac:dyDescent="0.35">
      <c r="A7" s="6">
        <v>8205137</v>
      </c>
      <c r="B7" s="6" t="s">
        <v>3</v>
      </c>
      <c r="C7" s="6">
        <v>41</v>
      </c>
      <c r="D7" s="10">
        <f>51-SUM(Enviados!G$3:G$21)</f>
        <v>48</v>
      </c>
    </row>
    <row r="8" spans="1:4" ht="21" x14ac:dyDescent="0.35">
      <c r="A8" s="6">
        <v>8205137</v>
      </c>
      <c r="B8" s="6" t="s">
        <v>3</v>
      </c>
      <c r="C8" s="6">
        <v>42</v>
      </c>
      <c r="D8" s="10">
        <f>63-SUM(Enviados!H$3:H$21)</f>
        <v>60</v>
      </c>
    </row>
    <row r="9" spans="1:4" ht="21" x14ac:dyDescent="0.35">
      <c r="A9" s="6">
        <v>8205137</v>
      </c>
      <c r="B9" s="6" t="s">
        <v>3</v>
      </c>
      <c r="C9" s="6">
        <v>43</v>
      </c>
      <c r="D9" s="10">
        <f>43-SUM(Enviados!I$3:I$21)</f>
        <v>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9"/>
  <sheetViews>
    <sheetView tabSelected="1" workbookViewId="0">
      <selection activeCell="G7" sqref="G7"/>
    </sheetView>
  </sheetViews>
  <sheetFormatPr baseColWidth="10" defaultColWidth="8.42578125" defaultRowHeight="15" x14ac:dyDescent="0.25"/>
  <cols>
    <col min="1" max="1" width="12.28515625" bestFit="1" customWidth="1"/>
    <col min="2" max="2" width="57.140625" bestFit="1" customWidth="1"/>
    <col min="3" max="3" width="7.140625" bestFit="1" customWidth="1"/>
    <col min="4" max="4" width="6.85546875" bestFit="1" customWidth="1"/>
  </cols>
  <sheetData>
    <row r="1" spans="1:4" ht="21" x14ac:dyDescent="0.35">
      <c r="A1" s="7" t="s">
        <v>0</v>
      </c>
      <c r="B1" s="7" t="s">
        <v>1</v>
      </c>
      <c r="C1" s="7" t="s">
        <v>2</v>
      </c>
      <c r="D1" s="7" t="s">
        <v>5</v>
      </c>
    </row>
    <row r="2" spans="1:4" ht="21" x14ac:dyDescent="0.35">
      <c r="A2" s="6">
        <v>8205137</v>
      </c>
      <c r="B2" s="6" t="s">
        <v>3</v>
      </c>
      <c r="C2" s="6">
        <v>36</v>
      </c>
      <c r="D2" s="6"/>
    </row>
    <row r="3" spans="1:4" ht="21" x14ac:dyDescent="0.35">
      <c r="A3" s="6">
        <v>8205137</v>
      </c>
      <c r="B3" s="6" t="s">
        <v>3</v>
      </c>
      <c r="C3" s="6">
        <v>37</v>
      </c>
      <c r="D3" s="6"/>
    </row>
    <row r="4" spans="1:4" ht="21" x14ac:dyDescent="0.35">
      <c r="A4" s="6">
        <v>8205137</v>
      </c>
      <c r="B4" s="6" t="s">
        <v>3</v>
      </c>
      <c r="C4" s="6">
        <v>38</v>
      </c>
      <c r="D4" s="6"/>
    </row>
    <row r="5" spans="1:4" ht="21" x14ac:dyDescent="0.35">
      <c r="A5" s="6">
        <v>8205137</v>
      </c>
      <c r="B5" s="6" t="s">
        <v>3</v>
      </c>
      <c r="C5" s="6">
        <v>39</v>
      </c>
      <c r="D5" s="6"/>
    </row>
    <row r="6" spans="1:4" ht="21" x14ac:dyDescent="0.35">
      <c r="A6" s="6">
        <v>8205137</v>
      </c>
      <c r="B6" s="6" t="s">
        <v>3</v>
      </c>
      <c r="C6" s="6">
        <v>40</v>
      </c>
      <c r="D6" s="6"/>
    </row>
    <row r="7" spans="1:4" ht="21" x14ac:dyDescent="0.35">
      <c r="A7" s="6">
        <v>8205137</v>
      </c>
      <c r="B7" s="6" t="s">
        <v>3</v>
      </c>
      <c r="C7" s="6">
        <v>41</v>
      </c>
      <c r="D7" s="6"/>
    </row>
    <row r="8" spans="1:4" ht="21" x14ac:dyDescent="0.35">
      <c r="A8" s="6">
        <v>8205137</v>
      </c>
      <c r="B8" s="6" t="s">
        <v>3</v>
      </c>
      <c r="C8" s="6">
        <v>42</v>
      </c>
      <c r="D8" s="6"/>
    </row>
    <row r="9" spans="1:4" ht="21" x14ac:dyDescent="0.35">
      <c r="A9" s="6">
        <v>8205137</v>
      </c>
      <c r="B9" s="6" t="s">
        <v>3</v>
      </c>
      <c r="C9" s="6">
        <v>43</v>
      </c>
      <c r="D9" s="6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42"/>
  <sheetViews>
    <sheetView workbookViewId="0">
      <selection activeCell="F13" sqref="F13"/>
    </sheetView>
  </sheetViews>
  <sheetFormatPr baseColWidth="10" defaultRowHeight="15" x14ac:dyDescent="0.25"/>
  <cols>
    <col min="1" max="1" width="16.140625" customWidth="1"/>
    <col min="2" max="9" width="4.42578125" bestFit="1" customWidth="1"/>
    <col min="10" max="10" width="9.28515625" bestFit="1" customWidth="1"/>
    <col min="11" max="11" width="15.28515625" bestFit="1" customWidth="1"/>
  </cols>
  <sheetData>
    <row r="1" spans="1:11" ht="21" x14ac:dyDescent="0.35">
      <c r="A1" s="3"/>
      <c r="B1" s="9" t="s">
        <v>7</v>
      </c>
      <c r="C1" s="9"/>
      <c r="D1" s="9"/>
      <c r="E1" s="9"/>
      <c r="F1" s="9"/>
      <c r="G1" s="9"/>
      <c r="H1" s="9"/>
      <c r="I1" s="9"/>
      <c r="J1" s="3"/>
      <c r="K1" s="3"/>
    </row>
    <row r="2" spans="1:11" ht="21" x14ac:dyDescent="0.35">
      <c r="A2" s="7" t="s">
        <v>4</v>
      </c>
      <c r="B2" s="7">
        <v>36</v>
      </c>
      <c r="C2" s="7">
        <v>37</v>
      </c>
      <c r="D2" s="7">
        <v>38</v>
      </c>
      <c r="E2" s="7">
        <v>39</v>
      </c>
      <c r="F2" s="7">
        <v>40</v>
      </c>
      <c r="G2" s="7">
        <v>41</v>
      </c>
      <c r="H2" s="7">
        <v>42</v>
      </c>
      <c r="I2" s="7">
        <v>43</v>
      </c>
      <c r="J2" s="7" t="s">
        <v>8</v>
      </c>
      <c r="K2" s="8" t="s">
        <v>6</v>
      </c>
    </row>
    <row r="3" spans="1:11" ht="21" x14ac:dyDescent="0.35">
      <c r="A3" s="4">
        <v>46051</v>
      </c>
      <c r="B3" s="5">
        <v>2</v>
      </c>
      <c r="C3" s="5">
        <v>2</v>
      </c>
      <c r="D3" s="5">
        <v>2</v>
      </c>
      <c r="E3" s="5">
        <v>3</v>
      </c>
      <c r="F3" s="5">
        <v>3</v>
      </c>
      <c r="G3" s="5">
        <v>3</v>
      </c>
      <c r="H3" s="5">
        <v>3</v>
      </c>
      <c r="I3" s="5">
        <v>2</v>
      </c>
      <c r="J3" s="5">
        <f>IF(SUM(B3:I3)=0,"",SUM(B3:I3))</f>
        <v>20</v>
      </c>
      <c r="K3" s="6"/>
    </row>
    <row r="4" spans="1:11" ht="21" x14ac:dyDescent="0.35">
      <c r="A4" s="4"/>
      <c r="B4" s="5"/>
      <c r="C4" s="5"/>
      <c r="D4" s="5"/>
      <c r="E4" s="5"/>
      <c r="F4" s="5"/>
      <c r="G4" s="5"/>
      <c r="H4" s="5"/>
      <c r="I4" s="5"/>
      <c r="J4" s="5" t="str">
        <f t="shared" ref="J4:J21" si="0">IF(SUM(B4:I4)=0,"",SUM(B4:I4))</f>
        <v/>
      </c>
      <c r="K4" s="6"/>
    </row>
    <row r="5" spans="1:11" ht="21" x14ac:dyDescent="0.35">
      <c r="A5" s="4"/>
      <c r="B5" s="5"/>
      <c r="C5" s="5"/>
      <c r="D5" s="5"/>
      <c r="E5" s="5"/>
      <c r="F5" s="5"/>
      <c r="G5" s="5"/>
      <c r="H5" s="5"/>
      <c r="I5" s="5"/>
      <c r="J5" s="5" t="str">
        <f t="shared" si="0"/>
        <v/>
      </c>
      <c r="K5" s="6"/>
    </row>
    <row r="6" spans="1:11" ht="21" x14ac:dyDescent="0.35">
      <c r="A6" s="4"/>
      <c r="B6" s="5"/>
      <c r="C6" s="5"/>
      <c r="D6" s="5"/>
      <c r="E6" s="5"/>
      <c r="F6" s="5"/>
      <c r="G6" s="5"/>
      <c r="H6" s="5"/>
      <c r="I6" s="5"/>
      <c r="J6" s="5" t="str">
        <f t="shared" si="0"/>
        <v/>
      </c>
      <c r="K6" s="6"/>
    </row>
    <row r="7" spans="1:11" ht="21" x14ac:dyDescent="0.35">
      <c r="A7" s="4"/>
      <c r="B7" s="5"/>
      <c r="C7" s="5"/>
      <c r="D7" s="5"/>
      <c r="E7" s="5"/>
      <c r="F7" s="5"/>
      <c r="G7" s="5"/>
      <c r="H7" s="5"/>
      <c r="I7" s="5"/>
      <c r="J7" s="5" t="str">
        <f t="shared" si="0"/>
        <v/>
      </c>
      <c r="K7" s="6"/>
    </row>
    <row r="8" spans="1:11" ht="21" x14ac:dyDescent="0.35">
      <c r="A8" s="4"/>
      <c r="B8" s="5"/>
      <c r="C8" s="5"/>
      <c r="D8" s="5"/>
      <c r="E8" s="5"/>
      <c r="F8" s="5"/>
      <c r="G8" s="5"/>
      <c r="H8" s="5"/>
      <c r="I8" s="5"/>
      <c r="J8" s="5" t="str">
        <f t="shared" si="0"/>
        <v/>
      </c>
      <c r="K8" s="6"/>
    </row>
    <row r="9" spans="1:11" ht="21" x14ac:dyDescent="0.35">
      <c r="A9" s="4"/>
      <c r="B9" s="5"/>
      <c r="C9" s="5"/>
      <c r="D9" s="5"/>
      <c r="E9" s="5"/>
      <c r="F9" s="5"/>
      <c r="G9" s="5"/>
      <c r="H9" s="5"/>
      <c r="I9" s="5"/>
      <c r="J9" s="5" t="str">
        <f t="shared" si="0"/>
        <v/>
      </c>
      <c r="K9" s="6"/>
    </row>
    <row r="10" spans="1:11" ht="21" x14ac:dyDescent="0.35">
      <c r="A10" s="4"/>
      <c r="B10" s="5"/>
      <c r="C10" s="5"/>
      <c r="D10" s="5"/>
      <c r="E10" s="5"/>
      <c r="F10" s="5"/>
      <c r="G10" s="5"/>
      <c r="H10" s="5"/>
      <c r="I10" s="5"/>
      <c r="J10" s="5" t="str">
        <f t="shared" si="0"/>
        <v/>
      </c>
      <c r="K10" s="6"/>
    </row>
    <row r="11" spans="1:11" ht="21" x14ac:dyDescent="0.35">
      <c r="A11" s="4"/>
      <c r="B11" s="5"/>
      <c r="C11" s="5"/>
      <c r="D11" s="5"/>
      <c r="E11" s="5"/>
      <c r="F11" s="5"/>
      <c r="G11" s="5"/>
      <c r="H11" s="5"/>
      <c r="I11" s="5"/>
      <c r="J11" s="5" t="str">
        <f t="shared" si="0"/>
        <v/>
      </c>
      <c r="K11" s="6"/>
    </row>
    <row r="12" spans="1:11" ht="21" x14ac:dyDescent="0.35">
      <c r="A12" s="4"/>
      <c r="B12" s="5"/>
      <c r="C12" s="5"/>
      <c r="D12" s="5"/>
      <c r="E12" s="5"/>
      <c r="F12" s="5"/>
      <c r="G12" s="5"/>
      <c r="H12" s="5"/>
      <c r="I12" s="5"/>
      <c r="J12" s="5" t="str">
        <f t="shared" si="0"/>
        <v/>
      </c>
      <c r="K12" s="6"/>
    </row>
    <row r="13" spans="1:11" ht="21" x14ac:dyDescent="0.35">
      <c r="A13" s="4"/>
      <c r="B13" s="5"/>
      <c r="C13" s="5"/>
      <c r="D13" s="5"/>
      <c r="E13" s="5"/>
      <c r="F13" s="5"/>
      <c r="G13" s="5"/>
      <c r="H13" s="5"/>
      <c r="I13" s="5"/>
      <c r="J13" s="5" t="str">
        <f t="shared" si="0"/>
        <v/>
      </c>
      <c r="K13" s="6"/>
    </row>
    <row r="14" spans="1:11" ht="21" x14ac:dyDescent="0.35">
      <c r="A14" s="4"/>
      <c r="B14" s="5"/>
      <c r="C14" s="5"/>
      <c r="D14" s="5"/>
      <c r="E14" s="5"/>
      <c r="F14" s="5"/>
      <c r="G14" s="5"/>
      <c r="H14" s="5"/>
      <c r="I14" s="5"/>
      <c r="J14" s="5" t="str">
        <f t="shared" si="0"/>
        <v/>
      </c>
      <c r="K14" s="6"/>
    </row>
    <row r="15" spans="1:11" ht="21" x14ac:dyDescent="0.35">
      <c r="A15" s="4"/>
      <c r="B15" s="5"/>
      <c r="C15" s="5"/>
      <c r="D15" s="5"/>
      <c r="E15" s="5"/>
      <c r="F15" s="5"/>
      <c r="G15" s="5"/>
      <c r="H15" s="5"/>
      <c r="I15" s="5"/>
      <c r="J15" s="5" t="str">
        <f t="shared" si="0"/>
        <v/>
      </c>
      <c r="K15" s="6"/>
    </row>
    <row r="16" spans="1:11" ht="21" x14ac:dyDescent="0.35">
      <c r="A16" s="4"/>
      <c r="B16" s="5"/>
      <c r="C16" s="5"/>
      <c r="D16" s="5"/>
      <c r="E16" s="5"/>
      <c r="F16" s="5"/>
      <c r="G16" s="5"/>
      <c r="H16" s="5"/>
      <c r="I16" s="5"/>
      <c r="J16" s="5" t="str">
        <f t="shared" si="0"/>
        <v/>
      </c>
      <c r="K16" s="6"/>
    </row>
    <row r="17" spans="1:11" ht="21" x14ac:dyDescent="0.35">
      <c r="A17" s="4"/>
      <c r="B17" s="5"/>
      <c r="C17" s="5"/>
      <c r="D17" s="5"/>
      <c r="E17" s="5"/>
      <c r="F17" s="5"/>
      <c r="G17" s="5"/>
      <c r="H17" s="5"/>
      <c r="I17" s="5"/>
      <c r="J17" s="5" t="str">
        <f t="shared" si="0"/>
        <v/>
      </c>
      <c r="K17" s="6"/>
    </row>
    <row r="18" spans="1:11" ht="21" x14ac:dyDescent="0.35">
      <c r="A18" s="4"/>
      <c r="B18" s="5"/>
      <c r="C18" s="5"/>
      <c r="D18" s="5"/>
      <c r="E18" s="5"/>
      <c r="F18" s="5"/>
      <c r="G18" s="5"/>
      <c r="H18" s="5"/>
      <c r="I18" s="5"/>
      <c r="J18" s="5" t="str">
        <f t="shared" si="0"/>
        <v/>
      </c>
      <c r="K18" s="6"/>
    </row>
    <row r="19" spans="1:11" ht="21" x14ac:dyDescent="0.35">
      <c r="A19" s="4"/>
      <c r="B19" s="5"/>
      <c r="C19" s="5"/>
      <c r="D19" s="5"/>
      <c r="E19" s="5"/>
      <c r="F19" s="5"/>
      <c r="G19" s="5"/>
      <c r="H19" s="5"/>
      <c r="I19" s="5"/>
      <c r="J19" s="5" t="str">
        <f t="shared" si="0"/>
        <v/>
      </c>
      <c r="K19" s="6"/>
    </row>
    <row r="20" spans="1:11" ht="21" x14ac:dyDescent="0.35">
      <c r="A20" s="4"/>
      <c r="B20" s="5"/>
      <c r="C20" s="5"/>
      <c r="D20" s="5"/>
      <c r="E20" s="5"/>
      <c r="F20" s="5"/>
      <c r="G20" s="5"/>
      <c r="H20" s="5"/>
      <c r="I20" s="5"/>
      <c r="J20" s="5" t="str">
        <f t="shared" si="0"/>
        <v/>
      </c>
      <c r="K20" s="6"/>
    </row>
    <row r="21" spans="1:11" ht="21" x14ac:dyDescent="0.35">
      <c r="A21" s="4"/>
      <c r="B21" s="5"/>
      <c r="C21" s="5"/>
      <c r="D21" s="5"/>
      <c r="E21" s="5"/>
      <c r="F21" s="5"/>
      <c r="G21" s="5"/>
      <c r="H21" s="5"/>
      <c r="I21" s="5"/>
      <c r="J21" s="5" t="str">
        <f t="shared" si="0"/>
        <v/>
      </c>
      <c r="K21" s="6"/>
    </row>
    <row r="22" spans="1:1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</row>
    <row r="23" spans="1:1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</row>
    <row r="24" spans="1:1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</row>
    <row r="25" spans="1:1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</row>
    <row r="26" spans="1:1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</row>
    <row r="27" spans="1:1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</row>
    <row r="28" spans="1:1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</row>
    <row r="29" spans="1:1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</row>
    <row r="30" spans="1:1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</row>
    <row r="31" spans="1:1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</row>
    <row r="32" spans="1:1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</row>
  </sheetData>
  <mergeCells count="1">
    <mergeCell ref="B1: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Sin Coser</vt:lpstr>
      <vt:lpstr>Cosidos</vt:lpstr>
      <vt:lpstr>Enviados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 21h1</dc:creator>
  <cp:lastModifiedBy>EDGARD</cp:lastModifiedBy>
  <dcterms:created xsi:type="dcterms:W3CDTF">2026-01-29T18:24:02Z</dcterms:created>
  <dcterms:modified xsi:type="dcterms:W3CDTF">2026-02-18T20:23:07Z</dcterms:modified>
</cp:coreProperties>
</file>