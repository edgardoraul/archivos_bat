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0490" windowHeight="7095" firstSheet="1" activeTab="3"/>
  </bookViews>
  <sheets>
    <sheet name="PLANILLA" sheetId="11" r:id="rId1"/>
    <sheet name="TOTALES" sheetId="2" r:id="rId2"/>
    <sheet name="SEPARADOS" sheetId="12" r:id="rId3"/>
    <sheet name="CAMISA MC" sheetId="4" r:id="rId4"/>
    <sheet name="CAMPERA" sheetId="5" r:id="rId5"/>
    <sheet name="GORRA" sheetId="6" r:id="rId6"/>
    <sheet name="PANTALON" sheetId="7" r:id="rId7"/>
    <sheet name="REMERA" sheetId="8" r:id="rId8"/>
    <sheet name="TRICOTA" sheetId="9" r:id="rId9"/>
    <sheet name="ZAPATOS" sheetId="10" r:id="rId10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4" i="12" l="1"/>
  <c r="S5" i="12"/>
  <c r="S6" i="12"/>
  <c r="S7" i="12"/>
  <c r="S8" i="12"/>
  <c r="S9" i="12"/>
  <c r="S10" i="12"/>
  <c r="S11" i="12"/>
  <c r="S12" i="12"/>
  <c r="S13" i="12"/>
  <c r="S14" i="12"/>
  <c r="S15" i="12"/>
  <c r="S16" i="12"/>
  <c r="S17" i="12"/>
  <c r="S18" i="12"/>
  <c r="S19" i="12"/>
  <c r="S20" i="12"/>
  <c r="S21" i="12"/>
  <c r="S22" i="12"/>
  <c r="S23" i="12"/>
  <c r="S24" i="12"/>
  <c r="S25" i="12"/>
  <c r="S26" i="12"/>
  <c r="S27" i="12"/>
  <c r="S28" i="12"/>
  <c r="S29" i="12"/>
  <c r="P4" i="12"/>
  <c r="P5" i="12"/>
  <c r="P6" i="12"/>
  <c r="P7" i="12"/>
  <c r="P8" i="12"/>
  <c r="P9" i="12"/>
  <c r="P10" i="12"/>
  <c r="P11" i="12"/>
  <c r="P12" i="12"/>
  <c r="P13" i="12"/>
  <c r="P14" i="12"/>
  <c r="P15" i="12"/>
  <c r="M4" i="12"/>
  <c r="M5" i="12"/>
  <c r="M6" i="12"/>
  <c r="M7" i="12"/>
  <c r="M8" i="12"/>
  <c r="M9" i="12"/>
  <c r="M10" i="12"/>
  <c r="M11" i="12"/>
  <c r="M12" i="12"/>
  <c r="M13" i="12"/>
  <c r="M14" i="12"/>
  <c r="M15" i="12"/>
  <c r="J4" i="12"/>
  <c r="J5" i="12"/>
  <c r="J6" i="12"/>
  <c r="J7" i="12"/>
  <c r="J8" i="12"/>
  <c r="J9" i="12"/>
  <c r="J10" i="12"/>
  <c r="J11" i="12"/>
  <c r="J12" i="12"/>
  <c r="J13" i="12"/>
  <c r="J14" i="12"/>
  <c r="J15" i="12"/>
  <c r="J16" i="12"/>
  <c r="J17" i="12"/>
  <c r="J18" i="12"/>
  <c r="J19" i="12"/>
  <c r="J20" i="12"/>
  <c r="J21" i="12"/>
  <c r="S3" i="12"/>
  <c r="P3" i="12"/>
  <c r="M3" i="12"/>
  <c r="J3" i="12"/>
  <c r="G4" i="12"/>
  <c r="G5" i="12"/>
  <c r="G6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3" i="12"/>
  <c r="D4" i="12"/>
  <c r="D5" i="12"/>
  <c r="D6" i="12"/>
  <c r="D7" i="12"/>
  <c r="D8" i="12"/>
  <c r="D9" i="12"/>
  <c r="D10" i="12"/>
  <c r="D11" i="12"/>
  <c r="D12" i="12"/>
  <c r="D13" i="12"/>
  <c r="D14" i="12"/>
  <c r="D15" i="12"/>
  <c r="D3" i="12"/>
  <c r="A4" i="12"/>
  <c r="A5" i="12"/>
  <c r="A6" i="12"/>
  <c r="A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21" i="12"/>
  <c r="A3" i="12"/>
  <c r="S2" i="12"/>
  <c r="P2" i="12"/>
  <c r="M2" i="12"/>
  <c r="J2" i="12"/>
  <c r="G2" i="12"/>
  <c r="D2" i="12"/>
  <c r="A2" i="12"/>
  <c r="C5" i="10" l="1"/>
  <c r="C6" i="10"/>
  <c r="C7" i="10"/>
  <c r="D7" i="10" s="1"/>
  <c r="C8" i="10"/>
  <c r="D8" i="10" s="1"/>
  <c r="C9" i="10"/>
  <c r="C10" i="10"/>
  <c r="C11" i="10"/>
  <c r="C12" i="10"/>
  <c r="D12" i="10" s="1"/>
  <c r="C13" i="10"/>
  <c r="C14" i="10"/>
  <c r="C15" i="10"/>
  <c r="C16" i="10"/>
  <c r="D16" i="10" s="1"/>
  <c r="C17" i="10"/>
  <c r="C18" i="10"/>
  <c r="C19" i="10"/>
  <c r="C20" i="10"/>
  <c r="D20" i="10" s="1"/>
  <c r="C21" i="10"/>
  <c r="C22" i="10"/>
  <c r="C23" i="10"/>
  <c r="D23" i="10" s="1"/>
  <c r="C24" i="10"/>
  <c r="D24" i="10" s="1"/>
  <c r="C25" i="10"/>
  <c r="C26" i="10"/>
  <c r="C27" i="10"/>
  <c r="D27" i="10" s="1"/>
  <c r="C28" i="10"/>
  <c r="D28" i="10" s="1"/>
  <c r="C29" i="10"/>
  <c r="C4" i="10"/>
  <c r="B5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4" i="10"/>
  <c r="C5" i="9"/>
  <c r="C6" i="9"/>
  <c r="C7" i="9"/>
  <c r="C8" i="9"/>
  <c r="C9" i="9"/>
  <c r="C10" i="9"/>
  <c r="C11" i="9"/>
  <c r="C12" i="9"/>
  <c r="C13" i="9"/>
  <c r="C14" i="9"/>
  <c r="C15" i="9"/>
  <c r="D15" i="9" s="1"/>
  <c r="C4" i="9"/>
  <c r="D3" i="10"/>
  <c r="C3" i="10"/>
  <c r="B3" i="10"/>
  <c r="A3" i="10"/>
  <c r="D3" i="9"/>
  <c r="C3" i="9"/>
  <c r="B3" i="9"/>
  <c r="A3" i="9"/>
  <c r="D3" i="8"/>
  <c r="C3" i="8"/>
  <c r="B3" i="8"/>
  <c r="A3" i="8"/>
  <c r="D3" i="7"/>
  <c r="C3" i="7"/>
  <c r="B3" i="7"/>
  <c r="A3" i="7"/>
  <c r="D3" i="6"/>
  <c r="C3" i="6"/>
  <c r="B3" i="6"/>
  <c r="A3" i="6"/>
  <c r="B3" i="5"/>
  <c r="C3" i="5"/>
  <c r="D3" i="5"/>
  <c r="A3" i="5"/>
  <c r="B5" i="9"/>
  <c r="B6" i="9"/>
  <c r="B7" i="9"/>
  <c r="B8" i="9"/>
  <c r="B9" i="9"/>
  <c r="B10" i="9"/>
  <c r="B11" i="9"/>
  <c r="B12" i="9"/>
  <c r="B13" i="9"/>
  <c r="B14" i="9"/>
  <c r="B15" i="9"/>
  <c r="B4" i="9"/>
  <c r="C5" i="8"/>
  <c r="C6" i="8"/>
  <c r="C7" i="8"/>
  <c r="C8" i="8"/>
  <c r="C9" i="8"/>
  <c r="C10" i="8"/>
  <c r="C11" i="8"/>
  <c r="C12" i="8"/>
  <c r="C13" i="8"/>
  <c r="C14" i="8"/>
  <c r="D14" i="8" s="1"/>
  <c r="C15" i="8"/>
  <c r="C4" i="8"/>
  <c r="B5" i="8"/>
  <c r="B6" i="8"/>
  <c r="B7" i="8"/>
  <c r="B8" i="8"/>
  <c r="B9" i="8"/>
  <c r="B10" i="8"/>
  <c r="B11" i="8"/>
  <c r="B12" i="8"/>
  <c r="B13" i="8"/>
  <c r="B14" i="8"/>
  <c r="B15" i="8"/>
  <c r="B4" i="8"/>
  <c r="C5" i="7"/>
  <c r="D5" i="7" s="1"/>
  <c r="C6" i="7"/>
  <c r="C7" i="7"/>
  <c r="C8" i="7"/>
  <c r="D8" i="7" s="1"/>
  <c r="C9" i="7"/>
  <c r="C10" i="7"/>
  <c r="C11" i="7"/>
  <c r="C12" i="7"/>
  <c r="D12" i="7" s="1"/>
  <c r="C13" i="7"/>
  <c r="C14" i="7"/>
  <c r="C15" i="7"/>
  <c r="C16" i="7"/>
  <c r="D16" i="7" s="1"/>
  <c r="C17" i="7"/>
  <c r="C18" i="7"/>
  <c r="C19" i="7"/>
  <c r="D19" i="7" s="1"/>
  <c r="C20" i="7"/>
  <c r="D20" i="7" s="1"/>
  <c r="C21" i="7"/>
  <c r="D21" i="7" s="1"/>
  <c r="C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4" i="7"/>
  <c r="B22" i="7" s="1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4" i="6"/>
  <c r="C9" i="4"/>
  <c r="C5" i="5"/>
  <c r="C6" i="5"/>
  <c r="C7" i="5"/>
  <c r="C8" i="5"/>
  <c r="C9" i="5"/>
  <c r="C10" i="5"/>
  <c r="C11" i="5"/>
  <c r="C12" i="5"/>
  <c r="C13" i="5"/>
  <c r="C14" i="5"/>
  <c r="C15" i="5"/>
  <c r="C4" i="5"/>
  <c r="B5" i="5"/>
  <c r="B6" i="5"/>
  <c r="B7" i="5"/>
  <c r="B8" i="5"/>
  <c r="B9" i="5"/>
  <c r="B10" i="5"/>
  <c r="B11" i="5"/>
  <c r="B12" i="5"/>
  <c r="B13" i="5"/>
  <c r="B14" i="5"/>
  <c r="B15" i="5"/>
  <c r="B4" i="5"/>
  <c r="B16" i="5" s="1"/>
  <c r="C5" i="4"/>
  <c r="C6" i="4"/>
  <c r="C7" i="4"/>
  <c r="C8" i="4"/>
  <c r="C10" i="4"/>
  <c r="C11" i="4"/>
  <c r="C12" i="4"/>
  <c r="C13" i="4"/>
  <c r="D13" i="4" s="1"/>
  <c r="C14" i="4"/>
  <c r="C15" i="4"/>
  <c r="C16" i="4"/>
  <c r="D16" i="4" s="1"/>
  <c r="C17" i="4"/>
  <c r="D17" i="4" s="1"/>
  <c r="C18" i="4"/>
  <c r="C19" i="4"/>
  <c r="C20" i="4"/>
  <c r="D20" i="4" s="1"/>
  <c r="C21" i="4"/>
  <c r="D21" i="4" s="1"/>
  <c r="C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4" i="4"/>
  <c r="T30" i="12"/>
  <c r="K22" i="12"/>
  <c r="B22" i="12"/>
  <c r="H20" i="12"/>
  <c r="Q16" i="12"/>
  <c r="N16" i="12"/>
  <c r="E16" i="12"/>
  <c r="A1" i="12"/>
  <c r="A1" i="2"/>
  <c r="B30" i="10" l="1"/>
  <c r="D19" i="10"/>
  <c r="D15" i="10"/>
  <c r="D11" i="10"/>
  <c r="B16" i="9"/>
  <c r="D11" i="9"/>
  <c r="D7" i="9"/>
  <c r="D10" i="8"/>
  <c r="B16" i="8"/>
  <c r="D15" i="7"/>
  <c r="D11" i="7"/>
  <c r="D7" i="7"/>
  <c r="D17" i="7"/>
  <c r="D13" i="7"/>
  <c r="D9" i="7"/>
  <c r="B20" i="6"/>
  <c r="D12" i="4"/>
  <c r="D8" i="4"/>
  <c r="B22" i="4"/>
  <c r="D12" i="5"/>
  <c r="D4" i="6"/>
  <c r="D16" i="6"/>
  <c r="D12" i="6"/>
  <c r="D8" i="6"/>
  <c r="D14" i="9"/>
  <c r="D10" i="9"/>
  <c r="D6" i="9"/>
  <c r="D19" i="4"/>
  <c r="D15" i="4"/>
  <c r="D11" i="4"/>
  <c r="D6" i="4"/>
  <c r="D14" i="5"/>
  <c r="D10" i="5"/>
  <c r="D6" i="5"/>
  <c r="D9" i="4"/>
  <c r="D18" i="6"/>
  <c r="D14" i="6"/>
  <c r="D10" i="6"/>
  <c r="D6" i="6"/>
  <c r="D4" i="8"/>
  <c r="D12" i="8"/>
  <c r="D8" i="8"/>
  <c r="D13" i="9"/>
  <c r="D9" i="9"/>
  <c r="D5" i="9"/>
  <c r="D4" i="10"/>
  <c r="D26" i="10"/>
  <c r="D22" i="10"/>
  <c r="D18" i="10"/>
  <c r="D14" i="10"/>
  <c r="D10" i="10"/>
  <c r="D6" i="10"/>
  <c r="D8" i="5"/>
  <c r="D7" i="4"/>
  <c r="D15" i="5"/>
  <c r="D11" i="5"/>
  <c r="D7" i="5"/>
  <c r="D19" i="6"/>
  <c r="D15" i="6"/>
  <c r="D11" i="6"/>
  <c r="D7" i="6"/>
  <c r="D13" i="8"/>
  <c r="D9" i="8"/>
  <c r="D5" i="8"/>
  <c r="D4" i="4"/>
  <c r="D18" i="4"/>
  <c r="D14" i="4"/>
  <c r="D10" i="4"/>
  <c r="D5" i="4"/>
  <c r="D13" i="5"/>
  <c r="D9" i="5"/>
  <c r="D5" i="5"/>
  <c r="D17" i="6"/>
  <c r="D13" i="6"/>
  <c r="D9" i="6"/>
  <c r="D5" i="6"/>
  <c r="D4" i="7"/>
  <c r="D18" i="7"/>
  <c r="D14" i="7"/>
  <c r="D10" i="7"/>
  <c r="D6" i="7"/>
  <c r="D15" i="8"/>
  <c r="D11" i="8"/>
  <c r="D7" i="8"/>
  <c r="D4" i="9"/>
  <c r="D12" i="9"/>
  <c r="D8" i="9"/>
  <c r="D29" i="10"/>
  <c r="D25" i="10"/>
  <c r="D21" i="10"/>
  <c r="D17" i="10"/>
  <c r="D13" i="10"/>
  <c r="D9" i="10"/>
  <c r="D5" i="10"/>
  <c r="C30" i="10"/>
  <c r="C16" i="9"/>
  <c r="C16" i="8"/>
  <c r="D6" i="8"/>
  <c r="C22" i="7"/>
  <c r="C20" i="6"/>
  <c r="C16" i="5"/>
  <c r="D4" i="5"/>
  <c r="C22" i="4"/>
  <c r="D22" i="7" l="1"/>
  <c r="D16" i="8"/>
  <c r="D30" i="10"/>
  <c r="D20" i="6"/>
  <c r="D16" i="9"/>
  <c r="D16" i="5"/>
  <c r="D22" i="4"/>
  <c r="K22" i="2"/>
  <c r="T30" i="2"/>
  <c r="Q16" i="2"/>
  <c r="N16" i="2"/>
  <c r="H20" i="2"/>
  <c r="E16" i="2"/>
  <c r="B22" i="2"/>
</calcChain>
</file>

<file path=xl/sharedStrings.xml><?xml version="1.0" encoding="utf-8"?>
<sst xmlns="http://schemas.openxmlformats.org/spreadsheetml/2006/main" count="387" uniqueCount="104">
  <si>
    <t>GORRA</t>
  </si>
  <si>
    <t>L</t>
  </si>
  <si>
    <t>M</t>
  </si>
  <si>
    <t>XL</t>
  </si>
  <si>
    <t>S</t>
  </si>
  <si>
    <t>XS</t>
  </si>
  <si>
    <t>XXL</t>
  </si>
  <si>
    <t>3XL</t>
  </si>
  <si>
    <t>XXS</t>
  </si>
  <si>
    <t>ZAPATOS</t>
  </si>
  <si>
    <t>PANTALON</t>
  </si>
  <si>
    <t>CAMPERA</t>
  </si>
  <si>
    <t>REMERA</t>
  </si>
  <si>
    <t>TRICOTA</t>
  </si>
  <si>
    <t>D.N.I.</t>
  </si>
  <si>
    <t>PIN</t>
  </si>
  <si>
    <t>4XL</t>
  </si>
  <si>
    <t>5XL</t>
  </si>
  <si>
    <t>3XS</t>
  </si>
  <si>
    <t>6XL</t>
  </si>
  <si>
    <t>TALLES</t>
  </si>
  <si>
    <t>TOTALES</t>
  </si>
  <si>
    <t>N°</t>
  </si>
  <si>
    <t>SEPARADOS</t>
  </si>
  <si>
    <t>FALTANTES</t>
  </si>
  <si>
    <t>ACEVEDO RAUL</t>
  </si>
  <si>
    <t>ACEVEDO LEANDRO</t>
  </si>
  <si>
    <t>ANDRADA OSCAR</t>
  </si>
  <si>
    <t>ANDRES DARIO</t>
  </si>
  <si>
    <t>ARANCIBIA CLAUDIA</t>
  </si>
  <si>
    <t>BASUALDO LUCAS</t>
  </si>
  <si>
    <t>BELTRAMO JORGE</t>
  </si>
  <si>
    <t>CAICEDO MARIO</t>
  </si>
  <si>
    <t>CARRION TAMARA</t>
  </si>
  <si>
    <t>CARRION TATIANA</t>
  </si>
  <si>
    <t>CORONEL LEANDRO</t>
  </si>
  <si>
    <t>CUELLO DORIS</t>
  </si>
  <si>
    <t>DEGIUSEPPE XAVIER</t>
  </si>
  <si>
    <t>DELGADO CLAUDIO</t>
  </si>
  <si>
    <t>DIAZ NICOLAS</t>
  </si>
  <si>
    <t>DUSCIO LEANDRO</t>
  </si>
  <si>
    <t>ESCOBAR JULIETA</t>
  </si>
  <si>
    <t>FERNANDEZ CARLOS</t>
  </si>
  <si>
    <t>FERNANDEZ NOELIA</t>
  </si>
  <si>
    <t>FLORES GONZALO</t>
  </si>
  <si>
    <t>FLORES MARTIN</t>
  </si>
  <si>
    <t>GARCIA MATIAS</t>
  </si>
  <si>
    <t>GASPAR LUIS</t>
  </si>
  <si>
    <t>GATICA LUCIANO</t>
  </si>
  <si>
    <t>GONZALEZ JAVIER</t>
  </si>
  <si>
    <t>GUIDOLIN BRAYAN</t>
  </si>
  <si>
    <t>HERNANDEZ MATIAS</t>
  </si>
  <si>
    <t>KLOSTER SERGIO</t>
  </si>
  <si>
    <t>LEIVA JUAN</t>
  </si>
  <si>
    <t>LORENZO MARCELO</t>
  </si>
  <si>
    <t>LUCERO JAVIER</t>
  </si>
  <si>
    <t>LUJAN MATIAS</t>
  </si>
  <si>
    <t>LUJAN SEBASTIAN</t>
  </si>
  <si>
    <t>MARIN FLAVIA</t>
  </si>
  <si>
    <t>MATURANO NICOLAS</t>
  </si>
  <si>
    <t>MENDEZ LEONARDO</t>
  </si>
  <si>
    <t>MIGUEL AGUSTIN</t>
  </si>
  <si>
    <t>MIRANDA JESUS</t>
  </si>
  <si>
    <t>MORALES JUAN</t>
  </si>
  <si>
    <t>MORAN LUCIANO</t>
  </si>
  <si>
    <t>MUÑOZ PABLO</t>
  </si>
  <si>
    <t>NATEL CRISTIAN</t>
  </si>
  <si>
    <t>NIEVAS DIEGO</t>
  </si>
  <si>
    <t>OJEDA FRANCO</t>
  </si>
  <si>
    <t>OLGUIN MAXIMILIANO</t>
  </si>
  <si>
    <t>ORTIZ CARLOS</t>
  </si>
  <si>
    <t>ORTIZ JUAN</t>
  </si>
  <si>
    <t>PEDERNERA LUIS</t>
  </si>
  <si>
    <t>PEREYRA CARLOS</t>
  </si>
  <si>
    <t>RAMOS JORGE</t>
  </si>
  <si>
    <t>RIERA IGNACIO</t>
  </si>
  <si>
    <t>RODRIGUEZ ELIZABETH</t>
  </si>
  <si>
    <t>ROMERO LEANDRO</t>
  </si>
  <si>
    <t>SAINZ JOAN</t>
  </si>
  <si>
    <t>SALVATIERRA NICOLAS</t>
  </si>
  <si>
    <t>SINGURI ROBERTO</t>
  </si>
  <si>
    <t>SOSA DIEGO</t>
  </si>
  <si>
    <t>SOSA MICAELA</t>
  </si>
  <si>
    <t>TORRES MELISA</t>
  </si>
  <si>
    <t>ULLOA MAXIMILIANO</t>
  </si>
  <si>
    <t>VILCHES VALENTINA</t>
  </si>
  <si>
    <t>ZAPATA JORGE</t>
  </si>
  <si>
    <t>ZARATE MARCO</t>
  </si>
  <si>
    <t>ZULETA ANGEL</t>
  </si>
  <si>
    <t>APELLIDOS Y NOMBRES</t>
  </si>
  <si>
    <t>CAMISA ML</t>
  </si>
  <si>
    <t>CAMISA MC</t>
  </si>
  <si>
    <t>ESC BORD 2</t>
  </si>
  <si>
    <t>GORRA IUSP</t>
  </si>
  <si>
    <t>HEBILLA</t>
  </si>
  <si>
    <t>HOMBRERA</t>
  </si>
  <si>
    <t>NOMB 2</t>
  </si>
  <si>
    <t>PISTOLERA</t>
  </si>
  <si>
    <t>P/CARG</t>
  </si>
  <si>
    <t>RIEL</t>
  </si>
  <si>
    <t>TRABA</t>
  </si>
  <si>
    <t>CINTO</t>
  </si>
  <si>
    <t>CORBATA</t>
  </si>
  <si>
    <t>AGENTES DELEGACION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</si>
</sst>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indexed="23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46">
    <xf numFmtId="0" fontId="0" fillId="0" borderId="0" xfId="0"/>
    <xf numFmtId="0" fontId="0" fillId="0" borderId="0" xfId="0" applyProtection="1">
      <protection locked="0"/>
    </xf>
    <xf numFmtId="0" fontId="1" fillId="0" borderId="1" xfId="0" applyFont="1" applyBorder="1" applyAlignment="1" applyProtection="1">
      <alignment horizontal="center"/>
    </xf>
    <xf numFmtId="0" fontId="1" fillId="0" borderId="1" xfId="1" applyFont="1" applyFill="1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0" fontId="1" fillId="0" borderId="1" xfId="0" applyFont="1" applyBorder="1" applyAlignment="1" applyProtection="1"/>
    <xf numFmtId="0" fontId="0" fillId="0" borderId="0" xfId="0" applyAlignment="1" applyProtection="1">
      <alignment horizontal="center"/>
    </xf>
    <xf numFmtId="0" fontId="0" fillId="0" borderId="0" xfId="0" applyProtection="1"/>
    <xf numFmtId="0" fontId="3" fillId="0" borderId="0" xfId="0" applyFont="1" applyAlignment="1" applyProtection="1"/>
    <xf numFmtId="0" fontId="1" fillId="0" borderId="5" xfId="1" applyFont="1" applyBorder="1" applyAlignment="1" applyProtection="1">
      <alignment horizontal="center"/>
    </xf>
    <xf numFmtId="0" fontId="1" fillId="0" borderId="6" xfId="1" applyFont="1" applyBorder="1" applyAlignment="1" applyProtection="1">
      <alignment horizontal="center"/>
    </xf>
    <xf numFmtId="0" fontId="4" fillId="0" borderId="0" xfId="0" applyFont="1" applyProtection="1">
      <protection locked="0"/>
    </xf>
    <xf numFmtId="0" fontId="0" fillId="0" borderId="0" xfId="0" applyAlignment="1" applyProtection="1">
      <protection locked="0"/>
    </xf>
    <xf numFmtId="0" fontId="5" fillId="0" borderId="0" xfId="0" applyFont="1" applyProtection="1">
      <protection locked="0"/>
    </xf>
    <xf numFmtId="0" fontId="5" fillId="0" borderId="1" xfId="0" applyFont="1" applyBorder="1" applyProtection="1">
      <protection locked="0"/>
    </xf>
    <xf numFmtId="0" fontId="1" fillId="0" borderId="0" xfId="0" applyFont="1" applyFill="1" applyAlignment="1" applyProtection="1"/>
    <xf numFmtId="0" fontId="0" fillId="0" borderId="0" xfId="0" applyFill="1" applyProtection="1"/>
    <xf numFmtId="0" fontId="0" fillId="0" borderId="0" xfId="0" applyFill="1" applyProtection="1">
      <protection locked="0"/>
    </xf>
    <xf numFmtId="0" fontId="0" fillId="0" borderId="0" xfId="0" applyFill="1" applyAlignment="1" applyProtection="1">
      <alignment horizontal="center"/>
    </xf>
    <xf numFmtId="0" fontId="1" fillId="0" borderId="1" xfId="0" applyFont="1" applyFill="1" applyBorder="1" applyAlignment="1" applyProtection="1">
      <alignment horizontal="center"/>
    </xf>
    <xf numFmtId="0" fontId="0" fillId="0" borderId="1" xfId="0" applyFill="1" applyBorder="1" applyAlignment="1" applyProtection="1">
      <alignment horizontal="center"/>
    </xf>
    <xf numFmtId="0" fontId="0" fillId="0" borderId="0" xfId="0" applyFill="1" applyAlignment="1" applyProtection="1">
      <alignment horizontal="center"/>
      <protection locked="0"/>
    </xf>
    <xf numFmtId="0" fontId="1" fillId="0" borderId="1" xfId="0" applyFont="1" applyFill="1" applyBorder="1" applyAlignment="1" applyProtection="1"/>
    <xf numFmtId="0" fontId="0" fillId="0" borderId="0" xfId="0" applyAlignment="1" applyProtection="1">
      <alignment horizontal="center"/>
      <protection locked="0"/>
    </xf>
    <xf numFmtId="0" fontId="2" fillId="0" borderId="1" xfId="1" applyBorder="1" applyAlignment="1">
      <alignment horizontal="center"/>
    </xf>
    <xf numFmtId="0" fontId="2" fillId="0" borderId="3" xfId="1" applyBorder="1" applyAlignment="1" applyProtection="1">
      <alignment horizontal="center"/>
      <protection locked="0"/>
    </xf>
    <xf numFmtId="0" fontId="2" fillId="2" borderId="1" xfId="1" applyFill="1" applyBorder="1" applyAlignment="1" applyProtection="1">
      <alignment horizont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6" fillId="0" borderId="2" xfId="1" applyFont="1" applyBorder="1" applyAlignment="1" applyProtection="1">
      <alignment horizontal="center"/>
    </xf>
    <xf numFmtId="0" fontId="0" fillId="0" borderId="1" xfId="1" applyFont="1" applyFill="1" applyBorder="1" applyAlignment="1" applyProtection="1">
      <alignment horizontal="center"/>
      <protection locked="0"/>
    </xf>
    <xf numFmtId="0" fontId="2" fillId="0" borderId="1" xfId="1" applyFill="1" applyBorder="1" applyAlignment="1" applyProtection="1">
      <alignment horizontal="center"/>
      <protection locked="0"/>
    </xf>
    <xf numFmtId="0" fontId="2" fillId="0" borderId="3" xfId="1" applyBorder="1" applyAlignment="1" applyProtection="1">
      <protection locked="0"/>
    </xf>
    <xf numFmtId="0" fontId="2" fillId="2" borderId="4" xfId="1" applyFont="1" applyFill="1" applyBorder="1" applyAlignment="1" applyProtection="1">
      <alignment horizontal="center"/>
      <protection locked="0"/>
    </xf>
    <xf numFmtId="0" fontId="0" fillId="0" borderId="1" xfId="0" applyFont="1" applyFill="1" applyBorder="1" applyAlignment="1" applyProtection="1">
      <alignment horizontal="center"/>
    </xf>
    <xf numFmtId="0" fontId="2" fillId="0" borderId="4" xfId="1" applyFont="1" applyFill="1" applyBorder="1" applyAlignment="1" applyProtection="1">
      <alignment horizontal="center"/>
      <protection locked="0"/>
    </xf>
    <xf numFmtId="0" fontId="6" fillId="0" borderId="2" xfId="1" applyFont="1" applyBorder="1" applyAlignment="1" applyProtection="1">
      <alignment horizontal="center"/>
    </xf>
    <xf numFmtId="0" fontId="0" fillId="0" borderId="3" xfId="0" applyBorder="1" applyProtection="1">
      <protection locked="0"/>
    </xf>
    <xf numFmtId="0" fontId="0" fillId="0" borderId="4" xfId="0" applyBorder="1" applyProtection="1">
      <protection locked="0"/>
    </xf>
    <xf numFmtId="0" fontId="1" fillId="0" borderId="3" xfId="1" applyFont="1" applyBorder="1" applyAlignment="1" applyProtection="1">
      <alignment horizontal="center"/>
    </xf>
    <xf numFmtId="0" fontId="1" fillId="0" borderId="4" xfId="1" applyFont="1" applyBorder="1" applyAlignment="1" applyProtection="1">
      <alignment horizontal="center"/>
    </xf>
    <xf numFmtId="0" fontId="0" fillId="0" borderId="3" xfId="1" applyFont="1" applyBorder="1" applyProtection="1">
      <protection locked="0"/>
    </xf>
    <xf numFmtId="0" fontId="0" fillId="0" borderId="4" xfId="1" applyFont="1" applyBorder="1" applyProtection="1">
      <protection locked="0"/>
    </xf>
    <xf numFmtId="0" fontId="6" fillId="0" borderId="0" xfId="0" applyFont="1" applyFill="1" applyAlignment="1" applyProtection="1">
      <alignment horizontal="center"/>
    </xf>
    <xf numFmtId="0" fontId="1" fillId="0" borderId="3" xfId="1" applyFont="1" applyFill="1" applyBorder="1" applyAlignment="1" applyProtection="1">
      <alignment horizontal="center"/>
    </xf>
    <xf numFmtId="0" fontId="1" fillId="0" borderId="4" xfId="1" applyFont="1" applyFill="1" applyBorder="1" applyAlignment="1" applyProtection="1">
      <alignment horizontal="center"/>
    </xf>
    <xf numFmtId="0" fontId="1" fillId="0" borderId="7" xfId="1" applyFont="1" applyFill="1" applyBorder="1" applyAlignment="1" applyProtection="1">
      <alignment horizontal="center"/>
    </xf>
  </cellXfs>
  <cellStyles count="2">
    <cellStyle name="Normal" xfId="0" builtinId="0"/>
    <cellStyle name="Normal 5" xfId="1"/>
  </cellStyles>
  <dxfs count="16"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ill>
        <patternFill>
          <bgColor theme="0" tint="-0.49998474074526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X67"/>
  <sheetViews>
    <sheetView zoomScaleNormal="100" workbookViewId="0">
      <pane ySplit="2" topLeftCell="A3" activePane="bottomLeft" state="frozen"/>
      <selection pane="bottomLeft" activeCell="G9" sqref="G9"/>
    </sheetView>
  </sheetViews>
  <sheetFormatPr baseColWidth="10" defaultRowHeight="15" x14ac:dyDescent="0.25"/>
  <cols>
    <col min="1" max="1" width="6.140625" style="11" customWidth="1"/>
    <col min="2" max="2" width="7.85546875" style="23" customWidth="1"/>
    <col min="3" max="3" width="11.85546875" style="12" customWidth="1"/>
    <col min="4" max="4" width="14.28515625" style="1" customWidth="1"/>
    <col min="5" max="5" width="13.85546875" style="1" customWidth="1"/>
    <col min="6" max="6" width="12.5703125" style="1" customWidth="1"/>
    <col min="7" max="7" width="9.85546875" style="1" customWidth="1"/>
    <col min="8" max="8" width="7.42578125" style="1" customWidth="1"/>
    <col min="9" max="9" width="10.85546875" style="1" customWidth="1"/>
    <col min="10" max="10" width="8.42578125" style="1" customWidth="1"/>
    <col min="11" max="11" width="8.5703125" style="1" customWidth="1"/>
    <col min="12" max="12" width="9.140625" style="1" customWidth="1"/>
    <col min="13" max="14" width="11.42578125" style="17"/>
    <col min="15" max="15" width="13" style="17" customWidth="1"/>
    <col min="16" max="16" width="9.140625" style="17" customWidth="1"/>
    <col min="17" max="24" width="11.42578125" style="17"/>
    <col min="25" max="16384" width="11.42578125" style="1"/>
  </cols>
  <sheetData>
    <row r="1" spans="1:24" ht="18.75" x14ac:dyDescent="0.3">
      <c r="A1" s="35" t="s">
        <v>103</v>
      </c>
      <c r="B1" s="35"/>
      <c r="C1" s="35"/>
      <c r="D1" s="35"/>
      <c r="E1" s="35"/>
      <c r="F1" s="28"/>
      <c r="G1" s="28"/>
      <c r="H1" s="28"/>
      <c r="I1" s="28"/>
      <c r="J1" s="28"/>
      <c r="K1" s="28"/>
      <c r="L1" s="28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0" t="s">
        <v>22</v>
      </c>
      <c r="B2" s="10" t="s">
        <v>15</v>
      </c>
      <c r="C2" s="9" t="s">
        <v>14</v>
      </c>
      <c r="D2" s="38" t="s">
        <v>89</v>
      </c>
      <c r="E2" s="39"/>
      <c r="F2" s="9" t="s">
        <v>91</v>
      </c>
      <c r="G2" s="9" t="s">
        <v>11</v>
      </c>
      <c r="H2" s="9" t="s">
        <v>0</v>
      </c>
      <c r="I2" s="9" t="s">
        <v>10</v>
      </c>
      <c r="J2" s="9" t="s">
        <v>12</v>
      </c>
      <c r="K2" s="9" t="s">
        <v>13</v>
      </c>
      <c r="L2" s="9" t="s">
        <v>9</v>
      </c>
      <c r="M2" s="9" t="s">
        <v>90</v>
      </c>
      <c r="N2" s="9" t="s">
        <v>92</v>
      </c>
      <c r="O2" s="9" t="s">
        <v>93</v>
      </c>
      <c r="P2" s="9" t="s">
        <v>94</v>
      </c>
      <c r="Q2" s="9" t="s">
        <v>95</v>
      </c>
      <c r="R2" s="9" t="s">
        <v>96</v>
      </c>
      <c r="S2" s="9" t="s">
        <v>97</v>
      </c>
      <c r="T2" s="9" t="s">
        <v>98</v>
      </c>
      <c r="U2" s="9" t="s">
        <v>99</v>
      </c>
      <c r="V2" s="9" t="s">
        <v>100</v>
      </c>
      <c r="W2" s="9" t="s">
        <v>101</v>
      </c>
      <c r="X2" s="9" t="s">
        <v>102</v>
      </c>
    </row>
    <row r="3" spans="1:24" x14ac:dyDescent="0.25">
      <c r="A3" s="14">
        <v>1</v>
      </c>
      <c r="B3" s="25">
        <v>5608</v>
      </c>
      <c r="C3" s="31">
        <v>37137843</v>
      </c>
      <c r="D3" s="40" t="s">
        <v>25</v>
      </c>
      <c r="E3" s="41"/>
      <c r="F3" s="32">
        <v>44</v>
      </c>
      <c r="G3" s="29" t="s">
        <v>3</v>
      </c>
      <c r="H3" s="26">
        <v>56</v>
      </c>
      <c r="I3" s="26">
        <v>48</v>
      </c>
      <c r="J3" s="30" t="s">
        <v>3</v>
      </c>
      <c r="K3" s="26" t="s">
        <v>3</v>
      </c>
      <c r="L3" s="30">
        <v>42</v>
      </c>
      <c r="M3" s="34">
        <v>44</v>
      </c>
      <c r="N3" s="30">
        <v>1</v>
      </c>
      <c r="O3" s="30">
        <v>1</v>
      </c>
      <c r="P3" s="26">
        <v>1</v>
      </c>
      <c r="Q3" s="30">
        <v>1</v>
      </c>
      <c r="R3" s="30">
        <v>1</v>
      </c>
      <c r="S3" s="26">
        <v>1</v>
      </c>
      <c r="T3" s="26">
        <v>1</v>
      </c>
      <c r="U3" s="30">
        <v>1</v>
      </c>
      <c r="V3" s="30">
        <v>1</v>
      </c>
      <c r="W3" s="26">
        <v>1</v>
      </c>
      <c r="X3" s="26">
        <v>1</v>
      </c>
    </row>
    <row r="4" spans="1:24" x14ac:dyDescent="0.25">
      <c r="A4" s="13">
        <v>2</v>
      </c>
      <c r="B4" s="23">
        <v>5576</v>
      </c>
      <c r="C4" s="12">
        <v>39084966</v>
      </c>
      <c r="D4" s="36" t="s">
        <v>26</v>
      </c>
      <c r="E4" s="37"/>
      <c r="F4" s="21">
        <v>44</v>
      </c>
      <c r="G4" s="21" t="s">
        <v>3</v>
      </c>
      <c r="H4" s="27">
        <v>59</v>
      </c>
      <c r="I4" s="21">
        <v>46</v>
      </c>
      <c r="J4" s="21" t="s">
        <v>3</v>
      </c>
      <c r="K4" s="27" t="s">
        <v>3</v>
      </c>
      <c r="L4" s="21">
        <v>42</v>
      </c>
      <c r="M4" s="34">
        <v>44</v>
      </c>
      <c r="N4" s="30">
        <v>1</v>
      </c>
      <c r="O4" s="30">
        <v>1</v>
      </c>
      <c r="P4" s="30">
        <v>1</v>
      </c>
      <c r="Q4" s="30">
        <v>1</v>
      </c>
      <c r="R4" s="30">
        <v>1</v>
      </c>
      <c r="S4" s="26">
        <v>1</v>
      </c>
      <c r="T4" s="26">
        <v>1</v>
      </c>
      <c r="U4" s="30">
        <v>1</v>
      </c>
      <c r="V4" s="30">
        <v>1</v>
      </c>
      <c r="W4" s="26">
        <v>1</v>
      </c>
      <c r="X4" s="26">
        <v>1</v>
      </c>
    </row>
    <row r="5" spans="1:24" x14ac:dyDescent="0.25">
      <c r="A5" s="13">
        <v>3</v>
      </c>
      <c r="B5" s="23">
        <v>5652</v>
      </c>
      <c r="C5" s="12">
        <v>41660305</v>
      </c>
      <c r="D5" s="36" t="s">
        <v>27</v>
      </c>
      <c r="E5" s="37"/>
      <c r="F5" s="27">
        <v>42</v>
      </c>
      <c r="G5" s="21" t="s">
        <v>1</v>
      </c>
      <c r="H5" s="27">
        <v>59</v>
      </c>
      <c r="I5" s="21">
        <v>42</v>
      </c>
      <c r="J5" s="21" t="s">
        <v>1</v>
      </c>
      <c r="K5" s="27" t="s">
        <v>1</v>
      </c>
      <c r="L5" s="27">
        <v>40</v>
      </c>
      <c r="M5" s="32">
        <v>42</v>
      </c>
      <c r="N5" s="30">
        <v>1</v>
      </c>
      <c r="O5" s="30">
        <v>1</v>
      </c>
      <c r="P5" s="30">
        <v>1</v>
      </c>
      <c r="Q5" s="30">
        <v>1</v>
      </c>
      <c r="R5" s="30">
        <v>1</v>
      </c>
      <c r="S5" s="26">
        <v>1</v>
      </c>
      <c r="T5" s="26">
        <v>1</v>
      </c>
      <c r="U5" s="30">
        <v>1</v>
      </c>
      <c r="V5" s="30">
        <v>1</v>
      </c>
      <c r="W5" s="26">
        <v>1</v>
      </c>
      <c r="X5" s="26">
        <v>1</v>
      </c>
    </row>
    <row r="6" spans="1:24" x14ac:dyDescent="0.25">
      <c r="A6" s="13">
        <v>4</v>
      </c>
      <c r="B6" s="24">
        <v>5642</v>
      </c>
      <c r="C6" s="12">
        <v>44438036</v>
      </c>
      <c r="D6" s="36" t="s">
        <v>28</v>
      </c>
      <c r="E6" s="37"/>
      <c r="F6" s="27">
        <v>40</v>
      </c>
      <c r="G6" s="27" t="s">
        <v>2</v>
      </c>
      <c r="H6" s="21">
        <v>57</v>
      </c>
      <c r="I6" s="21">
        <v>42</v>
      </c>
      <c r="J6" s="21" t="s">
        <v>2</v>
      </c>
      <c r="K6" s="27" t="s">
        <v>2</v>
      </c>
      <c r="L6" s="21">
        <v>41</v>
      </c>
      <c r="M6" s="32">
        <v>40</v>
      </c>
      <c r="N6" s="30">
        <v>1</v>
      </c>
      <c r="O6" s="30">
        <v>1</v>
      </c>
      <c r="P6" s="30">
        <v>1</v>
      </c>
      <c r="Q6" s="30">
        <v>1</v>
      </c>
      <c r="R6" s="30">
        <v>1</v>
      </c>
      <c r="S6" s="26">
        <v>1</v>
      </c>
      <c r="T6" s="26">
        <v>1</v>
      </c>
      <c r="U6" s="30">
        <v>1</v>
      </c>
      <c r="V6" s="30">
        <v>1</v>
      </c>
      <c r="W6" s="26">
        <v>1</v>
      </c>
      <c r="X6" s="26">
        <v>1</v>
      </c>
    </row>
    <row r="7" spans="1:24" x14ac:dyDescent="0.25">
      <c r="A7" s="13">
        <v>5</v>
      </c>
      <c r="B7" s="24">
        <v>5670</v>
      </c>
      <c r="C7" s="12">
        <v>33821501</v>
      </c>
      <c r="D7" s="36" t="s">
        <v>29</v>
      </c>
      <c r="E7" s="37"/>
      <c r="F7" s="27">
        <v>38</v>
      </c>
      <c r="G7" s="27" t="s">
        <v>2</v>
      </c>
      <c r="H7" s="21">
        <v>56</v>
      </c>
      <c r="I7" s="21">
        <v>42</v>
      </c>
      <c r="J7" s="21" t="s">
        <v>4</v>
      </c>
      <c r="K7" s="27" t="s">
        <v>4</v>
      </c>
      <c r="L7" s="27">
        <v>38</v>
      </c>
      <c r="M7" s="32">
        <v>38</v>
      </c>
      <c r="N7" s="30">
        <v>1</v>
      </c>
      <c r="O7" s="30">
        <v>1</v>
      </c>
      <c r="P7" s="30">
        <v>1</v>
      </c>
      <c r="Q7" s="30">
        <v>1</v>
      </c>
      <c r="R7" s="30">
        <v>1</v>
      </c>
      <c r="S7" s="26">
        <v>1</v>
      </c>
      <c r="T7" s="26">
        <v>1</v>
      </c>
      <c r="U7" s="30">
        <v>1</v>
      </c>
      <c r="V7" s="30">
        <v>1</v>
      </c>
      <c r="W7" s="26">
        <v>1</v>
      </c>
      <c r="X7" s="26">
        <v>1</v>
      </c>
    </row>
    <row r="8" spans="1:24" x14ac:dyDescent="0.25">
      <c r="A8" s="13">
        <v>6</v>
      </c>
      <c r="B8" s="24">
        <v>5611</v>
      </c>
      <c r="C8" s="12">
        <v>36767411</v>
      </c>
      <c r="D8" s="36" t="s">
        <v>30</v>
      </c>
      <c r="E8" s="37"/>
      <c r="F8" s="21">
        <v>42</v>
      </c>
      <c r="G8" s="21" t="s">
        <v>6</v>
      </c>
      <c r="H8" s="21">
        <v>58</v>
      </c>
      <c r="I8" s="27">
        <v>44</v>
      </c>
      <c r="J8" s="21" t="s">
        <v>1</v>
      </c>
      <c r="K8" s="27" t="s">
        <v>1</v>
      </c>
      <c r="L8" s="21">
        <v>41</v>
      </c>
      <c r="M8" s="32">
        <v>42</v>
      </c>
      <c r="N8" s="30">
        <v>1</v>
      </c>
      <c r="O8" s="30">
        <v>1</v>
      </c>
      <c r="P8" s="30">
        <v>1</v>
      </c>
      <c r="Q8" s="30">
        <v>1</v>
      </c>
      <c r="R8" s="30">
        <v>1</v>
      </c>
      <c r="S8" s="26">
        <v>1</v>
      </c>
      <c r="T8" s="26">
        <v>1</v>
      </c>
      <c r="U8" s="30">
        <v>1</v>
      </c>
      <c r="V8" s="30">
        <v>1</v>
      </c>
      <c r="W8" s="26">
        <v>1</v>
      </c>
      <c r="X8" s="26">
        <v>1</v>
      </c>
    </row>
    <row r="9" spans="1:24" x14ac:dyDescent="0.25">
      <c r="A9" s="13">
        <v>7</v>
      </c>
      <c r="B9" s="24">
        <v>5606</v>
      </c>
      <c r="C9" s="12">
        <v>39019581</v>
      </c>
      <c r="D9" s="36" t="s">
        <v>31</v>
      </c>
      <c r="E9" s="37"/>
      <c r="F9" s="21">
        <v>44</v>
      </c>
      <c r="G9" s="21" t="s">
        <v>6</v>
      </c>
      <c r="H9" s="21">
        <v>58</v>
      </c>
      <c r="I9" s="27">
        <v>48</v>
      </c>
      <c r="J9" s="21" t="s">
        <v>3</v>
      </c>
      <c r="K9" s="27" t="s">
        <v>3</v>
      </c>
      <c r="L9" s="21">
        <v>42</v>
      </c>
      <c r="M9" s="34">
        <v>44</v>
      </c>
      <c r="N9" s="30">
        <v>1</v>
      </c>
      <c r="O9" s="30">
        <v>1</v>
      </c>
      <c r="P9" s="30">
        <v>1</v>
      </c>
      <c r="Q9" s="30">
        <v>1</v>
      </c>
      <c r="R9" s="30">
        <v>1</v>
      </c>
      <c r="S9" s="26">
        <v>1</v>
      </c>
      <c r="T9" s="26">
        <v>1</v>
      </c>
      <c r="U9" s="30">
        <v>1</v>
      </c>
      <c r="V9" s="30">
        <v>1</v>
      </c>
      <c r="W9" s="26">
        <v>1</v>
      </c>
      <c r="X9" s="26">
        <v>1</v>
      </c>
    </row>
    <row r="10" spans="1:24" x14ac:dyDescent="0.25">
      <c r="A10" s="13">
        <v>8</v>
      </c>
      <c r="B10" s="24">
        <v>5634</v>
      </c>
      <c r="C10" s="12">
        <v>42509069</v>
      </c>
      <c r="D10" s="36" t="s">
        <v>32</v>
      </c>
      <c r="E10" s="37"/>
      <c r="F10" s="21">
        <v>42</v>
      </c>
      <c r="G10" s="27" t="s">
        <v>1</v>
      </c>
      <c r="H10" s="27">
        <v>59</v>
      </c>
      <c r="I10" s="27">
        <v>44</v>
      </c>
      <c r="J10" s="21" t="s">
        <v>1</v>
      </c>
      <c r="K10" s="27" t="s">
        <v>3</v>
      </c>
      <c r="L10" s="21">
        <v>42</v>
      </c>
      <c r="M10" s="32">
        <v>42</v>
      </c>
      <c r="N10" s="30">
        <v>1</v>
      </c>
      <c r="O10" s="30">
        <v>1</v>
      </c>
      <c r="P10" s="30">
        <v>1</v>
      </c>
      <c r="Q10" s="30">
        <v>1</v>
      </c>
      <c r="R10" s="30">
        <v>1</v>
      </c>
      <c r="S10" s="26">
        <v>1</v>
      </c>
      <c r="T10" s="26">
        <v>1</v>
      </c>
      <c r="U10" s="30">
        <v>1</v>
      </c>
      <c r="V10" s="30">
        <v>1</v>
      </c>
      <c r="W10" s="26">
        <v>1</v>
      </c>
      <c r="X10" s="26">
        <v>1</v>
      </c>
    </row>
    <row r="11" spans="1:24" x14ac:dyDescent="0.25">
      <c r="A11" s="13">
        <v>9</v>
      </c>
      <c r="B11" s="24">
        <v>5677</v>
      </c>
      <c r="C11" s="12">
        <v>41271099</v>
      </c>
      <c r="D11" s="36" t="s">
        <v>33</v>
      </c>
      <c r="E11" s="37"/>
      <c r="F11" s="27">
        <v>34</v>
      </c>
      <c r="G11" s="21" t="s">
        <v>8</v>
      </c>
      <c r="H11" s="21">
        <v>56</v>
      </c>
      <c r="I11" s="27">
        <v>38</v>
      </c>
      <c r="J11" s="21" t="s">
        <v>5</v>
      </c>
      <c r="K11" s="27" t="s">
        <v>5</v>
      </c>
      <c r="L11" s="27">
        <v>37</v>
      </c>
      <c r="M11" s="34">
        <v>34</v>
      </c>
      <c r="N11" s="30">
        <v>1</v>
      </c>
      <c r="O11" s="30">
        <v>1</v>
      </c>
      <c r="P11" s="30">
        <v>1</v>
      </c>
      <c r="Q11" s="30">
        <v>1</v>
      </c>
      <c r="R11" s="30">
        <v>1</v>
      </c>
      <c r="S11" s="26">
        <v>1</v>
      </c>
      <c r="T11" s="26">
        <v>1</v>
      </c>
      <c r="U11" s="30">
        <v>1</v>
      </c>
      <c r="V11" s="30">
        <v>1</v>
      </c>
      <c r="W11" s="26">
        <v>1</v>
      </c>
      <c r="X11" s="26">
        <v>1</v>
      </c>
    </row>
    <row r="12" spans="1:24" x14ac:dyDescent="0.25">
      <c r="A12" s="13">
        <v>10</v>
      </c>
      <c r="B12" s="24">
        <v>5680</v>
      </c>
      <c r="C12" s="12">
        <v>37964317</v>
      </c>
      <c r="D12" s="36" t="s">
        <v>34</v>
      </c>
      <c r="E12" s="37"/>
      <c r="F12" s="27">
        <v>38</v>
      </c>
      <c r="G12" s="27" t="s">
        <v>4</v>
      </c>
      <c r="H12" s="21">
        <v>57</v>
      </c>
      <c r="I12" s="27">
        <v>44</v>
      </c>
      <c r="J12" s="21" t="s">
        <v>2</v>
      </c>
      <c r="K12" s="27" t="s">
        <v>2</v>
      </c>
      <c r="L12" s="27">
        <v>38</v>
      </c>
      <c r="M12" s="32">
        <v>40</v>
      </c>
      <c r="N12" s="30">
        <v>1</v>
      </c>
      <c r="O12" s="30">
        <v>1</v>
      </c>
      <c r="P12" s="30">
        <v>1</v>
      </c>
      <c r="Q12" s="30">
        <v>1</v>
      </c>
      <c r="R12" s="30">
        <v>1</v>
      </c>
      <c r="S12" s="26">
        <v>1</v>
      </c>
      <c r="T12" s="26">
        <v>1</v>
      </c>
      <c r="U12" s="30">
        <v>1</v>
      </c>
      <c r="V12" s="30">
        <v>1</v>
      </c>
      <c r="W12" s="26">
        <v>1</v>
      </c>
      <c r="X12" s="26">
        <v>1</v>
      </c>
    </row>
    <row r="13" spans="1:24" x14ac:dyDescent="0.25">
      <c r="A13" s="13">
        <v>11</v>
      </c>
      <c r="B13" s="24">
        <v>5667</v>
      </c>
      <c r="C13" s="12">
        <v>42750488</v>
      </c>
      <c r="D13" s="36" t="s">
        <v>35</v>
      </c>
      <c r="E13" s="37"/>
      <c r="F13" s="21">
        <v>42</v>
      </c>
      <c r="G13" s="21" t="s">
        <v>3</v>
      </c>
      <c r="H13" s="21">
        <v>59</v>
      </c>
      <c r="I13" s="21">
        <v>46</v>
      </c>
      <c r="J13" s="21" t="s">
        <v>1</v>
      </c>
      <c r="K13" s="27" t="s">
        <v>1</v>
      </c>
      <c r="L13" s="21">
        <v>41</v>
      </c>
      <c r="M13" s="32">
        <v>42</v>
      </c>
      <c r="N13" s="30">
        <v>1</v>
      </c>
      <c r="O13" s="30">
        <v>1</v>
      </c>
      <c r="P13" s="30">
        <v>1</v>
      </c>
      <c r="Q13" s="30">
        <v>1</v>
      </c>
      <c r="R13" s="30">
        <v>1</v>
      </c>
      <c r="S13" s="26">
        <v>1</v>
      </c>
      <c r="T13" s="26">
        <v>1</v>
      </c>
      <c r="U13" s="30">
        <v>1</v>
      </c>
      <c r="V13" s="30">
        <v>1</v>
      </c>
      <c r="W13" s="26">
        <v>1</v>
      </c>
      <c r="X13" s="26">
        <v>1</v>
      </c>
    </row>
    <row r="14" spans="1:24" x14ac:dyDescent="0.25">
      <c r="A14" s="13">
        <v>12</v>
      </c>
      <c r="B14" s="24">
        <v>5675</v>
      </c>
      <c r="C14" s="12">
        <v>35937940</v>
      </c>
      <c r="D14" s="36" t="s">
        <v>36</v>
      </c>
      <c r="E14" s="37"/>
      <c r="F14" s="27">
        <v>38</v>
      </c>
      <c r="G14" s="27" t="s">
        <v>4</v>
      </c>
      <c r="H14" s="21">
        <v>56</v>
      </c>
      <c r="I14" s="27">
        <v>44</v>
      </c>
      <c r="J14" s="21" t="s">
        <v>2</v>
      </c>
      <c r="K14" s="27" t="s">
        <v>1</v>
      </c>
      <c r="L14" s="27">
        <v>39</v>
      </c>
      <c r="M14" s="32">
        <v>38</v>
      </c>
      <c r="N14" s="30">
        <v>1</v>
      </c>
      <c r="O14" s="30">
        <v>1</v>
      </c>
      <c r="P14" s="30">
        <v>1</v>
      </c>
      <c r="Q14" s="30">
        <v>1</v>
      </c>
      <c r="R14" s="30">
        <v>1</v>
      </c>
      <c r="S14" s="26">
        <v>1</v>
      </c>
      <c r="T14" s="26">
        <v>1</v>
      </c>
      <c r="U14" s="30">
        <v>1</v>
      </c>
      <c r="V14" s="30">
        <v>1</v>
      </c>
      <c r="W14" s="26">
        <v>1</v>
      </c>
      <c r="X14" s="26">
        <v>1</v>
      </c>
    </row>
    <row r="15" spans="1:24" x14ac:dyDescent="0.25">
      <c r="A15" s="13">
        <v>13</v>
      </c>
      <c r="B15" s="24">
        <v>5658</v>
      </c>
      <c r="C15" s="12">
        <v>37136579</v>
      </c>
      <c r="D15" s="36" t="s">
        <v>37</v>
      </c>
      <c r="E15" s="37"/>
      <c r="F15" s="21">
        <v>42</v>
      </c>
      <c r="G15" s="21" t="s">
        <v>1</v>
      </c>
      <c r="H15" s="21">
        <v>57</v>
      </c>
      <c r="I15" s="27">
        <v>44</v>
      </c>
      <c r="J15" s="21" t="s">
        <v>1</v>
      </c>
      <c r="K15" s="27" t="s">
        <v>1</v>
      </c>
      <c r="L15" s="21">
        <v>41</v>
      </c>
      <c r="M15" s="32">
        <v>42</v>
      </c>
      <c r="N15" s="30">
        <v>1</v>
      </c>
      <c r="O15" s="30">
        <v>1</v>
      </c>
      <c r="P15" s="30">
        <v>1</v>
      </c>
      <c r="Q15" s="30">
        <v>1</v>
      </c>
      <c r="R15" s="30">
        <v>1</v>
      </c>
      <c r="S15" s="26">
        <v>1</v>
      </c>
      <c r="T15" s="26">
        <v>1</v>
      </c>
      <c r="U15" s="30">
        <v>1</v>
      </c>
      <c r="V15" s="30">
        <v>1</v>
      </c>
      <c r="W15" s="26">
        <v>1</v>
      </c>
      <c r="X15" s="26">
        <v>1</v>
      </c>
    </row>
    <row r="16" spans="1:24" x14ac:dyDescent="0.25">
      <c r="A16" s="13">
        <v>14</v>
      </c>
      <c r="B16" s="24">
        <v>5628</v>
      </c>
      <c r="C16" s="12">
        <v>34607254</v>
      </c>
      <c r="D16" s="36" t="s">
        <v>38</v>
      </c>
      <c r="E16" s="37"/>
      <c r="F16" s="21">
        <v>42</v>
      </c>
      <c r="G16" s="21" t="s">
        <v>3</v>
      </c>
      <c r="H16" s="21">
        <v>59</v>
      </c>
      <c r="I16" s="21">
        <v>46</v>
      </c>
      <c r="J16" s="21" t="s">
        <v>1</v>
      </c>
      <c r="K16" s="27" t="s">
        <v>1</v>
      </c>
      <c r="L16" s="27">
        <v>43</v>
      </c>
      <c r="M16" s="32">
        <v>42</v>
      </c>
      <c r="N16" s="30">
        <v>1</v>
      </c>
      <c r="O16" s="30">
        <v>1</v>
      </c>
      <c r="P16" s="30">
        <v>1</v>
      </c>
      <c r="Q16" s="30">
        <v>1</v>
      </c>
      <c r="R16" s="30">
        <v>1</v>
      </c>
      <c r="S16" s="26">
        <v>1</v>
      </c>
      <c r="T16" s="26">
        <v>1</v>
      </c>
      <c r="U16" s="30">
        <v>1</v>
      </c>
      <c r="V16" s="30">
        <v>1</v>
      </c>
      <c r="W16" s="26">
        <v>1</v>
      </c>
      <c r="X16" s="26">
        <v>1</v>
      </c>
    </row>
    <row r="17" spans="1:24" x14ac:dyDescent="0.25">
      <c r="A17" s="13">
        <v>15</v>
      </c>
      <c r="B17" s="24">
        <v>5573</v>
      </c>
      <c r="C17" s="12">
        <v>37623494</v>
      </c>
      <c r="D17" s="36" t="s">
        <v>39</v>
      </c>
      <c r="E17" s="37"/>
      <c r="F17" s="21">
        <v>42</v>
      </c>
      <c r="G17" s="21" t="s">
        <v>3</v>
      </c>
      <c r="H17" s="21">
        <v>59</v>
      </c>
      <c r="I17" s="27">
        <v>44</v>
      </c>
      <c r="J17" s="21" t="s">
        <v>1</v>
      </c>
      <c r="K17" s="27" t="s">
        <v>1</v>
      </c>
      <c r="L17" s="27">
        <v>45</v>
      </c>
      <c r="M17" s="32">
        <v>42</v>
      </c>
      <c r="N17" s="30">
        <v>1</v>
      </c>
      <c r="O17" s="30">
        <v>1</v>
      </c>
      <c r="P17" s="30">
        <v>1</v>
      </c>
      <c r="Q17" s="30">
        <v>1</v>
      </c>
      <c r="R17" s="30">
        <v>1</v>
      </c>
      <c r="S17" s="26">
        <v>1</v>
      </c>
      <c r="T17" s="26">
        <v>1</v>
      </c>
      <c r="U17" s="30">
        <v>1</v>
      </c>
      <c r="V17" s="30">
        <v>1</v>
      </c>
      <c r="W17" s="26">
        <v>1</v>
      </c>
      <c r="X17" s="26">
        <v>1</v>
      </c>
    </row>
    <row r="18" spans="1:24" x14ac:dyDescent="0.25">
      <c r="A18" s="13">
        <v>16</v>
      </c>
      <c r="B18" s="24">
        <v>5590</v>
      </c>
      <c r="C18" s="12">
        <v>36812634</v>
      </c>
      <c r="D18" s="36" t="s">
        <v>40</v>
      </c>
      <c r="E18" s="37"/>
      <c r="F18" s="27">
        <v>40</v>
      </c>
      <c r="G18" s="27" t="s">
        <v>2</v>
      </c>
      <c r="H18" s="21">
        <v>56</v>
      </c>
      <c r="I18" s="21">
        <v>42</v>
      </c>
      <c r="J18" s="21" t="s">
        <v>2</v>
      </c>
      <c r="K18" s="27" t="s">
        <v>2</v>
      </c>
      <c r="L18" s="27">
        <v>40</v>
      </c>
      <c r="M18" s="32">
        <v>40</v>
      </c>
      <c r="N18" s="30">
        <v>1</v>
      </c>
      <c r="O18" s="30">
        <v>1</v>
      </c>
      <c r="P18" s="30">
        <v>1</v>
      </c>
      <c r="Q18" s="30">
        <v>1</v>
      </c>
      <c r="R18" s="30">
        <v>1</v>
      </c>
      <c r="S18" s="26">
        <v>1</v>
      </c>
      <c r="T18" s="26">
        <v>1</v>
      </c>
      <c r="U18" s="30">
        <v>1</v>
      </c>
      <c r="V18" s="30">
        <v>1</v>
      </c>
      <c r="W18" s="26">
        <v>1</v>
      </c>
      <c r="X18" s="26">
        <v>1</v>
      </c>
    </row>
    <row r="19" spans="1:24" x14ac:dyDescent="0.25">
      <c r="A19" s="13">
        <v>17</v>
      </c>
      <c r="B19" s="23">
        <v>1</v>
      </c>
      <c r="C19" s="12">
        <v>1</v>
      </c>
      <c r="D19" s="36" t="s">
        <v>41</v>
      </c>
      <c r="E19" s="37"/>
      <c r="F19" s="21">
        <v>36</v>
      </c>
      <c r="G19" s="21" t="s">
        <v>4</v>
      </c>
      <c r="H19" s="21">
        <v>57</v>
      </c>
      <c r="I19" s="21">
        <v>44</v>
      </c>
      <c r="J19" s="21" t="s">
        <v>4</v>
      </c>
      <c r="K19" s="21" t="s">
        <v>4</v>
      </c>
      <c r="L19" s="21">
        <v>38</v>
      </c>
      <c r="M19" s="34">
        <v>36</v>
      </c>
      <c r="N19" s="30">
        <v>1</v>
      </c>
      <c r="O19" s="30">
        <v>1</v>
      </c>
      <c r="P19" s="30">
        <v>1</v>
      </c>
      <c r="Q19" s="30">
        <v>1</v>
      </c>
      <c r="R19" s="30">
        <v>1</v>
      </c>
      <c r="S19" s="30">
        <v>1</v>
      </c>
      <c r="T19" s="30">
        <v>1</v>
      </c>
      <c r="U19" s="30">
        <v>1</v>
      </c>
      <c r="V19" s="30">
        <v>1</v>
      </c>
      <c r="W19" s="30">
        <v>1</v>
      </c>
      <c r="X19" s="30">
        <v>1</v>
      </c>
    </row>
    <row r="20" spans="1:24" x14ac:dyDescent="0.25">
      <c r="A20" s="13">
        <v>18</v>
      </c>
      <c r="B20" s="24">
        <v>5644</v>
      </c>
      <c r="C20" s="12">
        <v>39602708</v>
      </c>
      <c r="D20" s="36" t="s">
        <v>42</v>
      </c>
      <c r="E20" s="37"/>
      <c r="F20" s="21">
        <v>44</v>
      </c>
      <c r="G20" s="21" t="s">
        <v>1</v>
      </c>
      <c r="H20" s="21">
        <v>58</v>
      </c>
      <c r="I20" s="27">
        <v>48</v>
      </c>
      <c r="J20" s="21" t="s">
        <v>3</v>
      </c>
      <c r="K20" s="27" t="s">
        <v>3</v>
      </c>
      <c r="L20" s="21">
        <v>42</v>
      </c>
      <c r="M20" s="34">
        <v>44</v>
      </c>
      <c r="N20" s="30">
        <v>1</v>
      </c>
      <c r="O20" s="30">
        <v>1</v>
      </c>
      <c r="P20" s="30">
        <v>1</v>
      </c>
      <c r="Q20" s="30">
        <v>1</v>
      </c>
      <c r="R20" s="30">
        <v>1</v>
      </c>
      <c r="S20" s="26">
        <v>1</v>
      </c>
      <c r="T20" s="26">
        <v>1</v>
      </c>
      <c r="U20" s="30">
        <v>1</v>
      </c>
      <c r="V20" s="30">
        <v>1</v>
      </c>
      <c r="W20" s="26">
        <v>1</v>
      </c>
      <c r="X20" s="26">
        <v>1</v>
      </c>
    </row>
    <row r="21" spans="1:24" x14ac:dyDescent="0.25">
      <c r="A21" s="13">
        <v>19</v>
      </c>
      <c r="B21" s="24">
        <v>5687</v>
      </c>
      <c r="C21" s="12">
        <v>37426939</v>
      </c>
      <c r="D21" s="36" t="s">
        <v>43</v>
      </c>
      <c r="E21" s="37"/>
      <c r="F21" s="27">
        <v>38</v>
      </c>
      <c r="G21" s="21" t="s">
        <v>4</v>
      </c>
      <c r="H21" s="21">
        <v>58</v>
      </c>
      <c r="I21" s="21">
        <v>42</v>
      </c>
      <c r="J21" s="21" t="s">
        <v>4</v>
      </c>
      <c r="K21" s="27" t="s">
        <v>4</v>
      </c>
      <c r="L21" s="27">
        <v>37</v>
      </c>
      <c r="M21" s="32">
        <v>38</v>
      </c>
      <c r="N21" s="30">
        <v>1</v>
      </c>
      <c r="O21" s="30">
        <v>1</v>
      </c>
      <c r="P21" s="30">
        <v>1</v>
      </c>
      <c r="Q21" s="30">
        <v>1</v>
      </c>
      <c r="R21" s="30">
        <v>1</v>
      </c>
      <c r="S21" s="26">
        <v>1</v>
      </c>
      <c r="T21" s="26">
        <v>1</v>
      </c>
      <c r="U21" s="30">
        <v>1</v>
      </c>
      <c r="V21" s="30">
        <v>1</v>
      </c>
      <c r="W21" s="26">
        <v>1</v>
      </c>
      <c r="X21" s="26">
        <v>1</v>
      </c>
    </row>
    <row r="22" spans="1:24" x14ac:dyDescent="0.25">
      <c r="A22" s="13">
        <v>20</v>
      </c>
      <c r="B22" s="24">
        <v>5600</v>
      </c>
      <c r="C22" s="12">
        <v>41368304</v>
      </c>
      <c r="D22" s="36" t="s">
        <v>44</v>
      </c>
      <c r="E22" s="37"/>
      <c r="F22" s="27">
        <v>46</v>
      </c>
      <c r="G22" s="21" t="s">
        <v>3</v>
      </c>
      <c r="H22" s="21">
        <v>56</v>
      </c>
      <c r="I22" s="27">
        <v>50</v>
      </c>
      <c r="J22" s="21" t="s">
        <v>3</v>
      </c>
      <c r="K22" s="27" t="s">
        <v>6</v>
      </c>
      <c r="L22" s="27">
        <v>45</v>
      </c>
      <c r="M22" s="34">
        <v>46</v>
      </c>
      <c r="N22" s="30">
        <v>1</v>
      </c>
      <c r="O22" s="30">
        <v>1</v>
      </c>
      <c r="P22" s="30">
        <v>1</v>
      </c>
      <c r="Q22" s="30">
        <v>1</v>
      </c>
      <c r="R22" s="30">
        <v>1</v>
      </c>
      <c r="S22" s="26">
        <v>1</v>
      </c>
      <c r="T22" s="26">
        <v>1</v>
      </c>
      <c r="U22" s="30">
        <v>1</v>
      </c>
      <c r="V22" s="30">
        <v>1</v>
      </c>
      <c r="W22" s="26">
        <v>1</v>
      </c>
      <c r="X22" s="26">
        <v>1</v>
      </c>
    </row>
    <row r="23" spans="1:24" x14ac:dyDescent="0.25">
      <c r="A23" s="13">
        <v>21</v>
      </c>
      <c r="B23" s="24">
        <v>5597</v>
      </c>
      <c r="C23" s="12">
        <v>36812626</v>
      </c>
      <c r="D23" s="36" t="s">
        <v>45</v>
      </c>
      <c r="E23" s="37"/>
      <c r="F23" s="21">
        <v>42</v>
      </c>
      <c r="G23" s="21" t="s">
        <v>4</v>
      </c>
      <c r="H23" s="21">
        <v>57</v>
      </c>
      <c r="I23" s="21">
        <v>42</v>
      </c>
      <c r="J23" s="21" t="s">
        <v>1</v>
      </c>
      <c r="K23" s="27" t="s">
        <v>1</v>
      </c>
      <c r="L23" s="27">
        <v>40</v>
      </c>
      <c r="M23" s="34">
        <v>42</v>
      </c>
      <c r="N23" s="30">
        <v>1</v>
      </c>
      <c r="O23" s="30">
        <v>1</v>
      </c>
      <c r="P23" s="30">
        <v>1</v>
      </c>
      <c r="Q23" s="30">
        <v>1</v>
      </c>
      <c r="R23" s="30">
        <v>1</v>
      </c>
      <c r="S23" s="26">
        <v>1</v>
      </c>
      <c r="T23" s="26">
        <v>1</v>
      </c>
      <c r="U23" s="30">
        <v>1</v>
      </c>
      <c r="V23" s="30">
        <v>1</v>
      </c>
      <c r="W23" s="26">
        <v>1</v>
      </c>
      <c r="X23" s="26">
        <v>1</v>
      </c>
    </row>
    <row r="24" spans="1:24" x14ac:dyDescent="0.25">
      <c r="A24" s="13">
        <v>22</v>
      </c>
      <c r="B24" s="24">
        <v>5605</v>
      </c>
      <c r="C24" s="12">
        <v>40925990</v>
      </c>
      <c r="D24" s="36" t="s">
        <v>46</v>
      </c>
      <c r="E24" s="37"/>
      <c r="F24" s="21">
        <v>42</v>
      </c>
      <c r="G24" s="21" t="s">
        <v>1</v>
      </c>
      <c r="H24" s="21">
        <v>60</v>
      </c>
      <c r="I24" s="21">
        <v>42</v>
      </c>
      <c r="J24" s="21" t="s">
        <v>1</v>
      </c>
      <c r="K24" s="27" t="s">
        <v>3</v>
      </c>
      <c r="L24" s="27">
        <v>43</v>
      </c>
      <c r="M24" s="34">
        <v>42</v>
      </c>
      <c r="N24" s="30">
        <v>1</v>
      </c>
      <c r="O24" s="30">
        <v>1</v>
      </c>
      <c r="P24" s="30">
        <v>1</v>
      </c>
      <c r="Q24" s="30">
        <v>1</v>
      </c>
      <c r="R24" s="30">
        <v>1</v>
      </c>
      <c r="S24" s="26">
        <v>1</v>
      </c>
      <c r="T24" s="26">
        <v>1</v>
      </c>
      <c r="U24" s="30">
        <v>1</v>
      </c>
      <c r="V24" s="30">
        <v>1</v>
      </c>
      <c r="W24" s="26">
        <v>1</v>
      </c>
      <c r="X24" s="26">
        <v>1</v>
      </c>
    </row>
    <row r="25" spans="1:24" x14ac:dyDescent="0.25">
      <c r="A25" s="13">
        <v>23</v>
      </c>
      <c r="B25" s="24">
        <v>5620</v>
      </c>
      <c r="C25" s="12">
        <v>41364882</v>
      </c>
      <c r="D25" s="36" t="s">
        <v>47</v>
      </c>
      <c r="E25" s="37"/>
      <c r="F25" s="27">
        <v>40</v>
      </c>
      <c r="G25" s="27" t="s">
        <v>2</v>
      </c>
      <c r="H25" s="21">
        <v>57</v>
      </c>
      <c r="I25" s="21">
        <v>42</v>
      </c>
      <c r="J25" s="21" t="s">
        <v>2</v>
      </c>
      <c r="K25" s="27" t="s">
        <v>2</v>
      </c>
      <c r="L25" s="21">
        <v>41</v>
      </c>
      <c r="M25" s="32">
        <v>40</v>
      </c>
      <c r="N25" s="30">
        <v>1</v>
      </c>
      <c r="O25" s="30">
        <v>1</v>
      </c>
      <c r="P25" s="30">
        <v>1</v>
      </c>
      <c r="Q25" s="30">
        <v>1</v>
      </c>
      <c r="R25" s="30">
        <v>1</v>
      </c>
      <c r="S25" s="26">
        <v>1</v>
      </c>
      <c r="T25" s="26">
        <v>1</v>
      </c>
      <c r="U25" s="30">
        <v>1</v>
      </c>
      <c r="V25" s="30">
        <v>1</v>
      </c>
      <c r="W25" s="26">
        <v>1</v>
      </c>
      <c r="X25" s="26">
        <v>1</v>
      </c>
    </row>
    <row r="26" spans="1:24" x14ac:dyDescent="0.25">
      <c r="A26" s="13">
        <v>24</v>
      </c>
      <c r="B26" s="24">
        <v>5635</v>
      </c>
      <c r="C26" s="12">
        <v>42510645</v>
      </c>
      <c r="D26" s="36" t="s">
        <v>48</v>
      </c>
      <c r="E26" s="37"/>
      <c r="F26" s="21">
        <v>42</v>
      </c>
      <c r="G26" s="21" t="s">
        <v>1</v>
      </c>
      <c r="H26" s="21">
        <v>57</v>
      </c>
      <c r="I26" s="21">
        <v>42</v>
      </c>
      <c r="J26" s="21" t="s">
        <v>1</v>
      </c>
      <c r="K26" s="27" t="s">
        <v>3</v>
      </c>
      <c r="L26" s="21">
        <v>42</v>
      </c>
      <c r="M26" s="34">
        <v>42</v>
      </c>
      <c r="N26" s="30">
        <v>1</v>
      </c>
      <c r="O26" s="30">
        <v>1</v>
      </c>
      <c r="P26" s="30">
        <v>1</v>
      </c>
      <c r="Q26" s="30">
        <v>1</v>
      </c>
      <c r="R26" s="30">
        <v>1</v>
      </c>
      <c r="S26" s="26">
        <v>1</v>
      </c>
      <c r="T26" s="26">
        <v>1</v>
      </c>
      <c r="U26" s="30">
        <v>1</v>
      </c>
      <c r="V26" s="30">
        <v>1</v>
      </c>
      <c r="W26" s="26">
        <v>1</v>
      </c>
      <c r="X26" s="26">
        <v>1</v>
      </c>
    </row>
    <row r="27" spans="1:24" x14ac:dyDescent="0.25">
      <c r="A27" s="13">
        <v>25</v>
      </c>
      <c r="B27" s="24">
        <v>5585</v>
      </c>
      <c r="C27" s="12">
        <v>43638589</v>
      </c>
      <c r="D27" s="36" t="s">
        <v>49</v>
      </c>
      <c r="E27" s="37"/>
      <c r="F27" s="21">
        <v>42</v>
      </c>
      <c r="G27" s="21" t="s">
        <v>1</v>
      </c>
      <c r="H27" s="21">
        <v>57</v>
      </c>
      <c r="I27" s="21">
        <v>46</v>
      </c>
      <c r="J27" s="21" t="s">
        <v>1</v>
      </c>
      <c r="K27" s="27" t="s">
        <v>3</v>
      </c>
      <c r="L27" s="27">
        <v>43</v>
      </c>
      <c r="M27" s="34">
        <v>42</v>
      </c>
      <c r="N27" s="30">
        <v>1</v>
      </c>
      <c r="O27" s="30">
        <v>1</v>
      </c>
      <c r="P27" s="30">
        <v>1</v>
      </c>
      <c r="Q27" s="30">
        <v>1</v>
      </c>
      <c r="R27" s="30">
        <v>1</v>
      </c>
      <c r="S27" s="26">
        <v>1</v>
      </c>
      <c r="T27" s="26">
        <v>1</v>
      </c>
      <c r="U27" s="30">
        <v>1</v>
      </c>
      <c r="V27" s="30">
        <v>1</v>
      </c>
      <c r="W27" s="26">
        <v>1</v>
      </c>
      <c r="X27" s="26">
        <v>1</v>
      </c>
    </row>
    <row r="28" spans="1:24" x14ac:dyDescent="0.25">
      <c r="A28" s="13">
        <v>26</v>
      </c>
      <c r="B28" s="24">
        <v>5632</v>
      </c>
      <c r="C28" s="12">
        <v>43690507</v>
      </c>
      <c r="D28" s="36" t="s">
        <v>50</v>
      </c>
      <c r="E28" s="37"/>
      <c r="F28" s="21">
        <v>42</v>
      </c>
      <c r="G28" s="21" t="s">
        <v>3</v>
      </c>
      <c r="H28" s="21">
        <v>59</v>
      </c>
      <c r="I28" s="21">
        <v>46</v>
      </c>
      <c r="J28" s="21" t="s">
        <v>1</v>
      </c>
      <c r="K28" s="27" t="s">
        <v>1</v>
      </c>
      <c r="L28" s="27">
        <v>43</v>
      </c>
      <c r="M28" s="34">
        <v>42</v>
      </c>
      <c r="N28" s="30">
        <v>1</v>
      </c>
      <c r="O28" s="30">
        <v>1</v>
      </c>
      <c r="P28" s="30">
        <v>1</v>
      </c>
      <c r="Q28" s="30">
        <v>1</v>
      </c>
      <c r="R28" s="30">
        <v>1</v>
      </c>
      <c r="S28" s="26">
        <v>1</v>
      </c>
      <c r="T28" s="26">
        <v>1</v>
      </c>
      <c r="U28" s="30">
        <v>1</v>
      </c>
      <c r="V28" s="30">
        <v>1</v>
      </c>
      <c r="W28" s="26">
        <v>1</v>
      </c>
      <c r="X28" s="26">
        <v>1</v>
      </c>
    </row>
    <row r="29" spans="1:24" x14ac:dyDescent="0.25">
      <c r="A29" s="13">
        <v>27</v>
      </c>
      <c r="B29" s="24">
        <v>5650</v>
      </c>
      <c r="C29" s="12">
        <v>36999681</v>
      </c>
      <c r="D29" s="36" t="s">
        <v>51</v>
      </c>
      <c r="E29" s="37"/>
      <c r="F29" s="27">
        <v>46</v>
      </c>
      <c r="G29" s="21" t="s">
        <v>3</v>
      </c>
      <c r="H29" s="21">
        <v>58</v>
      </c>
      <c r="I29" s="27">
        <v>48</v>
      </c>
      <c r="J29" s="21" t="s">
        <v>3</v>
      </c>
      <c r="K29" s="27" t="s">
        <v>6</v>
      </c>
      <c r="L29" s="21"/>
      <c r="M29" s="34">
        <v>46</v>
      </c>
      <c r="N29" s="30">
        <v>1</v>
      </c>
      <c r="O29" s="30">
        <v>1</v>
      </c>
      <c r="P29" s="30">
        <v>1</v>
      </c>
      <c r="Q29" s="30">
        <v>1</v>
      </c>
      <c r="R29" s="30">
        <v>1</v>
      </c>
      <c r="S29" s="26">
        <v>1</v>
      </c>
      <c r="T29" s="26">
        <v>1</v>
      </c>
      <c r="U29" s="30">
        <v>1</v>
      </c>
      <c r="V29" s="30">
        <v>1</v>
      </c>
      <c r="W29" s="26">
        <v>1</v>
      </c>
      <c r="X29" s="26">
        <v>1</v>
      </c>
    </row>
    <row r="30" spans="1:24" x14ac:dyDescent="0.25">
      <c r="A30" s="13">
        <v>28</v>
      </c>
      <c r="B30" s="24">
        <v>5572</v>
      </c>
      <c r="C30" s="12">
        <v>37086895</v>
      </c>
      <c r="D30" s="36" t="s">
        <v>52</v>
      </c>
      <c r="E30" s="37"/>
      <c r="F30" s="27">
        <v>38</v>
      </c>
      <c r="G30" s="27" t="s">
        <v>2</v>
      </c>
      <c r="H30" s="21">
        <v>56</v>
      </c>
      <c r="I30" s="27">
        <v>40</v>
      </c>
      <c r="J30" s="21" t="s">
        <v>2</v>
      </c>
      <c r="K30" s="27" t="s">
        <v>1</v>
      </c>
      <c r="L30" s="27">
        <v>43</v>
      </c>
      <c r="M30" s="32">
        <v>38</v>
      </c>
      <c r="N30" s="30">
        <v>1</v>
      </c>
      <c r="O30" s="30">
        <v>1</v>
      </c>
      <c r="P30" s="30">
        <v>1</v>
      </c>
      <c r="Q30" s="30">
        <v>1</v>
      </c>
      <c r="R30" s="30">
        <v>1</v>
      </c>
      <c r="S30" s="26">
        <v>1</v>
      </c>
      <c r="T30" s="26">
        <v>1</v>
      </c>
      <c r="U30" s="30">
        <v>1</v>
      </c>
      <c r="V30" s="30">
        <v>1</v>
      </c>
      <c r="W30" s="26">
        <v>1</v>
      </c>
      <c r="X30" s="26">
        <v>1</v>
      </c>
    </row>
    <row r="31" spans="1:24" x14ac:dyDescent="0.25">
      <c r="A31" s="13">
        <v>29</v>
      </c>
      <c r="B31" s="24">
        <v>5646</v>
      </c>
      <c r="C31" s="12">
        <v>41644961</v>
      </c>
      <c r="D31" s="36" t="s">
        <v>53</v>
      </c>
      <c r="E31" s="37"/>
      <c r="F31" s="21">
        <v>44</v>
      </c>
      <c r="G31" s="21" t="s">
        <v>1</v>
      </c>
      <c r="H31" s="21">
        <v>57</v>
      </c>
      <c r="I31" s="27">
        <v>48</v>
      </c>
      <c r="J31" s="21" t="s">
        <v>3</v>
      </c>
      <c r="K31" s="27" t="s">
        <v>3</v>
      </c>
      <c r="L31" s="27">
        <v>43</v>
      </c>
      <c r="M31" s="34">
        <v>44</v>
      </c>
      <c r="N31" s="30">
        <v>1</v>
      </c>
      <c r="O31" s="30">
        <v>1</v>
      </c>
      <c r="P31" s="30">
        <v>1</v>
      </c>
      <c r="Q31" s="30">
        <v>1</v>
      </c>
      <c r="R31" s="30">
        <v>1</v>
      </c>
      <c r="S31" s="26">
        <v>1</v>
      </c>
      <c r="T31" s="26">
        <v>1</v>
      </c>
      <c r="U31" s="30">
        <v>1</v>
      </c>
      <c r="V31" s="30">
        <v>1</v>
      </c>
      <c r="W31" s="26">
        <v>1</v>
      </c>
      <c r="X31" s="26">
        <v>1</v>
      </c>
    </row>
    <row r="32" spans="1:24" x14ac:dyDescent="0.25">
      <c r="A32" s="13">
        <v>30</v>
      </c>
      <c r="B32" s="24">
        <v>5563</v>
      </c>
      <c r="C32" s="12">
        <v>43750657</v>
      </c>
      <c r="D32" s="36" t="s">
        <v>54</v>
      </c>
      <c r="E32" s="37"/>
      <c r="F32" s="27">
        <v>48</v>
      </c>
      <c r="G32" s="21" t="s">
        <v>6</v>
      </c>
      <c r="H32" s="21">
        <v>60</v>
      </c>
      <c r="I32" s="21">
        <v>58</v>
      </c>
      <c r="J32" s="21" t="s">
        <v>7</v>
      </c>
      <c r="K32" s="27" t="s">
        <v>7</v>
      </c>
      <c r="L32" s="21">
        <v>43</v>
      </c>
      <c r="M32" s="32">
        <v>48</v>
      </c>
      <c r="N32" s="30">
        <v>1</v>
      </c>
      <c r="O32" s="30">
        <v>1</v>
      </c>
      <c r="P32" s="30">
        <v>1</v>
      </c>
      <c r="Q32" s="30">
        <v>1</v>
      </c>
      <c r="R32" s="30">
        <v>1</v>
      </c>
      <c r="S32" s="26">
        <v>1</v>
      </c>
      <c r="T32" s="26">
        <v>1</v>
      </c>
      <c r="U32" s="30">
        <v>1</v>
      </c>
      <c r="V32" s="30">
        <v>1</v>
      </c>
      <c r="W32" s="26">
        <v>1</v>
      </c>
      <c r="X32" s="26">
        <v>1</v>
      </c>
    </row>
    <row r="33" spans="1:24" x14ac:dyDescent="0.25">
      <c r="A33" s="13">
        <v>31</v>
      </c>
      <c r="B33" s="24">
        <v>5618</v>
      </c>
      <c r="C33" s="12">
        <v>38207855</v>
      </c>
      <c r="D33" s="36" t="s">
        <v>55</v>
      </c>
      <c r="E33" s="37"/>
      <c r="F33" s="21">
        <v>44</v>
      </c>
      <c r="G33" s="21" t="s">
        <v>3</v>
      </c>
      <c r="H33" s="21">
        <v>60</v>
      </c>
      <c r="I33" s="21">
        <v>50</v>
      </c>
      <c r="J33" s="21" t="s">
        <v>3</v>
      </c>
      <c r="K33" s="27" t="s">
        <v>3</v>
      </c>
      <c r="L33" s="21"/>
      <c r="M33" s="34">
        <v>44</v>
      </c>
      <c r="N33" s="30">
        <v>1</v>
      </c>
      <c r="O33" s="30">
        <v>1</v>
      </c>
      <c r="P33" s="30">
        <v>1</v>
      </c>
      <c r="Q33" s="30">
        <v>1</v>
      </c>
      <c r="R33" s="30">
        <v>1</v>
      </c>
      <c r="S33" s="26">
        <v>1</v>
      </c>
      <c r="T33" s="26">
        <v>1</v>
      </c>
      <c r="U33" s="30">
        <v>1</v>
      </c>
      <c r="V33" s="30">
        <v>1</v>
      </c>
      <c r="W33" s="26">
        <v>1</v>
      </c>
      <c r="X33" s="26">
        <v>1</v>
      </c>
    </row>
    <row r="34" spans="1:24" x14ac:dyDescent="0.25">
      <c r="A34" s="13">
        <v>32</v>
      </c>
      <c r="B34" s="24">
        <v>5660</v>
      </c>
      <c r="C34" s="12">
        <v>38909402</v>
      </c>
      <c r="D34" s="36" t="s">
        <v>56</v>
      </c>
      <c r="E34" s="37"/>
      <c r="F34" s="21">
        <v>42</v>
      </c>
      <c r="G34" s="27" t="s">
        <v>7</v>
      </c>
      <c r="H34" s="21">
        <v>60</v>
      </c>
      <c r="I34" s="27">
        <v>44</v>
      </c>
      <c r="J34" s="21" t="s">
        <v>1</v>
      </c>
      <c r="K34" s="27" t="s">
        <v>1</v>
      </c>
      <c r="L34" s="21">
        <v>42</v>
      </c>
      <c r="M34" s="34">
        <v>42</v>
      </c>
      <c r="N34" s="30">
        <v>1</v>
      </c>
      <c r="O34" s="30">
        <v>1</v>
      </c>
      <c r="P34" s="30">
        <v>1</v>
      </c>
      <c r="Q34" s="30">
        <v>1</v>
      </c>
      <c r="R34" s="30">
        <v>1</v>
      </c>
      <c r="S34" s="26">
        <v>1</v>
      </c>
      <c r="T34" s="26">
        <v>1</v>
      </c>
      <c r="U34" s="30">
        <v>1</v>
      </c>
      <c r="V34" s="30">
        <v>1</v>
      </c>
      <c r="W34" s="26">
        <v>1</v>
      </c>
      <c r="X34" s="26">
        <v>1</v>
      </c>
    </row>
    <row r="35" spans="1:24" x14ac:dyDescent="0.25">
      <c r="A35" s="13">
        <v>33</v>
      </c>
      <c r="B35" s="24">
        <v>5664</v>
      </c>
      <c r="C35" s="12">
        <v>35626747</v>
      </c>
      <c r="D35" s="36" t="s">
        <v>57</v>
      </c>
      <c r="E35" s="37"/>
      <c r="F35" s="27">
        <v>48</v>
      </c>
      <c r="G35" s="21" t="s">
        <v>1</v>
      </c>
      <c r="H35" s="21">
        <v>58</v>
      </c>
      <c r="I35" s="21">
        <v>54</v>
      </c>
      <c r="J35" s="21" t="s">
        <v>6</v>
      </c>
      <c r="K35" s="27" t="s">
        <v>6</v>
      </c>
      <c r="L35" s="27">
        <v>45</v>
      </c>
      <c r="M35" s="32">
        <v>48</v>
      </c>
      <c r="N35" s="30">
        <v>1</v>
      </c>
      <c r="O35" s="30">
        <v>1</v>
      </c>
      <c r="P35" s="30">
        <v>1</v>
      </c>
      <c r="Q35" s="30">
        <v>1</v>
      </c>
      <c r="R35" s="30">
        <v>1</v>
      </c>
      <c r="S35" s="26">
        <v>1</v>
      </c>
      <c r="T35" s="26">
        <v>1</v>
      </c>
      <c r="U35" s="30">
        <v>1</v>
      </c>
      <c r="V35" s="30">
        <v>1</v>
      </c>
      <c r="W35" s="26">
        <v>1</v>
      </c>
      <c r="X35" s="26">
        <v>1</v>
      </c>
    </row>
    <row r="36" spans="1:24" x14ac:dyDescent="0.25">
      <c r="A36" s="13">
        <v>34</v>
      </c>
      <c r="B36" s="24">
        <v>5668</v>
      </c>
      <c r="C36" s="12">
        <v>35937684</v>
      </c>
      <c r="D36" s="36" t="s">
        <v>58</v>
      </c>
      <c r="E36" s="37"/>
      <c r="F36" s="27">
        <v>38</v>
      </c>
      <c r="G36" s="21" t="s">
        <v>4</v>
      </c>
      <c r="H36" s="21">
        <v>58</v>
      </c>
      <c r="I36" s="27">
        <v>44</v>
      </c>
      <c r="J36" s="21" t="s">
        <v>2</v>
      </c>
      <c r="K36" s="27" t="s">
        <v>2</v>
      </c>
      <c r="L36" s="27">
        <v>37</v>
      </c>
      <c r="M36" s="32">
        <v>38</v>
      </c>
      <c r="N36" s="30">
        <v>1</v>
      </c>
      <c r="O36" s="30">
        <v>1</v>
      </c>
      <c r="P36" s="30">
        <v>1</v>
      </c>
      <c r="Q36" s="30">
        <v>1</v>
      </c>
      <c r="R36" s="30">
        <v>1</v>
      </c>
      <c r="S36" s="26">
        <v>1</v>
      </c>
      <c r="T36" s="26">
        <v>1</v>
      </c>
      <c r="U36" s="30">
        <v>1</v>
      </c>
      <c r="V36" s="30">
        <v>1</v>
      </c>
      <c r="W36" s="26">
        <v>1</v>
      </c>
      <c r="X36" s="26">
        <v>1</v>
      </c>
    </row>
    <row r="37" spans="1:24" x14ac:dyDescent="0.25">
      <c r="A37" s="13">
        <v>35</v>
      </c>
      <c r="B37" s="24">
        <v>5665</v>
      </c>
      <c r="C37" s="12">
        <v>42669873</v>
      </c>
      <c r="D37" s="36" t="s">
        <v>59</v>
      </c>
      <c r="E37" s="37"/>
      <c r="F37" s="21">
        <v>44</v>
      </c>
      <c r="G37" s="21" t="s">
        <v>1</v>
      </c>
      <c r="H37" s="21">
        <v>57</v>
      </c>
      <c r="I37" s="21">
        <v>46</v>
      </c>
      <c r="J37" s="21" t="s">
        <v>3</v>
      </c>
      <c r="K37" s="27" t="s">
        <v>3</v>
      </c>
      <c r="L37" s="21">
        <v>41</v>
      </c>
      <c r="M37" s="34">
        <v>44</v>
      </c>
      <c r="N37" s="30">
        <v>1</v>
      </c>
      <c r="O37" s="30">
        <v>1</v>
      </c>
      <c r="P37" s="30">
        <v>1</v>
      </c>
      <c r="Q37" s="30">
        <v>1</v>
      </c>
      <c r="R37" s="30">
        <v>1</v>
      </c>
      <c r="S37" s="26">
        <v>1</v>
      </c>
      <c r="T37" s="26">
        <v>1</v>
      </c>
      <c r="U37" s="30">
        <v>1</v>
      </c>
      <c r="V37" s="30">
        <v>1</v>
      </c>
      <c r="W37" s="26">
        <v>1</v>
      </c>
      <c r="X37" s="26">
        <v>1</v>
      </c>
    </row>
    <row r="38" spans="1:24" x14ac:dyDescent="0.25">
      <c r="A38" s="13">
        <v>36</v>
      </c>
      <c r="B38" s="24">
        <v>5580</v>
      </c>
      <c r="C38" s="12">
        <v>41967328</v>
      </c>
      <c r="D38" s="36" t="s">
        <v>60</v>
      </c>
      <c r="E38" s="37"/>
      <c r="F38" s="27">
        <v>46</v>
      </c>
      <c r="G38" s="21" t="s">
        <v>6</v>
      </c>
      <c r="H38" s="21">
        <v>58</v>
      </c>
      <c r="I38" s="21">
        <v>54</v>
      </c>
      <c r="J38" s="21" t="s">
        <v>6</v>
      </c>
      <c r="K38" s="27" t="s">
        <v>3</v>
      </c>
      <c r="L38" s="21">
        <v>43</v>
      </c>
      <c r="M38" s="34">
        <v>46</v>
      </c>
      <c r="N38" s="30">
        <v>1</v>
      </c>
      <c r="O38" s="30">
        <v>1</v>
      </c>
      <c r="P38" s="30">
        <v>1</v>
      </c>
      <c r="Q38" s="30">
        <v>1</v>
      </c>
      <c r="R38" s="30">
        <v>1</v>
      </c>
      <c r="S38" s="26">
        <v>1</v>
      </c>
      <c r="T38" s="26">
        <v>1</v>
      </c>
      <c r="U38" s="30">
        <v>1</v>
      </c>
      <c r="V38" s="30">
        <v>1</v>
      </c>
      <c r="W38" s="26">
        <v>1</v>
      </c>
      <c r="X38" s="26">
        <v>1</v>
      </c>
    </row>
    <row r="39" spans="1:24" x14ac:dyDescent="0.25">
      <c r="A39" s="13">
        <v>37</v>
      </c>
      <c r="B39" s="24">
        <v>5636</v>
      </c>
      <c r="C39" s="12">
        <v>42357750</v>
      </c>
      <c r="D39" s="36" t="s">
        <v>61</v>
      </c>
      <c r="E39" s="37"/>
      <c r="F39" s="21"/>
      <c r="G39" s="21"/>
      <c r="H39" s="21"/>
      <c r="I39" s="21"/>
      <c r="J39" s="21"/>
      <c r="K39" s="21"/>
      <c r="L39" s="21"/>
      <c r="M39" s="34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</row>
    <row r="40" spans="1:24" x14ac:dyDescent="0.25">
      <c r="A40" s="13">
        <v>38</v>
      </c>
      <c r="B40" s="24">
        <v>5614</v>
      </c>
      <c r="C40" s="12">
        <v>37413174</v>
      </c>
      <c r="D40" s="36" t="s">
        <v>62</v>
      </c>
      <c r="E40" s="37"/>
      <c r="F40" s="21">
        <v>42</v>
      </c>
      <c r="G40" s="27" t="s">
        <v>2</v>
      </c>
      <c r="H40" s="21">
        <v>57</v>
      </c>
      <c r="I40" s="27">
        <v>44</v>
      </c>
      <c r="J40" s="21" t="s">
        <v>2</v>
      </c>
      <c r="K40" s="27" t="s">
        <v>2</v>
      </c>
      <c r="L40" s="21">
        <v>41</v>
      </c>
      <c r="M40" s="34">
        <v>42</v>
      </c>
      <c r="N40" s="30">
        <v>1</v>
      </c>
      <c r="O40" s="30">
        <v>1</v>
      </c>
      <c r="P40" s="30">
        <v>1</v>
      </c>
      <c r="Q40" s="30">
        <v>1</v>
      </c>
      <c r="R40" s="30">
        <v>1</v>
      </c>
      <c r="S40" s="26">
        <v>1</v>
      </c>
      <c r="T40" s="26">
        <v>1</v>
      </c>
      <c r="U40" s="30">
        <v>1</v>
      </c>
      <c r="V40" s="30">
        <v>1</v>
      </c>
      <c r="W40" s="26">
        <v>1</v>
      </c>
      <c r="X40" s="26">
        <v>1</v>
      </c>
    </row>
    <row r="41" spans="1:24" x14ac:dyDescent="0.25">
      <c r="A41" s="13">
        <v>39</v>
      </c>
      <c r="B41" s="24">
        <v>5570</v>
      </c>
      <c r="C41" s="12">
        <v>43830599</v>
      </c>
      <c r="D41" s="36" t="s">
        <v>63</v>
      </c>
      <c r="E41" s="37"/>
      <c r="F41" s="21">
        <v>42</v>
      </c>
      <c r="G41" s="27" t="s">
        <v>2</v>
      </c>
      <c r="H41" s="21">
        <v>57</v>
      </c>
      <c r="I41" s="21">
        <v>46</v>
      </c>
      <c r="J41" s="21" t="s">
        <v>1</v>
      </c>
      <c r="K41" s="27" t="s">
        <v>1</v>
      </c>
      <c r="L41" s="21">
        <v>42</v>
      </c>
      <c r="M41" s="34">
        <v>42</v>
      </c>
      <c r="N41" s="30">
        <v>1</v>
      </c>
      <c r="O41" s="30">
        <v>1</v>
      </c>
      <c r="P41" s="30">
        <v>1</v>
      </c>
      <c r="Q41" s="30">
        <v>1</v>
      </c>
      <c r="R41" s="30">
        <v>1</v>
      </c>
      <c r="S41" s="26">
        <v>1</v>
      </c>
      <c r="T41" s="26">
        <v>1</v>
      </c>
      <c r="U41" s="30">
        <v>1</v>
      </c>
      <c r="V41" s="30">
        <v>1</v>
      </c>
      <c r="W41" s="26">
        <v>1</v>
      </c>
      <c r="X41" s="26">
        <v>1</v>
      </c>
    </row>
    <row r="42" spans="1:24" x14ac:dyDescent="0.25">
      <c r="A42" s="13">
        <v>40</v>
      </c>
      <c r="B42" s="24">
        <v>5594</v>
      </c>
      <c r="C42" s="12">
        <v>44984863</v>
      </c>
      <c r="D42" s="36" t="s">
        <v>64</v>
      </c>
      <c r="E42" s="37"/>
      <c r="F42" s="27">
        <v>38</v>
      </c>
      <c r="G42" s="21" t="s">
        <v>4</v>
      </c>
      <c r="H42" s="21">
        <v>58</v>
      </c>
      <c r="I42" s="27">
        <v>40</v>
      </c>
      <c r="J42" s="21" t="s">
        <v>2</v>
      </c>
      <c r="K42" s="27" t="s">
        <v>2</v>
      </c>
      <c r="L42" s="21">
        <v>41</v>
      </c>
      <c r="M42" s="32">
        <v>38</v>
      </c>
      <c r="N42" s="30">
        <v>1</v>
      </c>
      <c r="O42" s="30">
        <v>1</v>
      </c>
      <c r="P42" s="30">
        <v>1</v>
      </c>
      <c r="Q42" s="30">
        <v>1</v>
      </c>
      <c r="R42" s="30">
        <v>1</v>
      </c>
      <c r="S42" s="26">
        <v>1</v>
      </c>
      <c r="T42" s="26">
        <v>1</v>
      </c>
      <c r="U42" s="30">
        <v>1</v>
      </c>
      <c r="V42" s="30">
        <v>1</v>
      </c>
      <c r="W42" s="26">
        <v>1</v>
      </c>
      <c r="X42" s="26">
        <v>1</v>
      </c>
    </row>
    <row r="43" spans="1:24" x14ac:dyDescent="0.25">
      <c r="A43" s="13">
        <v>41</v>
      </c>
      <c r="B43" s="24">
        <v>5627</v>
      </c>
      <c r="C43" s="12">
        <v>39084982</v>
      </c>
      <c r="D43" s="36" t="s">
        <v>65</v>
      </c>
      <c r="E43" s="37"/>
      <c r="F43" s="27">
        <v>40</v>
      </c>
      <c r="G43" s="21" t="s">
        <v>4</v>
      </c>
      <c r="H43" s="21">
        <v>57</v>
      </c>
      <c r="I43" s="21">
        <v>42</v>
      </c>
      <c r="J43" s="21" t="s">
        <v>2</v>
      </c>
      <c r="K43" s="27" t="s">
        <v>2</v>
      </c>
      <c r="L43" s="21">
        <v>41</v>
      </c>
      <c r="M43" s="32">
        <v>40</v>
      </c>
      <c r="N43" s="30">
        <v>1</v>
      </c>
      <c r="O43" s="30">
        <v>1</v>
      </c>
      <c r="P43" s="30">
        <v>1</v>
      </c>
      <c r="Q43" s="30">
        <v>1</v>
      </c>
      <c r="R43" s="30">
        <v>1</v>
      </c>
      <c r="S43" s="26">
        <v>1</v>
      </c>
      <c r="T43" s="26">
        <v>1</v>
      </c>
      <c r="U43" s="30">
        <v>1</v>
      </c>
      <c r="V43" s="30">
        <v>1</v>
      </c>
      <c r="W43" s="26">
        <v>1</v>
      </c>
      <c r="X43" s="26">
        <v>1</v>
      </c>
    </row>
    <row r="44" spans="1:24" x14ac:dyDescent="0.25">
      <c r="A44" s="13">
        <v>42</v>
      </c>
      <c r="B44" s="24">
        <v>5610</v>
      </c>
      <c r="C44" s="12">
        <v>41750593</v>
      </c>
      <c r="D44" s="36" t="s">
        <v>66</v>
      </c>
      <c r="E44" s="37"/>
      <c r="F44" s="21">
        <v>42</v>
      </c>
      <c r="G44" s="21" t="s">
        <v>4</v>
      </c>
      <c r="H44" s="21">
        <v>57</v>
      </c>
      <c r="I44" s="27">
        <v>44</v>
      </c>
      <c r="J44" s="21" t="s">
        <v>1</v>
      </c>
      <c r="K44" s="27" t="s">
        <v>1</v>
      </c>
      <c r="L44" s="27">
        <v>40</v>
      </c>
      <c r="M44" s="34">
        <v>42</v>
      </c>
      <c r="N44" s="30">
        <v>1</v>
      </c>
      <c r="O44" s="30">
        <v>1</v>
      </c>
      <c r="P44" s="30">
        <v>1</v>
      </c>
      <c r="Q44" s="30">
        <v>1</v>
      </c>
      <c r="R44" s="30">
        <v>1</v>
      </c>
      <c r="S44" s="26">
        <v>1</v>
      </c>
      <c r="T44" s="26">
        <v>1</v>
      </c>
      <c r="U44" s="30">
        <v>1</v>
      </c>
      <c r="V44" s="30">
        <v>1</v>
      </c>
      <c r="W44" s="26">
        <v>1</v>
      </c>
      <c r="X44" s="26">
        <v>1</v>
      </c>
    </row>
    <row r="45" spans="1:24" x14ac:dyDescent="0.25">
      <c r="A45" s="13">
        <v>43</v>
      </c>
      <c r="B45" s="24">
        <v>5581</v>
      </c>
      <c r="C45" s="12">
        <v>37964139</v>
      </c>
      <c r="D45" s="36" t="s">
        <v>67</v>
      </c>
      <c r="E45" s="37"/>
      <c r="F45" s="21">
        <v>42</v>
      </c>
      <c r="G45" s="21" t="s">
        <v>1</v>
      </c>
      <c r="H45" s="21">
        <v>59</v>
      </c>
      <c r="I45" s="21">
        <v>44</v>
      </c>
      <c r="J45" s="21" t="s">
        <v>1</v>
      </c>
      <c r="K45" s="27" t="s">
        <v>1</v>
      </c>
      <c r="L45" s="21">
        <v>41</v>
      </c>
      <c r="M45" s="34">
        <v>42</v>
      </c>
      <c r="N45" s="30">
        <v>1</v>
      </c>
      <c r="O45" s="30">
        <v>1</v>
      </c>
      <c r="P45" s="30">
        <v>1</v>
      </c>
      <c r="Q45" s="30">
        <v>1</v>
      </c>
      <c r="R45" s="30">
        <v>1</v>
      </c>
      <c r="S45" s="26">
        <v>1</v>
      </c>
      <c r="T45" s="26">
        <v>1</v>
      </c>
      <c r="U45" s="30">
        <v>1</v>
      </c>
      <c r="V45" s="30">
        <v>1</v>
      </c>
      <c r="W45" s="26">
        <v>1</v>
      </c>
      <c r="X45" s="26">
        <v>1</v>
      </c>
    </row>
    <row r="46" spans="1:24" x14ac:dyDescent="0.25">
      <c r="A46" s="13">
        <v>44</v>
      </c>
      <c r="B46" s="24">
        <v>5626</v>
      </c>
      <c r="C46" s="12">
        <v>37625830</v>
      </c>
      <c r="D46" s="36" t="s">
        <v>68</v>
      </c>
      <c r="E46" s="37"/>
      <c r="F46" s="27">
        <v>46</v>
      </c>
      <c r="G46" s="21" t="s">
        <v>3</v>
      </c>
      <c r="H46" s="21">
        <v>57</v>
      </c>
      <c r="I46" s="21">
        <v>46</v>
      </c>
      <c r="J46" s="21" t="s">
        <v>3</v>
      </c>
      <c r="K46" s="27" t="s">
        <v>6</v>
      </c>
      <c r="L46" s="21">
        <v>43</v>
      </c>
      <c r="M46" s="34">
        <v>46</v>
      </c>
      <c r="N46" s="30">
        <v>1</v>
      </c>
      <c r="O46" s="30">
        <v>1</v>
      </c>
      <c r="P46" s="30">
        <v>1</v>
      </c>
      <c r="Q46" s="30">
        <v>1</v>
      </c>
      <c r="R46" s="30">
        <v>1</v>
      </c>
      <c r="S46" s="26">
        <v>1</v>
      </c>
      <c r="T46" s="26">
        <v>1</v>
      </c>
      <c r="U46" s="30">
        <v>1</v>
      </c>
      <c r="V46" s="30">
        <v>1</v>
      </c>
      <c r="W46" s="26">
        <v>1</v>
      </c>
      <c r="X46" s="26">
        <v>1</v>
      </c>
    </row>
    <row r="47" spans="1:24" x14ac:dyDescent="0.25">
      <c r="A47" s="13">
        <v>45</v>
      </c>
      <c r="B47" s="24">
        <v>5579</v>
      </c>
      <c r="C47" s="12">
        <v>42357612</v>
      </c>
      <c r="D47" s="36" t="s">
        <v>69</v>
      </c>
      <c r="E47" s="37"/>
      <c r="F47" s="21">
        <v>42</v>
      </c>
      <c r="G47" s="21" t="s">
        <v>3</v>
      </c>
      <c r="H47" s="21">
        <v>56</v>
      </c>
      <c r="I47" s="21">
        <v>42</v>
      </c>
      <c r="J47" s="21" t="s">
        <v>3</v>
      </c>
      <c r="K47" s="27" t="s">
        <v>3</v>
      </c>
      <c r="L47" s="27">
        <v>44</v>
      </c>
      <c r="M47" s="34">
        <v>42</v>
      </c>
      <c r="N47" s="30">
        <v>1</v>
      </c>
      <c r="O47" s="30">
        <v>1</v>
      </c>
      <c r="P47" s="30">
        <v>1</v>
      </c>
      <c r="Q47" s="30">
        <v>1</v>
      </c>
      <c r="R47" s="30">
        <v>1</v>
      </c>
      <c r="S47" s="26">
        <v>1</v>
      </c>
      <c r="T47" s="26">
        <v>1</v>
      </c>
      <c r="U47" s="30">
        <v>1</v>
      </c>
      <c r="V47" s="30">
        <v>1</v>
      </c>
      <c r="W47" s="26">
        <v>1</v>
      </c>
      <c r="X47" s="26">
        <v>1</v>
      </c>
    </row>
    <row r="48" spans="1:24" x14ac:dyDescent="0.25">
      <c r="A48" s="13">
        <v>46</v>
      </c>
      <c r="B48" s="24">
        <v>5569</v>
      </c>
      <c r="C48" s="12">
        <v>43748477</v>
      </c>
      <c r="D48" s="36" t="s">
        <v>70</v>
      </c>
      <c r="E48" s="37"/>
      <c r="F48" s="27">
        <v>38</v>
      </c>
      <c r="G48" s="27" t="s">
        <v>2</v>
      </c>
      <c r="H48" s="21">
        <v>56</v>
      </c>
      <c r="I48" s="27">
        <v>40</v>
      </c>
      <c r="J48" s="21" t="s">
        <v>2</v>
      </c>
      <c r="K48" s="27" t="s">
        <v>2</v>
      </c>
      <c r="L48" s="21">
        <v>41</v>
      </c>
      <c r="M48" s="32">
        <v>38</v>
      </c>
      <c r="N48" s="30">
        <v>1</v>
      </c>
      <c r="O48" s="30">
        <v>1</v>
      </c>
      <c r="P48" s="30">
        <v>1</v>
      </c>
      <c r="Q48" s="30">
        <v>1</v>
      </c>
      <c r="R48" s="30">
        <v>1</v>
      </c>
      <c r="S48" s="26">
        <v>1</v>
      </c>
      <c r="T48" s="26">
        <v>1</v>
      </c>
      <c r="U48" s="30">
        <v>1</v>
      </c>
      <c r="V48" s="30">
        <v>1</v>
      </c>
      <c r="W48" s="26">
        <v>1</v>
      </c>
      <c r="X48" s="26">
        <v>1</v>
      </c>
    </row>
    <row r="49" spans="1:24" x14ac:dyDescent="0.25">
      <c r="A49" s="13">
        <v>47</v>
      </c>
      <c r="B49" s="24">
        <v>5630</v>
      </c>
      <c r="C49" s="12">
        <v>43748476</v>
      </c>
      <c r="D49" s="36" t="s">
        <v>71</v>
      </c>
      <c r="E49" s="37"/>
      <c r="F49" s="27">
        <v>38</v>
      </c>
      <c r="G49" s="21" t="s">
        <v>2</v>
      </c>
      <c r="H49" s="21">
        <v>56</v>
      </c>
      <c r="I49" s="27">
        <v>40</v>
      </c>
      <c r="J49" s="21" t="s">
        <v>2</v>
      </c>
      <c r="K49" s="27" t="s">
        <v>2</v>
      </c>
      <c r="L49" s="21">
        <v>41</v>
      </c>
      <c r="M49" s="32">
        <v>38</v>
      </c>
      <c r="N49" s="30">
        <v>1</v>
      </c>
      <c r="O49" s="30">
        <v>1</v>
      </c>
      <c r="P49" s="30">
        <v>1</v>
      </c>
      <c r="Q49" s="30">
        <v>1</v>
      </c>
      <c r="R49" s="30">
        <v>1</v>
      </c>
      <c r="S49" s="26">
        <v>1</v>
      </c>
      <c r="T49" s="26">
        <v>1</v>
      </c>
      <c r="U49" s="30">
        <v>1</v>
      </c>
      <c r="V49" s="30">
        <v>1</v>
      </c>
      <c r="W49" s="26">
        <v>1</v>
      </c>
      <c r="X49" s="26">
        <v>1</v>
      </c>
    </row>
    <row r="50" spans="1:24" x14ac:dyDescent="0.25">
      <c r="A50" s="13">
        <v>48</v>
      </c>
      <c r="B50" s="24">
        <v>5662</v>
      </c>
      <c r="C50" s="12">
        <v>43691227</v>
      </c>
      <c r="D50" s="36" t="s">
        <v>72</v>
      </c>
      <c r="E50" s="37"/>
      <c r="F50" s="27">
        <v>40</v>
      </c>
      <c r="G50" s="21" t="s">
        <v>2</v>
      </c>
      <c r="H50" s="21">
        <v>59</v>
      </c>
      <c r="I50" s="21">
        <v>44</v>
      </c>
      <c r="J50" s="21" t="s">
        <v>2</v>
      </c>
      <c r="K50" s="27" t="s">
        <v>2</v>
      </c>
      <c r="L50" s="21">
        <v>40</v>
      </c>
      <c r="M50" s="32">
        <v>40</v>
      </c>
      <c r="N50" s="30">
        <v>1</v>
      </c>
      <c r="O50" s="30">
        <v>1</v>
      </c>
      <c r="P50" s="30">
        <v>1</v>
      </c>
      <c r="Q50" s="30">
        <v>1</v>
      </c>
      <c r="R50" s="30">
        <v>1</v>
      </c>
      <c r="S50" s="26">
        <v>1</v>
      </c>
      <c r="T50" s="26">
        <v>1</v>
      </c>
      <c r="U50" s="30">
        <v>1</v>
      </c>
      <c r="V50" s="30">
        <v>1</v>
      </c>
      <c r="W50" s="26">
        <v>1</v>
      </c>
      <c r="X50" s="26">
        <v>1</v>
      </c>
    </row>
    <row r="51" spans="1:24" x14ac:dyDescent="0.25">
      <c r="A51" s="13">
        <v>49</v>
      </c>
      <c r="B51" s="24">
        <v>5663</v>
      </c>
      <c r="C51" s="12">
        <v>40559041</v>
      </c>
      <c r="D51" s="36" t="s">
        <v>73</v>
      </c>
      <c r="E51" s="37"/>
      <c r="F51" s="27">
        <v>46</v>
      </c>
      <c r="G51" s="21" t="s">
        <v>3</v>
      </c>
      <c r="H51" s="21">
        <v>59</v>
      </c>
      <c r="I51" s="27">
        <v>48</v>
      </c>
      <c r="J51" s="21" t="s">
        <v>3</v>
      </c>
      <c r="K51" s="27" t="s">
        <v>3</v>
      </c>
      <c r="L51" s="27">
        <v>44</v>
      </c>
      <c r="M51" s="34">
        <v>46</v>
      </c>
      <c r="N51" s="30">
        <v>1</v>
      </c>
      <c r="O51" s="30">
        <v>1</v>
      </c>
      <c r="P51" s="30">
        <v>1</v>
      </c>
      <c r="Q51" s="30">
        <v>1</v>
      </c>
      <c r="R51" s="30">
        <v>1</v>
      </c>
      <c r="S51" s="26">
        <v>1</v>
      </c>
      <c r="T51" s="26">
        <v>1</v>
      </c>
      <c r="U51" s="30">
        <v>1</v>
      </c>
      <c r="V51" s="30">
        <v>1</v>
      </c>
      <c r="W51" s="26">
        <v>1</v>
      </c>
      <c r="X51" s="26">
        <v>1</v>
      </c>
    </row>
    <row r="52" spans="1:24" x14ac:dyDescent="0.25">
      <c r="A52" s="13">
        <v>50</v>
      </c>
      <c r="B52" s="24">
        <v>5612</v>
      </c>
      <c r="C52" s="12">
        <v>41112678</v>
      </c>
      <c r="D52" s="36" t="s">
        <v>74</v>
      </c>
      <c r="E52" s="37"/>
      <c r="F52" s="21">
        <v>42</v>
      </c>
      <c r="G52" s="21" t="s">
        <v>1</v>
      </c>
      <c r="H52" s="21">
        <v>59</v>
      </c>
      <c r="I52" s="21">
        <v>42</v>
      </c>
      <c r="J52" s="21" t="s">
        <v>1</v>
      </c>
      <c r="K52" s="27" t="s">
        <v>1</v>
      </c>
      <c r="L52" s="21">
        <v>42</v>
      </c>
      <c r="M52" s="34">
        <v>42</v>
      </c>
      <c r="N52" s="30">
        <v>1</v>
      </c>
      <c r="O52" s="30">
        <v>1</v>
      </c>
      <c r="P52" s="30">
        <v>1</v>
      </c>
      <c r="Q52" s="30">
        <v>1</v>
      </c>
      <c r="R52" s="30">
        <v>1</v>
      </c>
      <c r="S52" s="26">
        <v>1</v>
      </c>
      <c r="T52" s="26">
        <v>1</v>
      </c>
      <c r="U52" s="30">
        <v>1</v>
      </c>
      <c r="V52" s="30">
        <v>1</v>
      </c>
      <c r="W52" s="26">
        <v>1</v>
      </c>
      <c r="X52" s="26">
        <v>1</v>
      </c>
    </row>
    <row r="53" spans="1:24" x14ac:dyDescent="0.25">
      <c r="A53" s="13">
        <v>51</v>
      </c>
      <c r="B53" s="24">
        <v>5656</v>
      </c>
      <c r="C53" s="12">
        <v>39767479</v>
      </c>
      <c r="D53" s="36" t="s">
        <v>75</v>
      </c>
      <c r="E53" s="37"/>
      <c r="F53" s="21">
        <v>42</v>
      </c>
      <c r="G53" s="21" t="s">
        <v>2</v>
      </c>
      <c r="H53" s="21">
        <v>57</v>
      </c>
      <c r="I53" s="21">
        <v>42</v>
      </c>
      <c r="J53" s="21" t="s">
        <v>1</v>
      </c>
      <c r="K53" s="27" t="s">
        <v>1</v>
      </c>
      <c r="L53" s="21">
        <v>42</v>
      </c>
      <c r="M53" s="34">
        <v>42</v>
      </c>
      <c r="N53" s="30">
        <v>1</v>
      </c>
      <c r="O53" s="30">
        <v>1</v>
      </c>
      <c r="P53" s="30">
        <v>1</v>
      </c>
      <c r="Q53" s="30">
        <v>1</v>
      </c>
      <c r="R53" s="30">
        <v>1</v>
      </c>
      <c r="S53" s="26">
        <v>1</v>
      </c>
      <c r="T53" s="26">
        <v>1</v>
      </c>
      <c r="U53" s="30">
        <v>1</v>
      </c>
      <c r="V53" s="30">
        <v>1</v>
      </c>
      <c r="W53" s="26">
        <v>1</v>
      </c>
      <c r="X53" s="26">
        <v>1</v>
      </c>
    </row>
    <row r="54" spans="1:24" x14ac:dyDescent="0.25">
      <c r="A54" s="13">
        <v>52</v>
      </c>
      <c r="B54" s="24">
        <v>5669</v>
      </c>
      <c r="C54" s="12">
        <v>35877190</v>
      </c>
      <c r="D54" s="36" t="s">
        <v>76</v>
      </c>
      <c r="E54" s="37"/>
      <c r="F54" s="21"/>
      <c r="G54" s="21" t="s">
        <v>4</v>
      </c>
      <c r="H54" s="21">
        <v>55</v>
      </c>
      <c r="I54" s="21"/>
      <c r="J54" s="21"/>
      <c r="K54" s="27" t="s">
        <v>4</v>
      </c>
      <c r="L54" s="21"/>
      <c r="M54" s="34"/>
      <c r="N54" s="30">
        <v>1</v>
      </c>
      <c r="O54" s="30">
        <v>1</v>
      </c>
      <c r="P54" s="30">
        <v>1</v>
      </c>
      <c r="Q54" s="30">
        <v>1</v>
      </c>
      <c r="R54" s="30">
        <v>1</v>
      </c>
      <c r="S54" s="26">
        <v>1</v>
      </c>
      <c r="T54" s="26">
        <v>1</v>
      </c>
      <c r="U54" s="30">
        <v>1</v>
      </c>
      <c r="V54" s="30">
        <v>1</v>
      </c>
      <c r="W54" s="26">
        <v>1</v>
      </c>
      <c r="X54" s="26">
        <v>1</v>
      </c>
    </row>
    <row r="55" spans="1:24" x14ac:dyDescent="0.25">
      <c r="A55" s="13">
        <v>53</v>
      </c>
      <c r="B55" s="24">
        <v>5578</v>
      </c>
      <c r="C55" s="12">
        <v>41794975</v>
      </c>
      <c r="D55" s="36" t="s">
        <v>77</v>
      </c>
      <c r="E55" s="37"/>
      <c r="F55" s="27">
        <v>40</v>
      </c>
      <c r="G55" s="21" t="s">
        <v>2</v>
      </c>
      <c r="H55" s="21">
        <v>56</v>
      </c>
      <c r="I55" s="27">
        <v>40</v>
      </c>
      <c r="J55" s="21" t="s">
        <v>2</v>
      </c>
      <c r="K55" s="27" t="s">
        <v>2</v>
      </c>
      <c r="L55" s="21">
        <v>41</v>
      </c>
      <c r="M55" s="34">
        <v>40</v>
      </c>
      <c r="N55" s="30">
        <v>1</v>
      </c>
      <c r="O55" s="30">
        <v>1</v>
      </c>
      <c r="P55" s="30">
        <v>1</v>
      </c>
      <c r="Q55" s="30">
        <v>1</v>
      </c>
      <c r="R55" s="30">
        <v>1</v>
      </c>
      <c r="S55" s="26">
        <v>1</v>
      </c>
      <c r="T55" s="26">
        <v>1</v>
      </c>
      <c r="U55" s="30">
        <v>1</v>
      </c>
      <c r="V55" s="30">
        <v>1</v>
      </c>
      <c r="W55" s="26">
        <v>1</v>
      </c>
      <c r="X55" s="26">
        <v>1</v>
      </c>
    </row>
    <row r="56" spans="1:24" x14ac:dyDescent="0.25">
      <c r="A56" s="13">
        <v>54</v>
      </c>
      <c r="B56" s="24">
        <v>5582</v>
      </c>
      <c r="C56" s="12">
        <v>41728006</v>
      </c>
      <c r="D56" s="36" t="s">
        <v>78</v>
      </c>
      <c r="E56" s="37"/>
      <c r="F56" s="27">
        <v>46</v>
      </c>
      <c r="G56" s="21" t="s">
        <v>6</v>
      </c>
      <c r="H56" s="21">
        <v>59</v>
      </c>
      <c r="I56" s="21">
        <v>46</v>
      </c>
      <c r="J56" s="21" t="s">
        <v>6</v>
      </c>
      <c r="K56" s="27" t="s">
        <v>6</v>
      </c>
      <c r="L56" s="27">
        <v>45</v>
      </c>
      <c r="M56" s="34">
        <v>46</v>
      </c>
      <c r="N56" s="30">
        <v>1</v>
      </c>
      <c r="O56" s="30">
        <v>1</v>
      </c>
      <c r="P56" s="30">
        <v>1</v>
      </c>
      <c r="Q56" s="30">
        <v>1</v>
      </c>
      <c r="R56" s="30">
        <v>1</v>
      </c>
      <c r="S56" s="26">
        <v>1</v>
      </c>
      <c r="T56" s="26">
        <v>1</v>
      </c>
      <c r="U56" s="30">
        <v>1</v>
      </c>
      <c r="V56" s="30">
        <v>1</v>
      </c>
      <c r="W56" s="26">
        <v>1</v>
      </c>
      <c r="X56" s="26">
        <v>1</v>
      </c>
    </row>
    <row r="57" spans="1:24" x14ac:dyDescent="0.25">
      <c r="A57" s="13">
        <v>55</v>
      </c>
      <c r="B57" s="24">
        <v>5571</v>
      </c>
      <c r="C57" s="12">
        <v>36999306</v>
      </c>
      <c r="D57" s="36" t="s">
        <v>79</v>
      </c>
      <c r="E57" s="37"/>
      <c r="F57" s="21">
        <v>42</v>
      </c>
      <c r="G57" s="21" t="s">
        <v>1</v>
      </c>
      <c r="H57" s="21">
        <v>55</v>
      </c>
      <c r="I57" s="21">
        <v>46</v>
      </c>
      <c r="J57" s="21" t="s">
        <v>2</v>
      </c>
      <c r="K57" s="27" t="s">
        <v>2</v>
      </c>
      <c r="L57" s="27">
        <v>39</v>
      </c>
      <c r="M57" s="34">
        <v>42</v>
      </c>
      <c r="N57" s="30">
        <v>1</v>
      </c>
      <c r="O57" s="30">
        <v>1</v>
      </c>
      <c r="P57" s="30">
        <v>1</v>
      </c>
      <c r="Q57" s="30">
        <v>1</v>
      </c>
      <c r="R57" s="30">
        <v>1</v>
      </c>
      <c r="S57" s="26">
        <v>1</v>
      </c>
      <c r="T57" s="26">
        <v>1</v>
      </c>
      <c r="U57" s="30">
        <v>1</v>
      </c>
      <c r="V57" s="30">
        <v>1</v>
      </c>
      <c r="W57" s="26">
        <v>1</v>
      </c>
      <c r="X57" s="26">
        <v>1</v>
      </c>
    </row>
    <row r="58" spans="1:24" x14ac:dyDescent="0.25">
      <c r="A58" s="13">
        <v>56</v>
      </c>
      <c r="B58" s="24">
        <v>5649</v>
      </c>
      <c r="C58" s="12">
        <v>37613215</v>
      </c>
      <c r="D58" s="36" t="s">
        <v>80</v>
      </c>
      <c r="E58" s="37"/>
      <c r="F58" s="27">
        <v>40</v>
      </c>
      <c r="G58" s="21" t="s">
        <v>4</v>
      </c>
      <c r="H58" s="21">
        <v>55</v>
      </c>
      <c r="I58" s="21">
        <v>42</v>
      </c>
      <c r="J58" s="21" t="s">
        <v>2</v>
      </c>
      <c r="K58" s="27" t="s">
        <v>2</v>
      </c>
      <c r="L58" s="21">
        <v>41</v>
      </c>
      <c r="M58" s="34">
        <v>40</v>
      </c>
      <c r="N58" s="30">
        <v>1</v>
      </c>
      <c r="O58" s="30">
        <v>1</v>
      </c>
      <c r="P58" s="26">
        <v>1</v>
      </c>
      <c r="Q58" s="30">
        <v>1</v>
      </c>
      <c r="R58" s="30">
        <v>1</v>
      </c>
      <c r="S58" s="26">
        <v>1</v>
      </c>
      <c r="T58" s="26">
        <v>1</v>
      </c>
      <c r="U58" s="30">
        <v>1</v>
      </c>
      <c r="V58" s="30">
        <v>1</v>
      </c>
      <c r="W58" s="26">
        <v>1</v>
      </c>
      <c r="X58" s="26">
        <v>1</v>
      </c>
    </row>
    <row r="59" spans="1:24" x14ac:dyDescent="0.25">
      <c r="A59" s="13">
        <v>57</v>
      </c>
      <c r="B59" s="24">
        <v>5583</v>
      </c>
      <c r="C59" s="12">
        <v>45140002</v>
      </c>
      <c r="D59" s="36" t="s">
        <v>81</v>
      </c>
      <c r="E59" s="37"/>
      <c r="F59" s="21">
        <v>38</v>
      </c>
      <c r="G59" s="21" t="s">
        <v>1</v>
      </c>
      <c r="H59" s="21">
        <v>55</v>
      </c>
      <c r="I59" s="27">
        <v>40</v>
      </c>
      <c r="J59" s="21" t="s">
        <v>1</v>
      </c>
      <c r="K59" s="27" t="s">
        <v>1</v>
      </c>
      <c r="L59" s="21">
        <v>40</v>
      </c>
      <c r="M59" s="34">
        <v>38</v>
      </c>
      <c r="N59" s="30">
        <v>1</v>
      </c>
      <c r="O59" s="30">
        <v>1</v>
      </c>
      <c r="P59" s="26">
        <v>1</v>
      </c>
      <c r="Q59" s="30">
        <v>1</v>
      </c>
      <c r="R59" s="30">
        <v>1</v>
      </c>
      <c r="S59" s="26">
        <v>1</v>
      </c>
      <c r="T59" s="26">
        <v>1</v>
      </c>
      <c r="U59" s="30">
        <v>1</v>
      </c>
      <c r="V59" s="30">
        <v>1</v>
      </c>
      <c r="W59" s="26">
        <v>1</v>
      </c>
      <c r="X59" s="26">
        <v>1</v>
      </c>
    </row>
    <row r="60" spans="1:24" x14ac:dyDescent="0.25">
      <c r="A60" s="13">
        <v>58</v>
      </c>
      <c r="B60" s="24">
        <v>5671</v>
      </c>
      <c r="C60" s="12">
        <v>43748475</v>
      </c>
      <c r="D60" s="36" t="s">
        <v>82</v>
      </c>
      <c r="E60" s="37"/>
      <c r="F60" s="27">
        <v>36</v>
      </c>
      <c r="G60" s="21" t="s">
        <v>4</v>
      </c>
      <c r="H60" s="21">
        <v>57</v>
      </c>
      <c r="I60" s="27">
        <v>40</v>
      </c>
      <c r="J60" s="21" t="s">
        <v>4</v>
      </c>
      <c r="K60" s="27" t="s">
        <v>4</v>
      </c>
      <c r="L60" s="27">
        <v>36</v>
      </c>
      <c r="M60" s="34">
        <v>36</v>
      </c>
      <c r="N60" s="30">
        <v>1</v>
      </c>
      <c r="O60" s="30">
        <v>1</v>
      </c>
      <c r="P60" s="26">
        <v>1</v>
      </c>
      <c r="Q60" s="30">
        <v>1</v>
      </c>
      <c r="R60" s="30">
        <v>1</v>
      </c>
      <c r="S60" s="26">
        <v>1</v>
      </c>
      <c r="T60" s="26">
        <v>1</v>
      </c>
      <c r="U60" s="30">
        <v>1</v>
      </c>
      <c r="V60" s="30">
        <v>1</v>
      </c>
      <c r="W60" s="26">
        <v>1</v>
      </c>
      <c r="X60" s="26">
        <v>1</v>
      </c>
    </row>
    <row r="61" spans="1:24" x14ac:dyDescent="0.25">
      <c r="A61" s="13">
        <v>59</v>
      </c>
      <c r="B61" s="24">
        <v>5681</v>
      </c>
      <c r="C61" s="12">
        <v>34626668</v>
      </c>
      <c r="D61" s="36" t="s">
        <v>83</v>
      </c>
      <c r="E61" s="37"/>
      <c r="F61" s="27">
        <v>40</v>
      </c>
      <c r="G61" s="21" t="s">
        <v>2</v>
      </c>
      <c r="H61" s="21">
        <v>56</v>
      </c>
      <c r="I61" s="27">
        <v>48</v>
      </c>
      <c r="J61" s="21" t="s">
        <v>2</v>
      </c>
      <c r="K61" s="27" t="s">
        <v>2</v>
      </c>
      <c r="L61" s="27">
        <v>38</v>
      </c>
      <c r="M61" s="34">
        <v>40</v>
      </c>
      <c r="N61" s="30">
        <v>1</v>
      </c>
      <c r="O61" s="30">
        <v>1</v>
      </c>
      <c r="P61" s="26">
        <v>1</v>
      </c>
      <c r="Q61" s="30">
        <v>1</v>
      </c>
      <c r="R61" s="30">
        <v>1</v>
      </c>
      <c r="S61" s="26">
        <v>1</v>
      </c>
      <c r="T61" s="26">
        <v>1</v>
      </c>
      <c r="U61" s="30">
        <v>1</v>
      </c>
      <c r="V61" s="30">
        <v>1</v>
      </c>
      <c r="W61" s="26">
        <v>1</v>
      </c>
      <c r="X61" s="26">
        <v>1</v>
      </c>
    </row>
    <row r="62" spans="1:24" x14ac:dyDescent="0.25">
      <c r="A62" s="13">
        <v>60</v>
      </c>
      <c r="B62" s="24">
        <v>5567</v>
      </c>
      <c r="C62" s="12">
        <v>35046404</v>
      </c>
      <c r="D62" s="36" t="s">
        <v>84</v>
      </c>
      <c r="E62" s="37"/>
      <c r="F62" s="21">
        <v>44</v>
      </c>
      <c r="G62" s="21" t="s">
        <v>6</v>
      </c>
      <c r="H62" s="21">
        <v>58</v>
      </c>
      <c r="I62" s="21">
        <v>46</v>
      </c>
      <c r="J62" s="21" t="s">
        <v>3</v>
      </c>
      <c r="K62" s="27" t="s">
        <v>3</v>
      </c>
      <c r="L62" s="27">
        <v>45</v>
      </c>
      <c r="M62" s="34">
        <v>44</v>
      </c>
      <c r="N62" s="30">
        <v>1</v>
      </c>
      <c r="O62" s="30">
        <v>1</v>
      </c>
      <c r="P62" s="26">
        <v>1</v>
      </c>
      <c r="Q62" s="30">
        <v>1</v>
      </c>
      <c r="R62" s="30">
        <v>1</v>
      </c>
      <c r="S62" s="26">
        <v>1</v>
      </c>
      <c r="T62" s="26">
        <v>1</v>
      </c>
      <c r="U62" s="30">
        <v>1</v>
      </c>
      <c r="V62" s="30">
        <v>1</v>
      </c>
      <c r="W62" s="26">
        <v>1</v>
      </c>
      <c r="X62" s="26">
        <v>1</v>
      </c>
    </row>
    <row r="63" spans="1:24" x14ac:dyDescent="0.25">
      <c r="A63" s="13">
        <v>61</v>
      </c>
      <c r="B63" s="24">
        <v>5686</v>
      </c>
      <c r="C63" s="12">
        <v>40661260</v>
      </c>
      <c r="D63" s="36" t="s">
        <v>85</v>
      </c>
      <c r="E63" s="37"/>
      <c r="F63" s="27">
        <v>34</v>
      </c>
      <c r="G63" s="21" t="s">
        <v>5</v>
      </c>
      <c r="H63" s="21">
        <v>56</v>
      </c>
      <c r="I63" s="27">
        <v>38</v>
      </c>
      <c r="J63" s="21" t="s">
        <v>5</v>
      </c>
      <c r="K63" s="27" t="s">
        <v>5</v>
      </c>
      <c r="L63" s="27">
        <v>38</v>
      </c>
      <c r="M63" s="34">
        <v>34</v>
      </c>
      <c r="N63" s="30">
        <v>1</v>
      </c>
      <c r="O63" s="30">
        <v>1</v>
      </c>
      <c r="P63" s="26">
        <v>1</v>
      </c>
      <c r="Q63" s="30">
        <v>1</v>
      </c>
      <c r="R63" s="30">
        <v>1</v>
      </c>
      <c r="S63" s="26">
        <v>1</v>
      </c>
      <c r="T63" s="26">
        <v>1</v>
      </c>
      <c r="U63" s="30">
        <v>1</v>
      </c>
      <c r="V63" s="30">
        <v>1</v>
      </c>
      <c r="W63" s="26">
        <v>1</v>
      </c>
      <c r="X63" s="26">
        <v>1</v>
      </c>
    </row>
    <row r="64" spans="1:24" x14ac:dyDescent="0.25">
      <c r="A64" s="13">
        <v>62</v>
      </c>
      <c r="B64" s="24">
        <v>5616</v>
      </c>
      <c r="C64" s="12">
        <v>41794460</v>
      </c>
      <c r="D64" s="36" t="s">
        <v>86</v>
      </c>
      <c r="E64" s="37"/>
      <c r="F64" s="21">
        <v>44</v>
      </c>
      <c r="G64" s="21" t="s">
        <v>1</v>
      </c>
      <c r="H64" s="21">
        <v>59</v>
      </c>
      <c r="I64" s="21">
        <v>44</v>
      </c>
      <c r="J64" s="21" t="s">
        <v>1</v>
      </c>
      <c r="K64" s="27" t="s">
        <v>6</v>
      </c>
      <c r="L64" s="21">
        <v>43</v>
      </c>
      <c r="M64" s="34">
        <v>44</v>
      </c>
      <c r="N64" s="30">
        <v>1</v>
      </c>
      <c r="O64" s="30">
        <v>1</v>
      </c>
      <c r="P64" s="26">
        <v>1</v>
      </c>
      <c r="Q64" s="30">
        <v>1</v>
      </c>
      <c r="R64" s="30">
        <v>1</v>
      </c>
      <c r="S64" s="26">
        <v>1</v>
      </c>
      <c r="T64" s="26">
        <v>1</v>
      </c>
      <c r="U64" s="30">
        <v>1</v>
      </c>
      <c r="V64" s="30">
        <v>1</v>
      </c>
      <c r="W64" s="26">
        <v>1</v>
      </c>
      <c r="X64" s="26">
        <v>1</v>
      </c>
    </row>
    <row r="65" spans="1:24" x14ac:dyDescent="0.25">
      <c r="A65" s="13">
        <v>63</v>
      </c>
      <c r="B65" s="24">
        <v>5568</v>
      </c>
      <c r="C65" s="12">
        <v>45967450</v>
      </c>
      <c r="D65" s="36" t="s">
        <v>87</v>
      </c>
      <c r="E65" s="37"/>
      <c r="F65" s="27">
        <v>40</v>
      </c>
      <c r="G65" s="21" t="s">
        <v>4</v>
      </c>
      <c r="H65" s="21">
        <v>56</v>
      </c>
      <c r="I65" s="21">
        <v>42</v>
      </c>
      <c r="J65" s="21" t="s">
        <v>2</v>
      </c>
      <c r="K65" s="21" t="s">
        <v>2</v>
      </c>
      <c r="L65" s="21">
        <v>40</v>
      </c>
      <c r="M65" s="34">
        <v>40</v>
      </c>
      <c r="N65" s="30">
        <v>1</v>
      </c>
      <c r="O65" s="30">
        <v>1</v>
      </c>
      <c r="P65" s="26">
        <v>1</v>
      </c>
      <c r="Q65" s="30">
        <v>1</v>
      </c>
      <c r="R65" s="30">
        <v>1</v>
      </c>
      <c r="S65" s="26">
        <v>1</v>
      </c>
      <c r="T65" s="26">
        <v>1</v>
      </c>
      <c r="U65" s="30">
        <v>1</v>
      </c>
      <c r="V65" s="30">
        <v>1</v>
      </c>
      <c r="W65" s="26">
        <v>1</v>
      </c>
      <c r="X65" s="26">
        <v>1</v>
      </c>
    </row>
    <row r="66" spans="1:24" x14ac:dyDescent="0.25">
      <c r="A66" s="13">
        <v>64</v>
      </c>
      <c r="B66" s="24">
        <v>5588</v>
      </c>
      <c r="C66" s="12">
        <v>41112969</v>
      </c>
      <c r="D66" s="36" t="s">
        <v>88</v>
      </c>
      <c r="E66" s="37"/>
      <c r="F66" s="21">
        <v>42</v>
      </c>
      <c r="G66" s="21" t="s">
        <v>2</v>
      </c>
      <c r="H66" s="21">
        <v>57</v>
      </c>
      <c r="I66" s="27">
        <v>48</v>
      </c>
      <c r="J66" s="21" t="s">
        <v>1</v>
      </c>
      <c r="K66" s="27" t="s">
        <v>1</v>
      </c>
      <c r="L66" s="21">
        <v>42</v>
      </c>
      <c r="M66" s="34">
        <v>42</v>
      </c>
      <c r="N66" s="30">
        <v>1</v>
      </c>
      <c r="O66" s="30">
        <v>1</v>
      </c>
      <c r="P66" s="26">
        <v>1</v>
      </c>
      <c r="Q66" s="30">
        <v>1</v>
      </c>
      <c r="R66" s="30">
        <v>1</v>
      </c>
      <c r="S66" s="26">
        <v>1</v>
      </c>
      <c r="T66" s="26">
        <v>1</v>
      </c>
      <c r="U66" s="30">
        <v>1</v>
      </c>
      <c r="V66" s="30">
        <v>1</v>
      </c>
      <c r="W66" s="26">
        <v>1</v>
      </c>
      <c r="X66" s="26">
        <v>1</v>
      </c>
    </row>
    <row r="67" spans="1:24" x14ac:dyDescent="0.25">
      <c r="A67" s="13"/>
      <c r="F67" s="23"/>
      <c r="G67" s="23"/>
      <c r="H67" s="23"/>
      <c r="I67" s="23"/>
      <c r="J67" s="23"/>
      <c r="K67" s="23"/>
      <c r="L67" s="23"/>
    </row>
  </sheetData>
  <sheetProtection formatCells="0" formatRows="0"/>
  <mergeCells count="66">
    <mergeCell ref="D66:E66"/>
    <mergeCell ref="D2:E2"/>
    <mergeCell ref="D6:E6"/>
    <mergeCell ref="D5:E5"/>
    <mergeCell ref="D4:E4"/>
    <mergeCell ref="D3:E3"/>
    <mergeCell ref="D61:E61"/>
    <mergeCell ref="D62:E62"/>
    <mergeCell ref="D63:E63"/>
    <mergeCell ref="D64:E64"/>
    <mergeCell ref="D65:E65"/>
    <mergeCell ref="D56:E56"/>
    <mergeCell ref="D57:E57"/>
    <mergeCell ref="D58:E58"/>
    <mergeCell ref="D59:E59"/>
    <mergeCell ref="D60:E60"/>
    <mergeCell ref="D51:E51"/>
    <mergeCell ref="D52:E52"/>
    <mergeCell ref="D53:E53"/>
    <mergeCell ref="D54:E54"/>
    <mergeCell ref="D55:E55"/>
    <mergeCell ref="D46:E46"/>
    <mergeCell ref="D47:E47"/>
    <mergeCell ref="D48:E48"/>
    <mergeCell ref="D49:E49"/>
    <mergeCell ref="D50:E50"/>
    <mergeCell ref="D41:E41"/>
    <mergeCell ref="D42:E42"/>
    <mergeCell ref="D43:E43"/>
    <mergeCell ref="D44:E44"/>
    <mergeCell ref="D45:E45"/>
    <mergeCell ref="D36:E36"/>
    <mergeCell ref="D37:E37"/>
    <mergeCell ref="D38:E38"/>
    <mergeCell ref="D39:E39"/>
    <mergeCell ref="D40:E40"/>
    <mergeCell ref="D31:E31"/>
    <mergeCell ref="D32:E32"/>
    <mergeCell ref="D33:E33"/>
    <mergeCell ref="D34:E34"/>
    <mergeCell ref="D35:E35"/>
    <mergeCell ref="D26:E26"/>
    <mergeCell ref="D27:E27"/>
    <mergeCell ref="D28:E28"/>
    <mergeCell ref="D29:E29"/>
    <mergeCell ref="D30:E30"/>
    <mergeCell ref="D21:E21"/>
    <mergeCell ref="D22:E22"/>
    <mergeCell ref="D23:E23"/>
    <mergeCell ref="D24:E24"/>
    <mergeCell ref="D25:E25"/>
    <mergeCell ref="D16:E16"/>
    <mergeCell ref="D17:E17"/>
    <mergeCell ref="D18:E18"/>
    <mergeCell ref="D19:E19"/>
    <mergeCell ref="D20:E20"/>
    <mergeCell ref="D11:E11"/>
    <mergeCell ref="D12:E12"/>
    <mergeCell ref="D13:E13"/>
    <mergeCell ref="D14:E14"/>
    <mergeCell ref="D15:E15"/>
    <mergeCell ref="A1:E1"/>
    <mergeCell ref="D7:E7"/>
    <mergeCell ref="D8:E8"/>
    <mergeCell ref="D9:E9"/>
    <mergeCell ref="D10:E10"/>
  </mergeCells>
  <conditionalFormatting sqref="A67:L9909 A3:D66 F3:X66">
    <cfRule type="expression" dxfId="15" priority="4">
      <formula>$B3&lt;&gt;""</formula>
    </cfRule>
  </conditionalFormatting>
  <conditionalFormatting sqref="B9909">
    <cfRule type="expression" dxfId="14" priority="2">
      <formula>"$a3&lt;&gt;"""""</formula>
    </cfRule>
  </conditionalFormatting>
  <dataValidations count="1">
    <dataValidation type="list" allowBlank="1" showInputMessage="1" showErrorMessage="1" sqref="F3:F66 M3:M66">
      <formula1>$F$3:$F$66</formula1>
    </dataValidation>
  </dataValidations>
  <pageMargins left="0.25" right="0.25" top="0.75" bottom="0.75" header="0.3" footer="0.3"/>
  <pageSetup paperSize="9" scale="95" orientation="landscape" horizontalDpi="0" verticalDpi="0" r:id="rId1"/>
  <headerFooter>
    <oddHeader>&amp;C&amp;"-,Negrita"&amp;14&amp;F</oddHeader>
    <oddFooter>&amp;C&amp;"-,Negrita"&amp;14&amp;P</oddFooter>
  </headerFooter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promptTitle="Talles de Tricotas" prompt="Del 3XS al 6XL">
          <x14:formula1>
            <xm:f>TOTALES!$P$4:$P$15</xm:f>
          </x14:formula1>
          <xm:sqref>K3:K66</xm:sqref>
        </x14:dataValidation>
        <x14:dataValidation type="list" allowBlank="1" showInputMessage="1" showErrorMessage="1" promptTitle="Talles de Remeras" prompt="Del 3XS al 6XL">
          <x14:formula1>
            <xm:f>TOTALES!$M$4:$M$15</xm:f>
          </x14:formula1>
          <xm:sqref>J3:J66</xm:sqref>
        </x14:dataValidation>
        <x14:dataValidation type="list" allowBlank="1" showInputMessage="1" showErrorMessage="1" promptTitle="Talle de Pantalón" prompt="Del 32 al 66">
          <x14:formula1>
            <xm:f>TOTALES!$J$4:$J$21</xm:f>
          </x14:formula1>
          <xm:sqref>I3:I66</xm:sqref>
        </x14:dataValidation>
        <x14:dataValidation type="list" allowBlank="1" showInputMessage="1" showErrorMessage="1" promptTitle="Talle de Casquete/Quepi/Boina" prompt="Del 50 al 65">
          <x14:formula1>
            <xm:f>TOTALES!$G$4:$G$19</xm:f>
          </x14:formula1>
          <xm:sqref>H3:H66</xm:sqref>
        </x14:dataValidation>
        <x14:dataValidation type="list" allowBlank="1" showInputMessage="1" showErrorMessage="1" promptTitle="Talles de Camperas" prompt="Del 3XS al 6XL">
          <x14:formula1>
            <xm:f>TOTALES!$D$4:$D$15</xm:f>
          </x14:formula1>
          <xm:sqref>G3:G66</xm:sqref>
        </x14:dataValidation>
        <x14:dataValidation type="list" allowBlank="1" showInputMessage="1" showErrorMessage="1" promptTitle="Talle de Camisas" prompt="Del 32 al 66">
          <x14:formula1>
            <xm:f>TOTALES!$A$4:$A$21</xm:f>
          </x14:formula1>
          <xm:sqref>F3:F66 M3:M66</xm:sqref>
        </x14:dataValidation>
        <x14:dataValidation type="list" allowBlank="1" showInputMessage="1" showErrorMessage="1" promptTitle="Talle de Zapatos" prompt="Del 20 al 55">
          <x14:formula1>
            <xm:f>TOTALES!$S$4:$S$29</xm:f>
          </x14:formula1>
          <xm:sqref>L3:L66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T30"/>
  <sheetViews>
    <sheetView zoomScaleNormal="100" workbookViewId="0">
      <selection activeCell="E18" sqref="E18"/>
    </sheetView>
  </sheetViews>
  <sheetFormatPr baseColWidth="10" defaultRowHeight="15" x14ac:dyDescent="0.25"/>
  <cols>
    <col min="1" max="1" width="7" style="21" bestFit="1" customWidth="1"/>
    <col min="2" max="2" width="8.5703125" style="21" bestFit="1" customWidth="1"/>
    <col min="3" max="3" width="2.42578125" style="21" customWidth="1"/>
    <col min="4" max="4" width="7" style="21" bestFit="1" customWidth="1"/>
    <col min="5" max="5" width="8.5703125" style="21" bestFit="1" customWidth="1"/>
    <col min="6" max="6" width="2.42578125" style="21" customWidth="1"/>
    <col min="7" max="7" width="7" style="21" bestFit="1" customWidth="1"/>
    <col min="8" max="8" width="8.5703125" style="21" bestFit="1" customWidth="1"/>
    <col min="9" max="9" width="2.42578125" style="21" customWidth="1"/>
    <col min="10" max="10" width="7" style="17" bestFit="1" customWidth="1"/>
    <col min="11" max="11" width="8.5703125" style="17" bestFit="1" customWidth="1"/>
    <col min="12" max="12" width="2.42578125" style="21" customWidth="1"/>
    <col min="13" max="13" width="7" style="21" bestFit="1" customWidth="1"/>
    <col min="14" max="14" width="8.5703125" style="21" bestFit="1" customWidth="1"/>
    <col min="15" max="15" width="2.42578125" style="21" customWidth="1"/>
    <col min="16" max="16" width="7" style="17" bestFit="1" customWidth="1"/>
    <col min="17" max="17" width="8.5703125" style="17" bestFit="1" customWidth="1"/>
    <col min="18" max="18" width="2.42578125" style="21" customWidth="1"/>
    <col min="19" max="19" width="7" style="17" bestFit="1" customWidth="1"/>
    <col min="20" max="20" width="8.5703125" style="17" bestFit="1" customWidth="1"/>
    <col min="21" max="16384" width="11.42578125" style="17"/>
  </cols>
  <sheetData>
    <row r="1" spans="1:20" ht="18.75" x14ac:dyDescent="0.3">
      <c r="A1" s="42" t="str">
        <f>PLANILLA!A1</f>
        <v>AGENTES DELEGACION B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</row>
    <row r="2" spans="1:20" x14ac:dyDescent="0.25">
      <c r="A2" s="43" t="s">
        <v>91</v>
      </c>
      <c r="B2" s="44"/>
      <c r="C2" s="18"/>
      <c r="D2" s="43" t="s">
        <v>11</v>
      </c>
      <c r="E2" s="44"/>
      <c r="F2" s="18"/>
      <c r="G2" s="43" t="s">
        <v>0</v>
      </c>
      <c r="H2" s="44"/>
      <c r="I2" s="18"/>
      <c r="J2" s="43" t="s">
        <v>10</v>
      </c>
      <c r="K2" s="44"/>
      <c r="L2" s="18"/>
      <c r="M2" s="43" t="s">
        <v>12</v>
      </c>
      <c r="N2" s="44"/>
      <c r="O2" s="18"/>
      <c r="P2" s="43" t="s">
        <v>13</v>
      </c>
      <c r="Q2" s="44"/>
      <c r="R2" s="18"/>
      <c r="S2" s="43" t="s">
        <v>9</v>
      </c>
      <c r="T2" s="44"/>
    </row>
    <row r="3" spans="1:20" x14ac:dyDescent="0.25">
      <c r="A3" s="19" t="s">
        <v>20</v>
      </c>
      <c r="B3" s="3" t="s">
        <v>21</v>
      </c>
      <c r="C3" s="18"/>
      <c r="D3" s="19" t="s">
        <v>20</v>
      </c>
      <c r="E3" s="3" t="s">
        <v>21</v>
      </c>
      <c r="F3" s="18"/>
      <c r="G3" s="19" t="s">
        <v>20</v>
      </c>
      <c r="H3" s="3" t="s">
        <v>21</v>
      </c>
      <c r="I3" s="18"/>
      <c r="J3" s="19" t="s">
        <v>20</v>
      </c>
      <c r="K3" s="3" t="s">
        <v>21</v>
      </c>
      <c r="L3" s="18"/>
      <c r="M3" s="19" t="s">
        <v>20</v>
      </c>
      <c r="N3" s="3" t="s">
        <v>21</v>
      </c>
      <c r="O3" s="18"/>
      <c r="P3" s="19" t="s">
        <v>20</v>
      </c>
      <c r="Q3" s="3" t="s">
        <v>21</v>
      </c>
      <c r="R3" s="18"/>
      <c r="S3" s="19" t="s">
        <v>20</v>
      </c>
      <c r="T3" s="3" t="s">
        <v>21</v>
      </c>
    </row>
    <row r="4" spans="1:20" x14ac:dyDescent="0.25">
      <c r="A4" s="20">
        <v>32</v>
      </c>
      <c r="B4" s="22"/>
      <c r="C4" s="18"/>
      <c r="D4" s="20" t="s">
        <v>18</v>
      </c>
      <c r="E4" s="22"/>
      <c r="F4" s="18"/>
      <c r="G4" s="20">
        <v>50</v>
      </c>
      <c r="H4" s="22"/>
      <c r="I4" s="18"/>
      <c r="J4" s="20">
        <v>32</v>
      </c>
      <c r="K4" s="22"/>
      <c r="L4" s="18"/>
      <c r="M4" s="20" t="s">
        <v>18</v>
      </c>
      <c r="N4" s="22"/>
      <c r="O4" s="18"/>
      <c r="P4" s="20" t="s">
        <v>18</v>
      </c>
      <c r="Q4" s="22"/>
      <c r="R4" s="18"/>
      <c r="S4" s="20">
        <v>30</v>
      </c>
      <c r="T4" s="22"/>
    </row>
    <row r="5" spans="1:20" x14ac:dyDescent="0.25">
      <c r="A5" s="20">
        <v>34</v>
      </c>
      <c r="B5" s="22"/>
      <c r="C5" s="18"/>
      <c r="D5" s="20" t="s">
        <v>8</v>
      </c>
      <c r="E5" s="22"/>
      <c r="F5" s="18"/>
      <c r="G5" s="20">
        <v>51</v>
      </c>
      <c r="H5" s="22"/>
      <c r="I5" s="18"/>
      <c r="J5" s="20">
        <v>34</v>
      </c>
      <c r="K5" s="22"/>
      <c r="L5" s="18"/>
      <c r="M5" s="20" t="s">
        <v>8</v>
      </c>
      <c r="N5" s="22"/>
      <c r="O5" s="18"/>
      <c r="P5" s="20" t="s">
        <v>8</v>
      </c>
      <c r="Q5" s="22"/>
      <c r="R5" s="18"/>
      <c r="S5" s="20">
        <v>31</v>
      </c>
      <c r="T5" s="22"/>
    </row>
    <row r="6" spans="1:20" x14ac:dyDescent="0.25">
      <c r="A6" s="20">
        <v>36</v>
      </c>
      <c r="B6" s="22"/>
      <c r="C6" s="18"/>
      <c r="D6" s="20" t="s">
        <v>5</v>
      </c>
      <c r="E6" s="22"/>
      <c r="F6" s="18"/>
      <c r="G6" s="20">
        <v>52</v>
      </c>
      <c r="H6" s="22"/>
      <c r="I6" s="18"/>
      <c r="J6" s="20">
        <v>36</v>
      </c>
      <c r="K6" s="22"/>
      <c r="L6" s="18"/>
      <c r="M6" s="20" t="s">
        <v>5</v>
      </c>
      <c r="N6" s="22"/>
      <c r="O6" s="18"/>
      <c r="P6" s="20" t="s">
        <v>5</v>
      </c>
      <c r="Q6" s="22"/>
      <c r="R6" s="18"/>
      <c r="S6" s="20">
        <v>32</v>
      </c>
      <c r="T6" s="22"/>
    </row>
    <row r="7" spans="1:20" x14ac:dyDescent="0.25">
      <c r="A7" s="20">
        <v>38</v>
      </c>
      <c r="B7" s="22"/>
      <c r="C7" s="18"/>
      <c r="D7" s="20" t="s">
        <v>4</v>
      </c>
      <c r="E7" s="22"/>
      <c r="F7" s="18"/>
      <c r="G7" s="20">
        <v>53</v>
      </c>
      <c r="H7" s="22"/>
      <c r="I7" s="18"/>
      <c r="J7" s="20">
        <v>38</v>
      </c>
      <c r="K7" s="22"/>
      <c r="L7" s="18"/>
      <c r="M7" s="20" t="s">
        <v>4</v>
      </c>
      <c r="N7" s="22"/>
      <c r="O7" s="18"/>
      <c r="P7" s="20" t="s">
        <v>4</v>
      </c>
      <c r="Q7" s="22"/>
      <c r="R7" s="18"/>
      <c r="S7" s="20">
        <v>33</v>
      </c>
      <c r="T7" s="22"/>
    </row>
    <row r="8" spans="1:20" x14ac:dyDescent="0.25">
      <c r="A8" s="20">
        <v>40</v>
      </c>
      <c r="B8" s="22"/>
      <c r="C8" s="18"/>
      <c r="D8" s="20" t="s">
        <v>2</v>
      </c>
      <c r="E8" s="22"/>
      <c r="F8" s="18"/>
      <c r="G8" s="20">
        <v>54</v>
      </c>
      <c r="H8" s="22"/>
      <c r="I8" s="18"/>
      <c r="J8" s="20">
        <v>40</v>
      </c>
      <c r="K8" s="22"/>
      <c r="L8" s="18"/>
      <c r="M8" s="20" t="s">
        <v>2</v>
      </c>
      <c r="N8" s="22"/>
      <c r="O8" s="18"/>
      <c r="P8" s="20" t="s">
        <v>2</v>
      </c>
      <c r="Q8" s="22"/>
      <c r="R8" s="18"/>
      <c r="S8" s="20">
        <v>34</v>
      </c>
      <c r="T8" s="22"/>
    </row>
    <row r="9" spans="1:20" x14ac:dyDescent="0.25">
      <c r="A9" s="20">
        <v>42</v>
      </c>
      <c r="B9" s="22"/>
      <c r="C9" s="18"/>
      <c r="D9" s="20" t="s">
        <v>1</v>
      </c>
      <c r="E9" s="22"/>
      <c r="F9" s="18"/>
      <c r="G9" s="20">
        <v>55</v>
      </c>
      <c r="H9" s="22"/>
      <c r="I9" s="18"/>
      <c r="J9" s="20">
        <v>42</v>
      </c>
      <c r="K9" s="22"/>
      <c r="L9" s="18"/>
      <c r="M9" s="20" t="s">
        <v>1</v>
      </c>
      <c r="N9" s="22"/>
      <c r="O9" s="18"/>
      <c r="P9" s="20" t="s">
        <v>1</v>
      </c>
      <c r="Q9" s="22"/>
      <c r="R9" s="18"/>
      <c r="S9" s="20">
        <v>35</v>
      </c>
      <c r="T9" s="22"/>
    </row>
    <row r="10" spans="1:20" x14ac:dyDescent="0.25">
      <c r="A10" s="20">
        <v>44</v>
      </c>
      <c r="B10" s="22"/>
      <c r="C10" s="18"/>
      <c r="D10" s="20" t="s">
        <v>3</v>
      </c>
      <c r="E10" s="22"/>
      <c r="F10" s="18"/>
      <c r="G10" s="20">
        <v>56</v>
      </c>
      <c r="H10" s="22"/>
      <c r="I10" s="18"/>
      <c r="J10" s="20">
        <v>44</v>
      </c>
      <c r="K10" s="22"/>
      <c r="L10" s="18"/>
      <c r="M10" s="20" t="s">
        <v>3</v>
      </c>
      <c r="N10" s="22"/>
      <c r="O10" s="18"/>
      <c r="P10" s="20" t="s">
        <v>3</v>
      </c>
      <c r="Q10" s="22"/>
      <c r="R10" s="18"/>
      <c r="S10" s="20">
        <v>36</v>
      </c>
      <c r="T10" s="22"/>
    </row>
    <row r="11" spans="1:20" x14ac:dyDescent="0.25">
      <c r="A11" s="20">
        <v>46</v>
      </c>
      <c r="B11" s="22"/>
      <c r="C11" s="18"/>
      <c r="D11" s="20" t="s">
        <v>6</v>
      </c>
      <c r="E11" s="22"/>
      <c r="F11" s="18"/>
      <c r="G11" s="20">
        <v>57</v>
      </c>
      <c r="H11" s="22"/>
      <c r="I11" s="18"/>
      <c r="J11" s="20">
        <v>46</v>
      </c>
      <c r="K11" s="22"/>
      <c r="L11" s="18"/>
      <c r="M11" s="20" t="s">
        <v>6</v>
      </c>
      <c r="N11" s="22"/>
      <c r="O11" s="18"/>
      <c r="P11" s="20" t="s">
        <v>6</v>
      </c>
      <c r="Q11" s="22"/>
      <c r="R11" s="18"/>
      <c r="S11" s="20">
        <v>37</v>
      </c>
      <c r="T11" s="22"/>
    </row>
    <row r="12" spans="1:20" x14ac:dyDescent="0.25">
      <c r="A12" s="20">
        <v>48</v>
      </c>
      <c r="B12" s="22"/>
      <c r="C12" s="18"/>
      <c r="D12" s="20" t="s">
        <v>7</v>
      </c>
      <c r="E12" s="22"/>
      <c r="F12" s="18"/>
      <c r="G12" s="20">
        <v>58</v>
      </c>
      <c r="H12" s="22"/>
      <c r="I12" s="18"/>
      <c r="J12" s="20">
        <v>48</v>
      </c>
      <c r="K12" s="22"/>
      <c r="L12" s="18"/>
      <c r="M12" s="20" t="s">
        <v>7</v>
      </c>
      <c r="N12" s="22"/>
      <c r="O12" s="18"/>
      <c r="P12" s="20" t="s">
        <v>7</v>
      </c>
      <c r="Q12" s="22"/>
      <c r="R12" s="18"/>
      <c r="S12" s="20">
        <v>38</v>
      </c>
      <c r="T12" s="22"/>
    </row>
    <row r="13" spans="1:20" x14ac:dyDescent="0.25">
      <c r="A13" s="20">
        <v>50</v>
      </c>
      <c r="B13" s="22"/>
      <c r="C13" s="18"/>
      <c r="D13" s="20" t="s">
        <v>16</v>
      </c>
      <c r="E13" s="22"/>
      <c r="F13" s="18"/>
      <c r="G13" s="20">
        <v>59</v>
      </c>
      <c r="H13" s="22"/>
      <c r="I13" s="18"/>
      <c r="J13" s="20">
        <v>50</v>
      </c>
      <c r="K13" s="22"/>
      <c r="L13" s="18"/>
      <c r="M13" s="20" t="s">
        <v>16</v>
      </c>
      <c r="N13" s="22"/>
      <c r="O13" s="18"/>
      <c r="P13" s="20" t="s">
        <v>16</v>
      </c>
      <c r="Q13" s="22"/>
      <c r="R13" s="18"/>
      <c r="S13" s="20">
        <v>39</v>
      </c>
      <c r="T13" s="22"/>
    </row>
    <row r="14" spans="1:20" x14ac:dyDescent="0.25">
      <c r="A14" s="20">
        <v>52</v>
      </c>
      <c r="B14" s="22"/>
      <c r="C14" s="18"/>
      <c r="D14" s="20" t="s">
        <v>17</v>
      </c>
      <c r="E14" s="22"/>
      <c r="F14" s="18"/>
      <c r="G14" s="20">
        <v>60</v>
      </c>
      <c r="H14" s="22"/>
      <c r="I14" s="18"/>
      <c r="J14" s="20">
        <v>52</v>
      </c>
      <c r="K14" s="22"/>
      <c r="L14" s="18"/>
      <c r="M14" s="20" t="s">
        <v>17</v>
      </c>
      <c r="N14" s="22"/>
      <c r="O14" s="18"/>
      <c r="P14" s="20" t="s">
        <v>17</v>
      </c>
      <c r="Q14" s="22"/>
      <c r="R14" s="18"/>
      <c r="S14" s="20">
        <v>40</v>
      </c>
      <c r="T14" s="22"/>
    </row>
    <row r="15" spans="1:20" x14ac:dyDescent="0.25">
      <c r="A15" s="20">
        <v>54</v>
      </c>
      <c r="B15" s="22"/>
      <c r="C15" s="18"/>
      <c r="D15" s="20" t="s">
        <v>19</v>
      </c>
      <c r="E15" s="22"/>
      <c r="F15" s="18"/>
      <c r="G15" s="20">
        <v>61</v>
      </c>
      <c r="H15" s="22"/>
      <c r="I15" s="18"/>
      <c r="J15" s="20">
        <v>54</v>
      </c>
      <c r="K15" s="22"/>
      <c r="L15" s="18"/>
      <c r="M15" s="20" t="s">
        <v>19</v>
      </c>
      <c r="N15" s="22"/>
      <c r="O15" s="18"/>
      <c r="P15" s="20" t="s">
        <v>19</v>
      </c>
      <c r="Q15" s="22"/>
      <c r="R15" s="18"/>
      <c r="S15" s="20">
        <v>41</v>
      </c>
      <c r="T15" s="22"/>
    </row>
    <row r="16" spans="1:20" x14ac:dyDescent="0.25">
      <c r="A16" s="20">
        <v>56</v>
      </c>
      <c r="B16" s="22"/>
      <c r="C16" s="18"/>
      <c r="D16" s="18"/>
      <c r="E16" s="15" t="str">
        <f>IF(SUM(E4:E15)=0,"",SUM(E4:E15))</f>
        <v/>
      </c>
      <c r="F16" s="18"/>
      <c r="G16" s="20">
        <v>62</v>
      </c>
      <c r="H16" s="22"/>
      <c r="I16" s="18"/>
      <c r="J16" s="20">
        <v>56</v>
      </c>
      <c r="K16" s="22"/>
      <c r="L16" s="18"/>
      <c r="M16" s="18"/>
      <c r="N16" s="15" t="str">
        <f>IF(SUM(N4:N15)=0,"",SUM(N4:N15))</f>
        <v/>
      </c>
      <c r="O16" s="18"/>
      <c r="P16" s="16"/>
      <c r="Q16" s="15" t="str">
        <f>IF(SUM(Q4:Q15)=0,"",SUM(Q4:Q15))</f>
        <v/>
      </c>
      <c r="R16" s="18"/>
      <c r="S16" s="20">
        <v>42</v>
      </c>
      <c r="T16" s="22"/>
    </row>
    <row r="17" spans="1:20" x14ac:dyDescent="0.25">
      <c r="A17" s="20">
        <v>58</v>
      </c>
      <c r="B17" s="22"/>
      <c r="C17" s="18"/>
      <c r="D17" s="18"/>
      <c r="E17" s="18"/>
      <c r="F17" s="18"/>
      <c r="G17" s="20">
        <v>63</v>
      </c>
      <c r="H17" s="22"/>
      <c r="I17" s="18"/>
      <c r="J17" s="20">
        <v>58</v>
      </c>
      <c r="K17" s="22"/>
      <c r="L17" s="18"/>
      <c r="M17" s="18"/>
      <c r="N17" s="18"/>
      <c r="O17" s="18"/>
      <c r="P17" s="16"/>
      <c r="Q17" s="16"/>
      <c r="R17" s="18"/>
      <c r="S17" s="20">
        <v>43</v>
      </c>
      <c r="T17" s="22"/>
    </row>
    <row r="18" spans="1:20" x14ac:dyDescent="0.25">
      <c r="A18" s="20">
        <v>60</v>
      </c>
      <c r="B18" s="22"/>
      <c r="C18" s="18"/>
      <c r="D18" s="18"/>
      <c r="E18" s="18"/>
      <c r="F18" s="18"/>
      <c r="G18" s="20">
        <v>64</v>
      </c>
      <c r="H18" s="22"/>
      <c r="I18" s="18"/>
      <c r="J18" s="20">
        <v>60</v>
      </c>
      <c r="K18" s="22"/>
      <c r="L18" s="18"/>
      <c r="M18" s="18"/>
      <c r="N18" s="18"/>
      <c r="O18" s="18"/>
      <c r="P18" s="16"/>
      <c r="Q18" s="16"/>
      <c r="R18" s="18"/>
      <c r="S18" s="20">
        <v>44</v>
      </c>
      <c r="T18" s="22"/>
    </row>
    <row r="19" spans="1:20" x14ac:dyDescent="0.25">
      <c r="A19" s="20">
        <v>62</v>
      </c>
      <c r="B19" s="22"/>
      <c r="C19" s="18"/>
      <c r="D19" s="18"/>
      <c r="E19" s="18"/>
      <c r="F19" s="18"/>
      <c r="G19" s="20">
        <v>65</v>
      </c>
      <c r="H19" s="22"/>
      <c r="I19" s="18"/>
      <c r="J19" s="20">
        <v>62</v>
      </c>
      <c r="K19" s="22"/>
      <c r="L19" s="18"/>
      <c r="M19" s="18"/>
      <c r="N19" s="18"/>
      <c r="O19" s="18"/>
      <c r="P19" s="16"/>
      <c r="Q19" s="16"/>
      <c r="R19" s="18"/>
      <c r="S19" s="20">
        <v>45</v>
      </c>
      <c r="T19" s="22"/>
    </row>
    <row r="20" spans="1:20" x14ac:dyDescent="0.25">
      <c r="A20" s="20">
        <v>64</v>
      </c>
      <c r="B20" s="22"/>
      <c r="C20" s="18"/>
      <c r="D20" s="18"/>
      <c r="E20" s="18"/>
      <c r="F20" s="18"/>
      <c r="G20" s="18"/>
      <c r="H20" s="15" t="str">
        <f>IF(SUM(H4:H19)=0,"",SUM(H4:H19))</f>
        <v/>
      </c>
      <c r="I20" s="18"/>
      <c r="J20" s="20">
        <v>64</v>
      </c>
      <c r="K20" s="22"/>
      <c r="L20" s="18"/>
      <c r="M20" s="18"/>
      <c r="N20" s="18"/>
      <c r="O20" s="18"/>
      <c r="P20" s="16"/>
      <c r="Q20" s="16"/>
      <c r="R20" s="18"/>
      <c r="S20" s="20">
        <v>46</v>
      </c>
      <c r="T20" s="22"/>
    </row>
    <row r="21" spans="1:20" x14ac:dyDescent="0.25">
      <c r="A21" s="20">
        <v>66</v>
      </c>
      <c r="B21" s="22"/>
      <c r="C21" s="18"/>
      <c r="D21" s="18"/>
      <c r="E21" s="18"/>
      <c r="F21" s="18"/>
      <c r="G21" s="18"/>
      <c r="H21" s="18"/>
      <c r="I21" s="18"/>
      <c r="J21" s="20">
        <v>66</v>
      </c>
      <c r="K21" s="22"/>
      <c r="L21" s="18"/>
      <c r="M21" s="18"/>
      <c r="N21" s="18"/>
      <c r="O21" s="18"/>
      <c r="P21" s="16"/>
      <c r="Q21" s="16"/>
      <c r="R21" s="18"/>
      <c r="S21" s="20">
        <v>47</v>
      </c>
      <c r="T21" s="22"/>
    </row>
    <row r="22" spans="1:20" x14ac:dyDescent="0.25">
      <c r="A22" s="18"/>
      <c r="B22" s="15" t="str">
        <f>IF(SUM(B4:B21)=0,"",SUM(B4:B21))</f>
        <v/>
      </c>
      <c r="C22" s="18"/>
      <c r="D22" s="18"/>
      <c r="E22" s="18"/>
      <c r="F22" s="18"/>
      <c r="G22" s="18"/>
      <c r="H22" s="18"/>
      <c r="I22" s="18"/>
      <c r="J22" s="16"/>
      <c r="K22" s="15" t="str">
        <f>IF(SUM(K4:K21)=0,"",SUM(K4:K21))</f>
        <v/>
      </c>
      <c r="L22" s="18"/>
      <c r="M22" s="18"/>
      <c r="N22" s="18"/>
      <c r="O22" s="18"/>
      <c r="P22" s="16"/>
      <c r="Q22" s="16"/>
      <c r="R22" s="18"/>
      <c r="S22" s="20">
        <v>48</v>
      </c>
      <c r="T22" s="22"/>
    </row>
    <row r="23" spans="1:20" x14ac:dyDescent="0.25">
      <c r="A23" s="18"/>
      <c r="B23" s="18"/>
      <c r="C23" s="18"/>
      <c r="D23" s="18"/>
      <c r="E23" s="18"/>
      <c r="F23" s="18"/>
      <c r="G23" s="18"/>
      <c r="H23" s="18"/>
      <c r="I23" s="18"/>
      <c r="J23" s="16"/>
      <c r="K23" s="16"/>
      <c r="L23" s="18"/>
      <c r="M23" s="18"/>
      <c r="N23" s="18"/>
      <c r="O23" s="18"/>
      <c r="P23" s="16"/>
      <c r="Q23" s="16"/>
      <c r="R23" s="18"/>
      <c r="S23" s="20">
        <v>49</v>
      </c>
      <c r="T23" s="22"/>
    </row>
    <row r="24" spans="1:20" x14ac:dyDescent="0.25">
      <c r="A24" s="18"/>
      <c r="B24" s="18"/>
      <c r="C24" s="18"/>
      <c r="D24" s="18"/>
      <c r="E24" s="18"/>
      <c r="F24" s="18"/>
      <c r="G24" s="18"/>
      <c r="H24" s="18"/>
      <c r="I24" s="18"/>
      <c r="J24" s="16"/>
      <c r="K24" s="16"/>
      <c r="L24" s="18"/>
      <c r="M24" s="18"/>
      <c r="N24" s="18"/>
      <c r="O24" s="18"/>
      <c r="P24" s="16"/>
      <c r="Q24" s="16"/>
      <c r="R24" s="18"/>
      <c r="S24" s="20">
        <v>50</v>
      </c>
      <c r="T24" s="22"/>
    </row>
    <row r="25" spans="1:20" x14ac:dyDescent="0.25">
      <c r="A25" s="18"/>
      <c r="B25" s="18"/>
      <c r="C25" s="18"/>
      <c r="D25" s="18"/>
      <c r="E25" s="18"/>
      <c r="F25" s="18"/>
      <c r="G25" s="18"/>
      <c r="H25" s="18"/>
      <c r="I25" s="18"/>
      <c r="J25" s="16"/>
      <c r="K25" s="16"/>
      <c r="L25" s="18"/>
      <c r="M25" s="18"/>
      <c r="N25" s="18"/>
      <c r="O25" s="18"/>
      <c r="P25" s="16"/>
      <c r="Q25" s="16"/>
      <c r="R25" s="18"/>
      <c r="S25" s="20">
        <v>51</v>
      </c>
      <c r="T25" s="22"/>
    </row>
    <row r="26" spans="1:20" x14ac:dyDescent="0.25">
      <c r="A26" s="18"/>
      <c r="B26" s="18"/>
      <c r="C26" s="18"/>
      <c r="D26" s="18"/>
      <c r="E26" s="18"/>
      <c r="F26" s="18"/>
      <c r="G26" s="18"/>
      <c r="H26" s="18"/>
      <c r="I26" s="18"/>
      <c r="J26" s="16"/>
      <c r="K26" s="16"/>
      <c r="L26" s="18"/>
      <c r="M26" s="18"/>
      <c r="N26" s="18"/>
      <c r="O26" s="18"/>
      <c r="P26" s="16"/>
      <c r="Q26" s="16"/>
      <c r="R26" s="18"/>
      <c r="S26" s="20">
        <v>52</v>
      </c>
      <c r="T26" s="22"/>
    </row>
    <row r="27" spans="1:20" x14ac:dyDescent="0.25">
      <c r="A27" s="18"/>
      <c r="B27" s="18"/>
      <c r="C27" s="18"/>
      <c r="D27" s="18"/>
      <c r="E27" s="18"/>
      <c r="F27" s="18"/>
      <c r="G27" s="18"/>
      <c r="H27" s="18"/>
      <c r="I27" s="18"/>
      <c r="J27" s="16"/>
      <c r="K27" s="16"/>
      <c r="L27" s="18"/>
      <c r="M27" s="18"/>
      <c r="N27" s="18"/>
      <c r="O27" s="18"/>
      <c r="P27" s="16"/>
      <c r="Q27" s="16"/>
      <c r="R27" s="18"/>
      <c r="S27" s="20">
        <v>53</v>
      </c>
      <c r="T27" s="22"/>
    </row>
    <row r="28" spans="1:20" x14ac:dyDescent="0.25">
      <c r="A28" s="18"/>
      <c r="B28" s="18"/>
      <c r="C28" s="18"/>
      <c r="D28" s="18"/>
      <c r="E28" s="18"/>
      <c r="F28" s="18"/>
      <c r="G28" s="18"/>
      <c r="H28" s="18"/>
      <c r="I28" s="18"/>
      <c r="J28" s="16"/>
      <c r="K28" s="16"/>
      <c r="L28" s="18"/>
      <c r="M28" s="18"/>
      <c r="N28" s="18"/>
      <c r="O28" s="18"/>
      <c r="P28" s="16"/>
      <c r="Q28" s="16"/>
      <c r="R28" s="18"/>
      <c r="S28" s="20">
        <v>54</v>
      </c>
      <c r="T28" s="22"/>
    </row>
    <row r="29" spans="1:20" x14ac:dyDescent="0.25">
      <c r="A29" s="18"/>
      <c r="B29" s="18"/>
      <c r="C29" s="18"/>
      <c r="D29" s="18"/>
      <c r="E29" s="18"/>
      <c r="F29" s="18"/>
      <c r="G29" s="18"/>
      <c r="H29" s="18"/>
      <c r="I29" s="18"/>
      <c r="J29" s="16"/>
      <c r="K29" s="16"/>
      <c r="L29" s="18"/>
      <c r="M29" s="18"/>
      <c r="N29" s="18"/>
      <c r="O29" s="18"/>
      <c r="P29" s="16"/>
      <c r="Q29" s="16"/>
      <c r="R29" s="18"/>
      <c r="S29" s="20">
        <v>55</v>
      </c>
      <c r="T29" s="22"/>
    </row>
    <row r="30" spans="1:20" x14ac:dyDescent="0.25">
      <c r="A30" s="18"/>
      <c r="B30" s="18"/>
      <c r="C30" s="18"/>
      <c r="D30" s="18"/>
      <c r="E30" s="18"/>
      <c r="F30" s="18"/>
      <c r="G30" s="18"/>
      <c r="H30" s="18"/>
      <c r="I30" s="18"/>
      <c r="J30" s="16"/>
      <c r="K30" s="16"/>
      <c r="L30" s="18"/>
      <c r="M30" s="18"/>
      <c r="N30" s="18"/>
      <c r="O30" s="18"/>
      <c r="P30" s="16"/>
      <c r="Q30" s="16"/>
      <c r="R30" s="18"/>
      <c r="S30" s="16"/>
      <c r="T30" s="15" t="str">
        <f>IF(SUM(T4:T29)=0,"",SUM(T4:T29))</f>
        <v/>
      </c>
    </row>
  </sheetData>
  <mergeCells count="8">
    <mergeCell ref="A1:T1"/>
    <mergeCell ref="J2:K2"/>
    <mergeCell ref="M2:N2"/>
    <mergeCell ref="P2:Q2"/>
    <mergeCell ref="S2:T2"/>
    <mergeCell ref="A2:B2"/>
    <mergeCell ref="D2:E2"/>
    <mergeCell ref="G2:H2"/>
  </mergeCells>
  <printOptions horizontalCentered="1"/>
  <pageMargins left="0.25" right="0.25" top="0.75" bottom="0.75" header="0.3" footer="0.3"/>
  <pageSetup paperSize="9" scale="110" orientation="landscape" horizontalDpi="300" verticalDpi="300" r:id="rId1"/>
  <headerFooter>
    <oddHeader>&amp;C&amp;"-,Negrita"&amp;14&amp;F</oddHeader>
    <oddFooter>&amp;C&amp;"-,Negrita"&amp;14&amp;P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T30"/>
  <sheetViews>
    <sheetView zoomScaleNormal="100" workbookViewId="0">
      <selection activeCell="E11" sqref="E11"/>
    </sheetView>
  </sheetViews>
  <sheetFormatPr baseColWidth="10" defaultRowHeight="15" x14ac:dyDescent="0.25"/>
  <cols>
    <col min="1" max="1" width="7" style="21" bestFit="1" customWidth="1"/>
    <col min="2" max="2" width="11.5703125" style="21" bestFit="1" customWidth="1"/>
    <col min="3" max="3" width="2.42578125" style="21" customWidth="1"/>
    <col min="4" max="4" width="7" style="21" bestFit="1" customWidth="1"/>
    <col min="5" max="5" width="11.5703125" style="21" bestFit="1" customWidth="1"/>
    <col min="6" max="6" width="2.42578125" style="21" customWidth="1"/>
    <col min="7" max="7" width="7" style="21" bestFit="1" customWidth="1"/>
    <col min="8" max="8" width="11.5703125" style="21" bestFit="1" customWidth="1"/>
    <col min="9" max="9" width="2.42578125" style="21" customWidth="1"/>
    <col min="10" max="10" width="7" style="17" bestFit="1" customWidth="1"/>
    <col min="11" max="11" width="11.5703125" style="17" bestFit="1" customWidth="1"/>
    <col min="12" max="12" width="2.42578125" style="21" customWidth="1"/>
    <col min="13" max="13" width="7" style="21" bestFit="1" customWidth="1"/>
    <col min="14" max="14" width="11.5703125" style="21" bestFit="1" customWidth="1"/>
    <col min="15" max="15" width="2.42578125" style="21" customWidth="1"/>
    <col min="16" max="16" width="7" style="17" bestFit="1" customWidth="1"/>
    <col min="17" max="17" width="11.5703125" style="17" bestFit="1" customWidth="1"/>
    <col min="18" max="18" width="2.42578125" style="21" customWidth="1"/>
    <col min="19" max="19" width="7" style="17" bestFit="1" customWidth="1"/>
    <col min="20" max="20" width="11.5703125" style="17" bestFit="1" customWidth="1"/>
    <col min="21" max="16384" width="11.42578125" style="17"/>
  </cols>
  <sheetData>
    <row r="1" spans="1:20" ht="18.75" x14ac:dyDescent="0.3">
      <c r="A1" s="42" t="str">
        <f>PLANILLA!A1</f>
        <v>AGENTES DELEGACION B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</row>
    <row r="2" spans="1:20" x14ac:dyDescent="0.25">
      <c r="A2" s="43" t="str">
        <f>+TOTALES!A2</f>
        <v>CAMISA MC</v>
      </c>
      <c r="B2" s="44"/>
      <c r="C2" s="18"/>
      <c r="D2" s="43" t="str">
        <f>+TOTALES!D2</f>
        <v>CAMPERA</v>
      </c>
      <c r="E2" s="44"/>
      <c r="F2" s="18"/>
      <c r="G2" s="43" t="str">
        <f>+TOTALES!G2</f>
        <v>GORRA</v>
      </c>
      <c r="H2" s="44"/>
      <c r="I2" s="18"/>
      <c r="J2" s="43" t="str">
        <f>+TOTALES!J2</f>
        <v>PANTALON</v>
      </c>
      <c r="K2" s="44"/>
      <c r="L2" s="18"/>
      <c r="M2" s="43" t="str">
        <f>+TOTALES!M2</f>
        <v>REMERA</v>
      </c>
      <c r="N2" s="44"/>
      <c r="O2" s="18"/>
      <c r="P2" s="43" t="str">
        <f>+TOTALES!P2</f>
        <v>TRICOTA</v>
      </c>
      <c r="Q2" s="44"/>
      <c r="R2" s="18"/>
      <c r="S2" s="43" t="str">
        <f>+TOTALES!S2</f>
        <v>ZAPATOS</v>
      </c>
      <c r="T2" s="44"/>
    </row>
    <row r="3" spans="1:20" x14ac:dyDescent="0.25">
      <c r="A3" s="19" t="str">
        <f>TOTALES!A3</f>
        <v>TALLES</v>
      </c>
      <c r="B3" s="3" t="s">
        <v>23</v>
      </c>
      <c r="C3" s="18"/>
      <c r="D3" s="19" t="str">
        <f>TOTALES!D3</f>
        <v>TALLES</v>
      </c>
      <c r="E3" s="3" t="s">
        <v>23</v>
      </c>
      <c r="F3" s="18"/>
      <c r="G3" s="19" t="str">
        <f>TOTALES!G3</f>
        <v>TALLES</v>
      </c>
      <c r="H3" s="3" t="s">
        <v>23</v>
      </c>
      <c r="I3" s="18"/>
      <c r="J3" s="19" t="str">
        <f>TOTALES!J3</f>
        <v>TALLES</v>
      </c>
      <c r="K3" s="3" t="s">
        <v>23</v>
      </c>
      <c r="L3" s="18"/>
      <c r="M3" s="19" t="str">
        <f>TOTALES!M3</f>
        <v>TALLES</v>
      </c>
      <c r="N3" s="3" t="s">
        <v>23</v>
      </c>
      <c r="O3" s="18"/>
      <c r="P3" s="19" t="str">
        <f>TOTALES!P3</f>
        <v>TALLES</v>
      </c>
      <c r="Q3" s="3" t="s">
        <v>23</v>
      </c>
      <c r="R3" s="18"/>
      <c r="S3" s="19" t="str">
        <f>TOTALES!S3</f>
        <v>TALLES</v>
      </c>
      <c r="T3" s="3" t="s">
        <v>23</v>
      </c>
    </row>
    <row r="4" spans="1:20" x14ac:dyDescent="0.25">
      <c r="A4" s="33">
        <f>TOTALES!A4</f>
        <v>32</v>
      </c>
      <c r="B4" s="22"/>
      <c r="C4" s="18"/>
      <c r="D4" s="33" t="str">
        <f>TOTALES!D4</f>
        <v>3XS</v>
      </c>
      <c r="E4" s="22"/>
      <c r="F4" s="18"/>
      <c r="G4" s="33">
        <f>TOTALES!G4</f>
        <v>50</v>
      </c>
      <c r="H4" s="22"/>
      <c r="I4" s="18"/>
      <c r="J4" s="33">
        <f>TOTALES!J4</f>
        <v>32</v>
      </c>
      <c r="K4" s="22"/>
      <c r="L4" s="18"/>
      <c r="M4" s="33" t="str">
        <f>TOTALES!M4</f>
        <v>3XS</v>
      </c>
      <c r="N4" s="22"/>
      <c r="O4" s="18"/>
      <c r="P4" s="33" t="str">
        <f>TOTALES!P4</f>
        <v>3XS</v>
      </c>
      <c r="Q4" s="22"/>
      <c r="R4" s="18"/>
      <c r="S4" s="33">
        <f>TOTALES!S4</f>
        <v>30</v>
      </c>
      <c r="T4" s="22"/>
    </row>
    <row r="5" spans="1:20" x14ac:dyDescent="0.25">
      <c r="A5" s="33">
        <f>TOTALES!A5</f>
        <v>34</v>
      </c>
      <c r="B5" s="22">
        <v>2</v>
      </c>
      <c r="C5" s="18"/>
      <c r="D5" s="33" t="str">
        <f>TOTALES!D5</f>
        <v>XXS</v>
      </c>
      <c r="E5" s="22">
        <v>1</v>
      </c>
      <c r="F5" s="18"/>
      <c r="G5" s="33">
        <f>TOTALES!G5</f>
        <v>51</v>
      </c>
      <c r="H5" s="22"/>
      <c r="I5" s="18"/>
      <c r="J5" s="33">
        <f>TOTALES!J5</f>
        <v>34</v>
      </c>
      <c r="K5" s="22"/>
      <c r="L5" s="18"/>
      <c r="M5" s="33" t="str">
        <f>TOTALES!M5</f>
        <v>XXS</v>
      </c>
      <c r="N5" s="22"/>
      <c r="O5" s="18"/>
      <c r="P5" s="33" t="str">
        <f>TOTALES!P5</f>
        <v>XXS</v>
      </c>
      <c r="Q5" s="22"/>
      <c r="R5" s="18"/>
      <c r="S5" s="33">
        <f>TOTALES!S5</f>
        <v>31</v>
      </c>
      <c r="T5" s="22"/>
    </row>
    <row r="6" spans="1:20" x14ac:dyDescent="0.25">
      <c r="A6" s="33">
        <f>TOTALES!A6</f>
        <v>36</v>
      </c>
      <c r="B6" s="22">
        <v>2</v>
      </c>
      <c r="C6" s="18"/>
      <c r="D6" s="33" t="str">
        <f>TOTALES!D6</f>
        <v>XS</v>
      </c>
      <c r="E6" s="22">
        <v>1</v>
      </c>
      <c r="F6" s="18"/>
      <c r="G6" s="33">
        <f>TOTALES!G6</f>
        <v>52</v>
      </c>
      <c r="H6" s="22"/>
      <c r="I6" s="18"/>
      <c r="J6" s="33">
        <f>TOTALES!J6</f>
        <v>36</v>
      </c>
      <c r="K6" s="22"/>
      <c r="L6" s="18"/>
      <c r="M6" s="33" t="str">
        <f>TOTALES!M6</f>
        <v>XS</v>
      </c>
      <c r="N6" s="22">
        <v>2</v>
      </c>
      <c r="O6" s="18"/>
      <c r="P6" s="33" t="str">
        <f>TOTALES!P6</f>
        <v>XS</v>
      </c>
      <c r="Q6" s="22">
        <v>2</v>
      </c>
      <c r="R6" s="18"/>
      <c r="S6" s="33">
        <f>TOTALES!S6</f>
        <v>32</v>
      </c>
      <c r="T6" s="22"/>
    </row>
    <row r="7" spans="1:20" x14ac:dyDescent="0.25">
      <c r="A7" s="33">
        <f>TOTALES!A7</f>
        <v>38</v>
      </c>
      <c r="B7" s="22">
        <v>10</v>
      </c>
      <c r="C7" s="18"/>
      <c r="D7" s="33" t="str">
        <f>TOTALES!D7</f>
        <v>S</v>
      </c>
      <c r="E7" s="22">
        <v>13</v>
      </c>
      <c r="F7" s="18"/>
      <c r="G7" s="33">
        <f>TOTALES!G7</f>
        <v>53</v>
      </c>
      <c r="H7" s="22"/>
      <c r="I7" s="18"/>
      <c r="J7" s="33">
        <f>TOTALES!J7</f>
        <v>38</v>
      </c>
      <c r="K7" s="22">
        <v>2</v>
      </c>
      <c r="L7" s="18"/>
      <c r="M7" s="33" t="str">
        <f>TOTALES!M7</f>
        <v>S</v>
      </c>
      <c r="N7" s="22">
        <v>4</v>
      </c>
      <c r="O7" s="18"/>
      <c r="P7" s="33" t="str">
        <f>TOTALES!P7</f>
        <v>S</v>
      </c>
      <c r="Q7" s="22">
        <v>5</v>
      </c>
      <c r="R7" s="18"/>
      <c r="S7" s="33">
        <f>TOTALES!S7</f>
        <v>33</v>
      </c>
      <c r="T7" s="22"/>
    </row>
    <row r="8" spans="1:20" x14ac:dyDescent="0.25">
      <c r="A8" s="33">
        <f>TOTALES!A8</f>
        <v>40</v>
      </c>
      <c r="B8" s="22">
        <v>9</v>
      </c>
      <c r="C8" s="18"/>
      <c r="D8" s="33" t="str">
        <f>TOTALES!D8</f>
        <v>M</v>
      </c>
      <c r="E8" s="22">
        <v>14</v>
      </c>
      <c r="F8" s="18"/>
      <c r="G8" s="33">
        <f>TOTALES!G8</f>
        <v>54</v>
      </c>
      <c r="H8" s="22"/>
      <c r="I8" s="18"/>
      <c r="J8" s="33">
        <f>TOTALES!J8</f>
        <v>40</v>
      </c>
      <c r="K8" s="22">
        <v>7</v>
      </c>
      <c r="L8" s="18"/>
      <c r="M8" s="33" t="str">
        <f>TOTALES!M8</f>
        <v>M</v>
      </c>
      <c r="N8" s="22">
        <v>18</v>
      </c>
      <c r="O8" s="18"/>
      <c r="P8" s="33" t="str">
        <f>TOTALES!P8</f>
        <v>M</v>
      </c>
      <c r="Q8" s="22">
        <v>16</v>
      </c>
      <c r="R8" s="18"/>
      <c r="S8" s="33">
        <f>TOTALES!S8</f>
        <v>34</v>
      </c>
      <c r="T8" s="22"/>
    </row>
    <row r="9" spans="1:20" x14ac:dyDescent="0.25">
      <c r="A9" s="33">
        <f>TOTALES!A9</f>
        <v>42</v>
      </c>
      <c r="B9" s="22">
        <v>22</v>
      </c>
      <c r="C9" s="18"/>
      <c r="D9" s="33" t="str">
        <f>TOTALES!D9</f>
        <v>L</v>
      </c>
      <c r="E9" s="22">
        <v>15</v>
      </c>
      <c r="F9" s="18"/>
      <c r="G9" s="33">
        <f>TOTALES!G9</f>
        <v>55</v>
      </c>
      <c r="H9" s="22">
        <v>4</v>
      </c>
      <c r="I9" s="18"/>
      <c r="J9" s="33">
        <f>TOTALES!J9</f>
        <v>42</v>
      </c>
      <c r="K9" s="22">
        <v>15</v>
      </c>
      <c r="L9" s="18"/>
      <c r="M9" s="33" t="str">
        <f>TOTALES!M9</f>
        <v>L</v>
      </c>
      <c r="N9" s="22">
        <v>21</v>
      </c>
      <c r="O9" s="18"/>
      <c r="P9" s="33" t="str">
        <f>TOTALES!P9</f>
        <v>L</v>
      </c>
      <c r="Q9" s="22">
        <v>18</v>
      </c>
      <c r="R9" s="18"/>
      <c r="S9" s="33">
        <f>TOTALES!S9</f>
        <v>35</v>
      </c>
      <c r="T9" s="22"/>
    </row>
    <row r="10" spans="1:20" x14ac:dyDescent="0.25">
      <c r="A10" s="33">
        <f>TOTALES!A10</f>
        <v>44</v>
      </c>
      <c r="B10" s="22">
        <v>9</v>
      </c>
      <c r="C10" s="18"/>
      <c r="D10" s="33" t="str">
        <f>TOTALES!D10</f>
        <v>XL</v>
      </c>
      <c r="E10" s="22">
        <v>12</v>
      </c>
      <c r="F10" s="18"/>
      <c r="G10" s="33">
        <f>TOTALES!G10</f>
        <v>56</v>
      </c>
      <c r="H10" s="22">
        <v>14</v>
      </c>
      <c r="I10" s="18"/>
      <c r="J10" s="33">
        <f>TOTALES!J10</f>
        <v>44</v>
      </c>
      <c r="K10" s="22">
        <v>14</v>
      </c>
      <c r="L10" s="18"/>
      <c r="M10" s="33" t="str">
        <f>TOTALES!M10</f>
        <v>XL</v>
      </c>
      <c r="N10" s="22">
        <v>13</v>
      </c>
      <c r="O10" s="18"/>
      <c r="P10" s="33" t="str">
        <f>TOTALES!P10</f>
        <v>XL</v>
      </c>
      <c r="Q10" s="22">
        <v>15</v>
      </c>
      <c r="R10" s="18"/>
      <c r="S10" s="33">
        <f>TOTALES!S10</f>
        <v>36</v>
      </c>
      <c r="T10" s="22">
        <v>1</v>
      </c>
    </row>
    <row r="11" spans="1:20" x14ac:dyDescent="0.25">
      <c r="A11" s="33">
        <f>TOTALES!A11</f>
        <v>46</v>
      </c>
      <c r="B11" s="22">
        <v>6</v>
      </c>
      <c r="C11" s="18"/>
      <c r="D11" s="33" t="str">
        <f>TOTALES!D11</f>
        <v>XXL</v>
      </c>
      <c r="E11" s="22">
        <v>6</v>
      </c>
      <c r="F11" s="18"/>
      <c r="G11" s="33">
        <f>TOTALES!G11</f>
        <v>57</v>
      </c>
      <c r="H11" s="22">
        <v>18</v>
      </c>
      <c r="I11" s="18"/>
      <c r="J11" s="33">
        <f>TOTALES!J11</f>
        <v>46</v>
      </c>
      <c r="K11" s="22">
        <v>11</v>
      </c>
      <c r="L11" s="18"/>
      <c r="M11" s="33" t="str">
        <f>TOTALES!M11</f>
        <v>XXL</v>
      </c>
      <c r="N11" s="22">
        <v>3</v>
      </c>
      <c r="O11" s="18"/>
      <c r="P11" s="33" t="str">
        <f>TOTALES!P11</f>
        <v>XXL</v>
      </c>
      <c r="Q11" s="22">
        <v>6</v>
      </c>
      <c r="R11" s="18"/>
      <c r="S11" s="33">
        <f>TOTALES!S11</f>
        <v>37</v>
      </c>
      <c r="T11" s="22">
        <v>3</v>
      </c>
    </row>
    <row r="12" spans="1:20" x14ac:dyDescent="0.25">
      <c r="A12" s="33">
        <f>TOTALES!A12</f>
        <v>48</v>
      </c>
      <c r="B12" s="22">
        <v>2</v>
      </c>
      <c r="C12" s="18"/>
      <c r="D12" s="33" t="str">
        <f>TOTALES!D12</f>
        <v>3XL</v>
      </c>
      <c r="E12" s="22">
        <v>1</v>
      </c>
      <c r="F12" s="18"/>
      <c r="G12" s="33">
        <f>TOTALES!G12</f>
        <v>58</v>
      </c>
      <c r="H12" s="22">
        <v>10</v>
      </c>
      <c r="I12" s="18"/>
      <c r="J12" s="33">
        <f>TOTALES!J12</f>
        <v>48</v>
      </c>
      <c r="K12" s="22">
        <v>8</v>
      </c>
      <c r="L12" s="18"/>
      <c r="M12" s="33" t="str">
        <f>TOTALES!M12</f>
        <v>3XL</v>
      </c>
      <c r="N12" s="22">
        <v>1</v>
      </c>
      <c r="O12" s="18"/>
      <c r="P12" s="33" t="str">
        <f>TOTALES!P12</f>
        <v>3XL</v>
      </c>
      <c r="Q12" s="22">
        <v>1</v>
      </c>
      <c r="R12" s="18"/>
      <c r="S12" s="33">
        <f>TOTALES!S12</f>
        <v>38</v>
      </c>
      <c r="T12" s="22">
        <v>5</v>
      </c>
    </row>
    <row r="13" spans="1:20" x14ac:dyDescent="0.25">
      <c r="A13" s="33">
        <f>TOTALES!A13</f>
        <v>50</v>
      </c>
      <c r="B13" s="22"/>
      <c r="C13" s="18"/>
      <c r="D13" s="33" t="str">
        <f>TOTALES!D13</f>
        <v>4XL</v>
      </c>
      <c r="E13" s="22"/>
      <c r="F13" s="18"/>
      <c r="G13" s="33">
        <f>TOTALES!G13</f>
        <v>59</v>
      </c>
      <c r="H13" s="22">
        <v>13</v>
      </c>
      <c r="I13" s="18"/>
      <c r="J13" s="33">
        <f>TOTALES!J13</f>
        <v>50</v>
      </c>
      <c r="K13" s="22">
        <v>2</v>
      </c>
      <c r="L13" s="18"/>
      <c r="M13" s="33" t="str">
        <f>TOTALES!M13</f>
        <v>4XL</v>
      </c>
      <c r="N13" s="22"/>
      <c r="O13" s="18"/>
      <c r="P13" s="33" t="str">
        <f>TOTALES!P13</f>
        <v>4XL</v>
      </c>
      <c r="Q13" s="22"/>
      <c r="R13" s="18"/>
      <c r="S13" s="33">
        <f>TOTALES!S13</f>
        <v>39</v>
      </c>
      <c r="T13" s="22">
        <v>2</v>
      </c>
    </row>
    <row r="14" spans="1:20" x14ac:dyDescent="0.25">
      <c r="A14" s="33">
        <f>TOTALES!A14</f>
        <v>52</v>
      </c>
      <c r="B14" s="22"/>
      <c r="C14" s="18"/>
      <c r="D14" s="33" t="str">
        <f>TOTALES!D14</f>
        <v>5XL</v>
      </c>
      <c r="E14" s="22"/>
      <c r="F14" s="18"/>
      <c r="G14" s="33">
        <f>TOTALES!G14</f>
        <v>60</v>
      </c>
      <c r="H14" s="22">
        <v>4</v>
      </c>
      <c r="I14" s="18"/>
      <c r="J14" s="33">
        <f>TOTALES!J14</f>
        <v>52</v>
      </c>
      <c r="K14" s="22"/>
      <c r="L14" s="18"/>
      <c r="M14" s="33" t="str">
        <f>TOTALES!M14</f>
        <v>5XL</v>
      </c>
      <c r="N14" s="22"/>
      <c r="O14" s="18"/>
      <c r="P14" s="33" t="str">
        <f>TOTALES!P14</f>
        <v>5XL</v>
      </c>
      <c r="Q14" s="22"/>
      <c r="R14" s="18"/>
      <c r="S14" s="33">
        <f>TOTALES!S14</f>
        <v>40</v>
      </c>
      <c r="T14" s="22">
        <v>7</v>
      </c>
    </row>
    <row r="15" spans="1:20" x14ac:dyDescent="0.25">
      <c r="A15" s="33">
        <f>TOTALES!A15</f>
        <v>54</v>
      </c>
      <c r="B15" s="22"/>
      <c r="C15" s="18"/>
      <c r="D15" s="33" t="str">
        <f>TOTALES!D15</f>
        <v>6XL</v>
      </c>
      <c r="E15" s="22"/>
      <c r="F15" s="18"/>
      <c r="G15" s="33">
        <f>TOTALES!G15</f>
        <v>61</v>
      </c>
      <c r="H15" s="22"/>
      <c r="I15" s="18"/>
      <c r="J15" s="33">
        <f>TOTALES!J15</f>
        <v>54</v>
      </c>
      <c r="K15" s="22">
        <v>2</v>
      </c>
      <c r="L15" s="18"/>
      <c r="M15" s="33" t="str">
        <f>TOTALES!M15</f>
        <v>6XL</v>
      </c>
      <c r="N15" s="22"/>
      <c r="O15" s="18"/>
      <c r="P15" s="33" t="str">
        <f>TOTALES!P15</f>
        <v>6XL</v>
      </c>
      <c r="Q15" s="22"/>
      <c r="R15" s="18"/>
      <c r="S15" s="33">
        <f>TOTALES!S15</f>
        <v>41</v>
      </c>
      <c r="T15" s="22">
        <v>14</v>
      </c>
    </row>
    <row r="16" spans="1:20" x14ac:dyDescent="0.25">
      <c r="A16" s="33">
        <f>TOTALES!A16</f>
        <v>56</v>
      </c>
      <c r="B16" s="22"/>
      <c r="C16" s="18"/>
      <c r="D16" s="18"/>
      <c r="E16" s="15">
        <f>IF(SUM(E4:E15)=0,"",SUM(E4:E15))</f>
        <v>63</v>
      </c>
      <c r="F16" s="18"/>
      <c r="G16" s="33">
        <f>TOTALES!G16</f>
        <v>62</v>
      </c>
      <c r="H16" s="22"/>
      <c r="I16" s="18"/>
      <c r="J16" s="33">
        <f>TOTALES!J16</f>
        <v>56</v>
      </c>
      <c r="K16" s="22"/>
      <c r="L16" s="18"/>
      <c r="M16" s="18"/>
      <c r="N16" s="15">
        <f>IF(SUM(N4:N15)=0,"",SUM(N4:N15))</f>
        <v>62</v>
      </c>
      <c r="O16" s="18"/>
      <c r="P16" s="16"/>
      <c r="Q16" s="15">
        <f>IF(SUM(Q4:Q15)=0,"",SUM(Q4:Q15))</f>
        <v>63</v>
      </c>
      <c r="R16" s="18"/>
      <c r="S16" s="33">
        <f>TOTALES!S16</f>
        <v>42</v>
      </c>
      <c r="T16" s="22">
        <v>11</v>
      </c>
    </row>
    <row r="17" spans="1:20" x14ac:dyDescent="0.25">
      <c r="A17" s="33">
        <f>TOTALES!A17</f>
        <v>58</v>
      </c>
      <c r="B17" s="22"/>
      <c r="C17" s="18"/>
      <c r="D17" s="18"/>
      <c r="E17" s="18"/>
      <c r="F17" s="18"/>
      <c r="G17" s="33">
        <f>TOTALES!G17</f>
        <v>63</v>
      </c>
      <c r="H17" s="22"/>
      <c r="I17" s="18"/>
      <c r="J17" s="33">
        <f>TOTALES!J17</f>
        <v>58</v>
      </c>
      <c r="K17" s="22">
        <v>1</v>
      </c>
      <c r="L17" s="18"/>
      <c r="M17" s="18"/>
      <c r="N17" s="18"/>
      <c r="O17" s="18"/>
      <c r="P17" s="16"/>
      <c r="Q17" s="16"/>
      <c r="R17" s="18"/>
      <c r="S17" s="33">
        <f>TOTALES!S17</f>
        <v>43</v>
      </c>
      <c r="T17" s="22">
        <v>10</v>
      </c>
    </row>
    <row r="18" spans="1:20" x14ac:dyDescent="0.25">
      <c r="A18" s="33">
        <f>TOTALES!A18</f>
        <v>60</v>
      </c>
      <c r="B18" s="22"/>
      <c r="C18" s="18"/>
      <c r="D18" s="18"/>
      <c r="E18" s="18"/>
      <c r="F18" s="18"/>
      <c r="G18" s="33">
        <f>TOTALES!G18</f>
        <v>64</v>
      </c>
      <c r="H18" s="22"/>
      <c r="I18" s="18"/>
      <c r="J18" s="33">
        <f>TOTALES!J18</f>
        <v>60</v>
      </c>
      <c r="K18" s="22"/>
      <c r="L18" s="18"/>
      <c r="M18" s="18"/>
      <c r="N18" s="18"/>
      <c r="O18" s="18"/>
      <c r="P18" s="16"/>
      <c r="Q18" s="16"/>
      <c r="R18" s="18"/>
      <c r="S18" s="33">
        <f>TOTALES!S18</f>
        <v>44</v>
      </c>
      <c r="T18" s="22">
        <v>2</v>
      </c>
    </row>
    <row r="19" spans="1:20" x14ac:dyDescent="0.25">
      <c r="A19" s="33">
        <f>TOTALES!A19</f>
        <v>62</v>
      </c>
      <c r="B19" s="22"/>
      <c r="C19" s="18"/>
      <c r="D19" s="18"/>
      <c r="E19" s="18"/>
      <c r="F19" s="18"/>
      <c r="G19" s="33">
        <f>TOTALES!G19</f>
        <v>65</v>
      </c>
      <c r="H19" s="22"/>
      <c r="I19" s="18"/>
      <c r="J19" s="33">
        <f>TOTALES!J19</f>
        <v>62</v>
      </c>
      <c r="K19" s="22"/>
      <c r="L19" s="18"/>
      <c r="M19" s="18"/>
      <c r="N19" s="18"/>
      <c r="O19" s="18"/>
      <c r="P19" s="16"/>
      <c r="Q19" s="16"/>
      <c r="R19" s="18"/>
      <c r="S19" s="33">
        <f>TOTALES!S19</f>
        <v>45</v>
      </c>
      <c r="T19" s="22">
        <v>5</v>
      </c>
    </row>
    <row r="20" spans="1:20" x14ac:dyDescent="0.25">
      <c r="A20" s="33">
        <f>TOTALES!A20</f>
        <v>64</v>
      </c>
      <c r="B20" s="22"/>
      <c r="C20" s="18"/>
      <c r="D20" s="18"/>
      <c r="E20" s="18"/>
      <c r="F20" s="18"/>
      <c r="G20" s="18"/>
      <c r="H20" s="15">
        <f>IF(SUM(H4:H19)=0,"",SUM(H4:H19))</f>
        <v>63</v>
      </c>
      <c r="I20" s="18"/>
      <c r="J20" s="33">
        <f>TOTALES!J20</f>
        <v>64</v>
      </c>
      <c r="K20" s="22"/>
      <c r="L20" s="18"/>
      <c r="M20" s="18"/>
      <c r="N20" s="18"/>
      <c r="O20" s="18"/>
      <c r="P20" s="16"/>
      <c r="Q20" s="16"/>
      <c r="R20" s="18"/>
      <c r="S20" s="33">
        <f>TOTALES!S20</f>
        <v>46</v>
      </c>
      <c r="T20" s="22"/>
    </row>
    <row r="21" spans="1:20" x14ac:dyDescent="0.25">
      <c r="A21" s="33">
        <f>TOTALES!A21</f>
        <v>66</v>
      </c>
      <c r="B21" s="22"/>
      <c r="C21" s="18"/>
      <c r="D21" s="18"/>
      <c r="E21" s="18"/>
      <c r="F21" s="18"/>
      <c r="G21" s="18"/>
      <c r="H21" s="18"/>
      <c r="I21" s="18"/>
      <c r="J21" s="33">
        <f>TOTALES!J21</f>
        <v>66</v>
      </c>
      <c r="K21" s="22"/>
      <c r="L21" s="18"/>
      <c r="M21" s="18"/>
      <c r="N21" s="18"/>
      <c r="O21" s="18"/>
      <c r="P21" s="16"/>
      <c r="Q21" s="16"/>
      <c r="R21" s="18"/>
      <c r="S21" s="33">
        <f>TOTALES!S21</f>
        <v>47</v>
      </c>
      <c r="T21" s="22"/>
    </row>
    <row r="22" spans="1:20" x14ac:dyDescent="0.25">
      <c r="A22" s="18"/>
      <c r="B22" s="15">
        <f>IF(SUM(B4:B21)=0,"",SUM(B4:B21))</f>
        <v>62</v>
      </c>
      <c r="C22" s="18"/>
      <c r="D22" s="18"/>
      <c r="E22" s="18"/>
      <c r="F22" s="18"/>
      <c r="G22" s="18"/>
      <c r="H22" s="18"/>
      <c r="I22" s="18"/>
      <c r="J22" s="16"/>
      <c r="K22" s="15">
        <f>IF(SUM(K4:K21)=0,"",SUM(K4:K21))</f>
        <v>62</v>
      </c>
      <c r="L22" s="18"/>
      <c r="M22" s="18"/>
      <c r="N22" s="18"/>
      <c r="O22" s="18"/>
      <c r="P22" s="16"/>
      <c r="Q22" s="16"/>
      <c r="R22" s="18"/>
      <c r="S22" s="33">
        <f>TOTALES!S22</f>
        <v>48</v>
      </c>
      <c r="T22" s="22"/>
    </row>
    <row r="23" spans="1:20" x14ac:dyDescent="0.25">
      <c r="A23" s="18"/>
      <c r="B23" s="18"/>
      <c r="C23" s="18"/>
      <c r="D23" s="18"/>
      <c r="E23" s="18"/>
      <c r="F23" s="18"/>
      <c r="G23" s="18"/>
      <c r="H23" s="18"/>
      <c r="I23" s="18"/>
      <c r="J23" s="16"/>
      <c r="K23" s="16"/>
      <c r="L23" s="18"/>
      <c r="M23" s="18"/>
      <c r="N23" s="18"/>
      <c r="O23" s="18"/>
      <c r="P23" s="16"/>
      <c r="Q23" s="16"/>
      <c r="R23" s="18"/>
      <c r="S23" s="33">
        <f>TOTALES!S23</f>
        <v>49</v>
      </c>
      <c r="T23" s="22"/>
    </row>
    <row r="24" spans="1:20" x14ac:dyDescent="0.25">
      <c r="A24" s="18"/>
      <c r="B24" s="18"/>
      <c r="C24" s="18"/>
      <c r="D24" s="18"/>
      <c r="E24" s="18"/>
      <c r="F24" s="18"/>
      <c r="G24" s="18"/>
      <c r="H24" s="18"/>
      <c r="I24" s="18"/>
      <c r="J24" s="16"/>
      <c r="K24" s="16"/>
      <c r="L24" s="18"/>
      <c r="M24" s="18"/>
      <c r="N24" s="18"/>
      <c r="O24" s="18"/>
      <c r="P24" s="16"/>
      <c r="Q24" s="16"/>
      <c r="R24" s="18"/>
      <c r="S24" s="33">
        <f>TOTALES!S24</f>
        <v>50</v>
      </c>
      <c r="T24" s="22"/>
    </row>
    <row r="25" spans="1:20" x14ac:dyDescent="0.25">
      <c r="A25" s="18"/>
      <c r="B25" s="18"/>
      <c r="C25" s="18"/>
      <c r="D25" s="18"/>
      <c r="E25" s="18"/>
      <c r="F25" s="18"/>
      <c r="G25" s="18"/>
      <c r="H25" s="18"/>
      <c r="I25" s="18"/>
      <c r="J25" s="16"/>
      <c r="K25" s="16"/>
      <c r="L25" s="18"/>
      <c r="M25" s="18"/>
      <c r="N25" s="18"/>
      <c r="O25" s="18"/>
      <c r="P25" s="16"/>
      <c r="Q25" s="16"/>
      <c r="R25" s="18"/>
      <c r="S25" s="33">
        <f>TOTALES!S25</f>
        <v>51</v>
      </c>
      <c r="T25" s="22"/>
    </row>
    <row r="26" spans="1:20" x14ac:dyDescent="0.25">
      <c r="A26" s="18"/>
      <c r="B26" s="18"/>
      <c r="C26" s="18"/>
      <c r="D26" s="18"/>
      <c r="E26" s="18"/>
      <c r="F26" s="18"/>
      <c r="G26" s="18"/>
      <c r="H26" s="18"/>
      <c r="I26" s="18"/>
      <c r="J26" s="16"/>
      <c r="K26" s="16"/>
      <c r="L26" s="18"/>
      <c r="M26" s="18"/>
      <c r="N26" s="18"/>
      <c r="O26" s="18"/>
      <c r="P26" s="16"/>
      <c r="Q26" s="16"/>
      <c r="R26" s="18"/>
      <c r="S26" s="33">
        <f>TOTALES!S26</f>
        <v>52</v>
      </c>
      <c r="T26" s="22"/>
    </row>
    <row r="27" spans="1:20" x14ac:dyDescent="0.25">
      <c r="A27" s="18"/>
      <c r="B27" s="18"/>
      <c r="C27" s="18"/>
      <c r="D27" s="18"/>
      <c r="E27" s="18"/>
      <c r="F27" s="18"/>
      <c r="G27" s="18"/>
      <c r="H27" s="18"/>
      <c r="I27" s="18"/>
      <c r="J27" s="16"/>
      <c r="K27" s="16"/>
      <c r="L27" s="18"/>
      <c r="M27" s="18"/>
      <c r="N27" s="18"/>
      <c r="O27" s="18"/>
      <c r="P27" s="16"/>
      <c r="Q27" s="16"/>
      <c r="R27" s="18"/>
      <c r="S27" s="33">
        <f>TOTALES!S27</f>
        <v>53</v>
      </c>
      <c r="T27" s="22"/>
    </row>
    <row r="28" spans="1:20" x14ac:dyDescent="0.25">
      <c r="A28" s="18"/>
      <c r="B28" s="18"/>
      <c r="C28" s="18"/>
      <c r="D28" s="18"/>
      <c r="E28" s="18"/>
      <c r="F28" s="18"/>
      <c r="G28" s="18"/>
      <c r="H28" s="18"/>
      <c r="I28" s="18"/>
      <c r="J28" s="16"/>
      <c r="K28" s="16"/>
      <c r="L28" s="18"/>
      <c r="M28" s="18"/>
      <c r="N28" s="18"/>
      <c r="O28" s="18"/>
      <c r="P28" s="16"/>
      <c r="Q28" s="16"/>
      <c r="R28" s="18"/>
      <c r="S28" s="33">
        <f>TOTALES!S28</f>
        <v>54</v>
      </c>
      <c r="T28" s="22"/>
    </row>
    <row r="29" spans="1:20" x14ac:dyDescent="0.25">
      <c r="A29" s="18"/>
      <c r="B29" s="18"/>
      <c r="C29" s="18"/>
      <c r="D29" s="18"/>
      <c r="E29" s="18"/>
      <c r="F29" s="18"/>
      <c r="G29" s="18"/>
      <c r="H29" s="18"/>
      <c r="I29" s="18"/>
      <c r="J29" s="16"/>
      <c r="K29" s="16"/>
      <c r="L29" s="18"/>
      <c r="M29" s="18"/>
      <c r="N29" s="18"/>
      <c r="O29" s="18"/>
      <c r="P29" s="16"/>
      <c r="Q29" s="16"/>
      <c r="R29" s="18"/>
      <c r="S29" s="33">
        <f>TOTALES!S29</f>
        <v>55</v>
      </c>
      <c r="T29" s="22"/>
    </row>
    <row r="30" spans="1:20" x14ac:dyDescent="0.25">
      <c r="A30" s="18"/>
      <c r="B30" s="18"/>
      <c r="C30" s="18"/>
      <c r="D30" s="18"/>
      <c r="E30" s="18"/>
      <c r="F30" s="18"/>
      <c r="G30" s="18"/>
      <c r="H30" s="18"/>
      <c r="I30" s="18"/>
      <c r="J30" s="16"/>
      <c r="K30" s="16"/>
      <c r="L30" s="18"/>
      <c r="M30" s="18"/>
      <c r="N30" s="18"/>
      <c r="O30" s="18"/>
      <c r="P30" s="16"/>
      <c r="Q30" s="16"/>
      <c r="R30" s="18"/>
      <c r="S30" s="16"/>
      <c r="T30" s="15">
        <f>IF(SUM(T4:T29)=0,"",SUM(T4:T29))</f>
        <v>60</v>
      </c>
    </row>
  </sheetData>
  <mergeCells count="8">
    <mergeCell ref="A1:T1"/>
    <mergeCell ref="A2:B2"/>
    <mergeCell ref="D2:E2"/>
    <mergeCell ref="G2:H2"/>
    <mergeCell ref="J2:K2"/>
    <mergeCell ref="M2:N2"/>
    <mergeCell ref="P2:Q2"/>
    <mergeCell ref="S2:T2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103" orientation="landscape" r:id="rId1"/>
  <headerFooter>
    <oddHeader>&amp;C&amp;"-,Negrita"&amp;14&amp;F</oddHeader>
    <oddFooter>&amp;C&amp;"-,Negrita"&amp;14&amp;P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2:D22"/>
  <sheetViews>
    <sheetView tabSelected="1" workbookViewId="0">
      <selection activeCell="B5" sqref="B5"/>
    </sheetView>
  </sheetViews>
  <sheetFormatPr baseColWidth="10" defaultRowHeight="15" x14ac:dyDescent="0.25"/>
  <cols>
    <col min="1" max="16384" width="11.42578125" style="1"/>
  </cols>
  <sheetData>
    <row r="2" spans="1:4" x14ac:dyDescent="0.25">
      <c r="A2" s="43" t="s">
        <v>91</v>
      </c>
      <c r="B2" s="45"/>
      <c r="C2" s="45"/>
      <c r="D2" s="44"/>
    </row>
    <row r="3" spans="1:4" x14ac:dyDescent="0.25">
      <c r="A3" s="2" t="s">
        <v>20</v>
      </c>
      <c r="B3" s="3" t="s">
        <v>21</v>
      </c>
      <c r="C3" s="3" t="s">
        <v>23</v>
      </c>
      <c r="D3" s="3" t="s">
        <v>24</v>
      </c>
    </row>
    <row r="4" spans="1:4" x14ac:dyDescent="0.25">
      <c r="A4" s="4">
        <v>32</v>
      </c>
      <c r="B4" s="5">
        <f>TOTALES!$B4</f>
        <v>0</v>
      </c>
      <c r="C4" s="5">
        <f>SEPARADOS!$B4</f>
        <v>0</v>
      </c>
      <c r="D4" s="5">
        <f>B4-C4</f>
        <v>0</v>
      </c>
    </row>
    <row r="5" spans="1:4" x14ac:dyDescent="0.25">
      <c r="A5" s="4">
        <v>34</v>
      </c>
      <c r="B5" s="5">
        <f>TOTALES!$B5</f>
        <v>0</v>
      </c>
      <c r="C5" s="5">
        <f>SEPARADOS!$B5</f>
        <v>2</v>
      </c>
      <c r="D5" s="5">
        <f t="shared" ref="D5:D21" si="0">B5-C5</f>
        <v>-2</v>
      </c>
    </row>
    <row r="6" spans="1:4" x14ac:dyDescent="0.25">
      <c r="A6" s="4">
        <v>36</v>
      </c>
      <c r="B6" s="5">
        <f>TOTALES!$B6</f>
        <v>0</v>
      </c>
      <c r="C6" s="5">
        <f>SEPARADOS!$B6</f>
        <v>2</v>
      </c>
      <c r="D6" s="5">
        <f t="shared" si="0"/>
        <v>-2</v>
      </c>
    </row>
    <row r="7" spans="1:4" x14ac:dyDescent="0.25">
      <c r="A7" s="4">
        <v>38</v>
      </c>
      <c r="B7" s="5">
        <f>TOTALES!$B7</f>
        <v>0</v>
      </c>
      <c r="C7" s="5">
        <f>SEPARADOS!$B7</f>
        <v>10</v>
      </c>
      <c r="D7" s="5">
        <f t="shared" si="0"/>
        <v>-10</v>
      </c>
    </row>
    <row r="8" spans="1:4" x14ac:dyDescent="0.25">
      <c r="A8" s="4">
        <v>40</v>
      </c>
      <c r="B8" s="5">
        <f>TOTALES!$B8</f>
        <v>0</v>
      </c>
      <c r="C8" s="5">
        <f>SEPARADOS!$B8</f>
        <v>9</v>
      </c>
      <c r="D8" s="5">
        <f t="shared" si="0"/>
        <v>-9</v>
      </c>
    </row>
    <row r="9" spans="1:4" x14ac:dyDescent="0.25">
      <c r="A9" s="4">
        <v>42</v>
      </c>
      <c r="B9" s="5">
        <f>TOTALES!$B9</f>
        <v>0</v>
      </c>
      <c r="C9" s="5">
        <f>SEPARADOS!$B9</f>
        <v>22</v>
      </c>
      <c r="D9" s="5">
        <f t="shared" si="0"/>
        <v>-22</v>
      </c>
    </row>
    <row r="10" spans="1:4" x14ac:dyDescent="0.25">
      <c r="A10" s="4">
        <v>44</v>
      </c>
      <c r="B10" s="5">
        <f>TOTALES!$B10</f>
        <v>0</v>
      </c>
      <c r="C10" s="5">
        <f>SEPARADOS!$B10</f>
        <v>9</v>
      </c>
      <c r="D10" s="5">
        <f t="shared" si="0"/>
        <v>-9</v>
      </c>
    </row>
    <row r="11" spans="1:4" x14ac:dyDescent="0.25">
      <c r="A11" s="4">
        <v>46</v>
      </c>
      <c r="B11" s="5">
        <f>TOTALES!$B11</f>
        <v>0</v>
      </c>
      <c r="C11" s="5">
        <f>SEPARADOS!$B11</f>
        <v>6</v>
      </c>
      <c r="D11" s="5">
        <f t="shared" si="0"/>
        <v>-6</v>
      </c>
    </row>
    <row r="12" spans="1:4" x14ac:dyDescent="0.25">
      <c r="A12" s="4">
        <v>48</v>
      </c>
      <c r="B12" s="5">
        <f>TOTALES!$B12</f>
        <v>0</v>
      </c>
      <c r="C12" s="5">
        <f>SEPARADOS!$B12</f>
        <v>2</v>
      </c>
      <c r="D12" s="5">
        <f t="shared" si="0"/>
        <v>-2</v>
      </c>
    </row>
    <row r="13" spans="1:4" x14ac:dyDescent="0.25">
      <c r="A13" s="4">
        <v>50</v>
      </c>
      <c r="B13" s="5">
        <f>TOTALES!$B13</f>
        <v>0</v>
      </c>
      <c r="C13" s="5">
        <f>SEPARADOS!$B13</f>
        <v>0</v>
      </c>
      <c r="D13" s="5">
        <f t="shared" si="0"/>
        <v>0</v>
      </c>
    </row>
    <row r="14" spans="1:4" x14ac:dyDescent="0.25">
      <c r="A14" s="4">
        <v>52</v>
      </c>
      <c r="B14" s="5">
        <f>TOTALES!$B14</f>
        <v>0</v>
      </c>
      <c r="C14" s="5">
        <f>SEPARADOS!$B14</f>
        <v>0</v>
      </c>
      <c r="D14" s="5">
        <f t="shared" si="0"/>
        <v>0</v>
      </c>
    </row>
    <row r="15" spans="1:4" x14ac:dyDescent="0.25">
      <c r="A15" s="4">
        <v>54</v>
      </c>
      <c r="B15" s="5">
        <f>TOTALES!$B15</f>
        <v>0</v>
      </c>
      <c r="C15" s="5">
        <f>SEPARADOS!$B15</f>
        <v>0</v>
      </c>
      <c r="D15" s="5">
        <f t="shared" si="0"/>
        <v>0</v>
      </c>
    </row>
    <row r="16" spans="1:4" x14ac:dyDescent="0.25">
      <c r="A16" s="4">
        <v>56</v>
      </c>
      <c r="B16" s="5">
        <f>TOTALES!$B16</f>
        <v>0</v>
      </c>
      <c r="C16" s="5">
        <f>SEPARADOS!$B16</f>
        <v>0</v>
      </c>
      <c r="D16" s="5">
        <f t="shared" si="0"/>
        <v>0</v>
      </c>
    </row>
    <row r="17" spans="1:4" x14ac:dyDescent="0.25">
      <c r="A17" s="4">
        <v>58</v>
      </c>
      <c r="B17" s="5">
        <f>TOTALES!$B17</f>
        <v>0</v>
      </c>
      <c r="C17" s="5">
        <f>SEPARADOS!$B17</f>
        <v>0</v>
      </c>
      <c r="D17" s="5">
        <f t="shared" si="0"/>
        <v>0</v>
      </c>
    </row>
    <row r="18" spans="1:4" x14ac:dyDescent="0.25">
      <c r="A18" s="4">
        <v>60</v>
      </c>
      <c r="B18" s="5">
        <f>TOTALES!$B18</f>
        <v>0</v>
      </c>
      <c r="C18" s="5">
        <f>SEPARADOS!$B18</f>
        <v>0</v>
      </c>
      <c r="D18" s="5">
        <f t="shared" si="0"/>
        <v>0</v>
      </c>
    </row>
    <row r="19" spans="1:4" x14ac:dyDescent="0.25">
      <c r="A19" s="4">
        <v>62</v>
      </c>
      <c r="B19" s="5">
        <f>TOTALES!$B19</f>
        <v>0</v>
      </c>
      <c r="C19" s="5">
        <f>SEPARADOS!$B19</f>
        <v>0</v>
      </c>
      <c r="D19" s="5">
        <f t="shared" si="0"/>
        <v>0</v>
      </c>
    </row>
    <row r="20" spans="1:4" x14ac:dyDescent="0.25">
      <c r="A20" s="4">
        <v>64</v>
      </c>
      <c r="B20" s="5">
        <f>TOTALES!$B20</f>
        <v>0</v>
      </c>
      <c r="C20" s="5">
        <f>SEPARADOS!$B20</f>
        <v>0</v>
      </c>
      <c r="D20" s="5">
        <f t="shared" si="0"/>
        <v>0</v>
      </c>
    </row>
    <row r="21" spans="1:4" x14ac:dyDescent="0.25">
      <c r="A21" s="4">
        <v>66</v>
      </c>
      <c r="B21" s="5">
        <f>TOTALES!$B21</f>
        <v>0</v>
      </c>
      <c r="C21" s="5">
        <f>SEPARADOS!$B21</f>
        <v>0</v>
      </c>
      <c r="D21" s="5">
        <f t="shared" si="0"/>
        <v>0</v>
      </c>
    </row>
    <row r="22" spans="1:4" ht="19.5" x14ac:dyDescent="0.3">
      <c r="A22" s="6"/>
      <c r="B22" s="8">
        <f>SUM(B4:B21)</f>
        <v>0</v>
      </c>
      <c r="C22" s="8">
        <f t="shared" ref="C22:D22" si="1">SUM(C4:C21)</f>
        <v>62</v>
      </c>
      <c r="D22" s="8">
        <f t="shared" si="1"/>
        <v>-62</v>
      </c>
    </row>
  </sheetData>
  <mergeCells count="1">
    <mergeCell ref="A2:D2"/>
  </mergeCells>
  <conditionalFormatting sqref="B4:D22">
    <cfRule type="cellIs" dxfId="13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2:D16"/>
  <sheetViews>
    <sheetView workbookViewId="0">
      <selection activeCell="A12" sqref="A12"/>
    </sheetView>
  </sheetViews>
  <sheetFormatPr baseColWidth="10" defaultRowHeight="15" x14ac:dyDescent="0.25"/>
  <cols>
    <col min="1" max="16384" width="11.42578125" style="1"/>
  </cols>
  <sheetData>
    <row r="2" spans="1:4" x14ac:dyDescent="0.25">
      <c r="A2" s="43" t="s">
        <v>11</v>
      </c>
      <c r="B2" s="45"/>
      <c r="C2" s="45"/>
      <c r="D2" s="44"/>
    </row>
    <row r="3" spans="1:4" x14ac:dyDescent="0.25">
      <c r="A3" s="2" t="str">
        <f>'CAMISA MC'!A3</f>
        <v>TALLES</v>
      </c>
      <c r="B3" s="2" t="str">
        <f>'CAMISA MC'!B3</f>
        <v>TOTALES</v>
      </c>
      <c r="C3" s="2" t="str">
        <f>'CAMISA MC'!C3</f>
        <v>SEPARADOS</v>
      </c>
      <c r="D3" s="2" t="str">
        <f>'CAMISA MC'!D3</f>
        <v>FALTANTES</v>
      </c>
    </row>
    <row r="4" spans="1:4" x14ac:dyDescent="0.25">
      <c r="A4" s="4" t="s">
        <v>18</v>
      </c>
      <c r="B4" s="5">
        <f>TOTALES!$E4</f>
        <v>0</v>
      </c>
      <c r="C4" s="5">
        <f>SEPARADOS!$E4</f>
        <v>0</v>
      </c>
      <c r="D4" s="5">
        <f>B4-C4</f>
        <v>0</v>
      </c>
    </row>
    <row r="5" spans="1:4" x14ac:dyDescent="0.25">
      <c r="A5" s="4" t="s">
        <v>8</v>
      </c>
      <c r="B5" s="5">
        <f>TOTALES!$E5</f>
        <v>0</v>
      </c>
      <c r="C5" s="5">
        <f>SEPARADOS!$E5</f>
        <v>1</v>
      </c>
      <c r="D5" s="5">
        <f t="shared" ref="D5:D15" si="0">B5-C5</f>
        <v>-1</v>
      </c>
    </row>
    <row r="6" spans="1:4" x14ac:dyDescent="0.25">
      <c r="A6" s="4" t="s">
        <v>5</v>
      </c>
      <c r="B6" s="5">
        <f>TOTALES!$E6</f>
        <v>0</v>
      </c>
      <c r="C6" s="5">
        <f>SEPARADOS!$E6</f>
        <v>1</v>
      </c>
      <c r="D6" s="5">
        <f t="shared" si="0"/>
        <v>-1</v>
      </c>
    </row>
    <row r="7" spans="1:4" x14ac:dyDescent="0.25">
      <c r="A7" s="4" t="s">
        <v>4</v>
      </c>
      <c r="B7" s="5">
        <f>TOTALES!$E7</f>
        <v>0</v>
      </c>
      <c r="C7" s="5">
        <f>SEPARADOS!$E7</f>
        <v>13</v>
      </c>
      <c r="D7" s="5">
        <f t="shared" si="0"/>
        <v>-13</v>
      </c>
    </row>
    <row r="8" spans="1:4" x14ac:dyDescent="0.25">
      <c r="A8" s="4" t="s">
        <v>2</v>
      </c>
      <c r="B8" s="5">
        <f>TOTALES!$E8</f>
        <v>0</v>
      </c>
      <c r="C8" s="5">
        <f>SEPARADOS!$E8</f>
        <v>14</v>
      </c>
      <c r="D8" s="5">
        <f t="shared" si="0"/>
        <v>-14</v>
      </c>
    </row>
    <row r="9" spans="1:4" x14ac:dyDescent="0.25">
      <c r="A9" s="4" t="s">
        <v>1</v>
      </c>
      <c r="B9" s="5">
        <f>TOTALES!$E9</f>
        <v>0</v>
      </c>
      <c r="C9" s="5">
        <f>SEPARADOS!$E9</f>
        <v>15</v>
      </c>
      <c r="D9" s="5">
        <f t="shared" si="0"/>
        <v>-15</v>
      </c>
    </row>
    <row r="10" spans="1:4" x14ac:dyDescent="0.25">
      <c r="A10" s="4" t="s">
        <v>3</v>
      </c>
      <c r="B10" s="5">
        <f>TOTALES!$E10</f>
        <v>0</v>
      </c>
      <c r="C10" s="5">
        <f>SEPARADOS!$E10</f>
        <v>12</v>
      </c>
      <c r="D10" s="5">
        <f t="shared" si="0"/>
        <v>-12</v>
      </c>
    </row>
    <row r="11" spans="1:4" x14ac:dyDescent="0.25">
      <c r="A11" s="4" t="s">
        <v>6</v>
      </c>
      <c r="B11" s="5">
        <f>TOTALES!$E11</f>
        <v>0</v>
      </c>
      <c r="C11" s="5">
        <f>SEPARADOS!$E11</f>
        <v>6</v>
      </c>
      <c r="D11" s="5">
        <f t="shared" si="0"/>
        <v>-6</v>
      </c>
    </row>
    <row r="12" spans="1:4" x14ac:dyDescent="0.25">
      <c r="A12" s="4" t="s">
        <v>7</v>
      </c>
      <c r="B12" s="5">
        <f>TOTALES!$E12</f>
        <v>0</v>
      </c>
      <c r="C12" s="5">
        <f>SEPARADOS!$E12</f>
        <v>1</v>
      </c>
      <c r="D12" s="5">
        <f t="shared" si="0"/>
        <v>-1</v>
      </c>
    </row>
    <row r="13" spans="1:4" x14ac:dyDescent="0.25">
      <c r="A13" s="4" t="s">
        <v>16</v>
      </c>
      <c r="B13" s="5">
        <f>TOTALES!$E13</f>
        <v>0</v>
      </c>
      <c r="C13" s="5">
        <f>SEPARADOS!$E13</f>
        <v>0</v>
      </c>
      <c r="D13" s="5">
        <f t="shared" si="0"/>
        <v>0</v>
      </c>
    </row>
    <row r="14" spans="1:4" x14ac:dyDescent="0.25">
      <c r="A14" s="4" t="s">
        <v>17</v>
      </c>
      <c r="B14" s="5">
        <f>TOTALES!$E14</f>
        <v>0</v>
      </c>
      <c r="C14" s="5">
        <f>SEPARADOS!$E14</f>
        <v>0</v>
      </c>
      <c r="D14" s="5">
        <f t="shared" si="0"/>
        <v>0</v>
      </c>
    </row>
    <row r="15" spans="1:4" x14ac:dyDescent="0.25">
      <c r="A15" s="4" t="s">
        <v>19</v>
      </c>
      <c r="B15" s="5">
        <f>TOTALES!$E15</f>
        <v>0</v>
      </c>
      <c r="C15" s="5">
        <f>SEPARADOS!$E15</f>
        <v>0</v>
      </c>
      <c r="D15" s="5">
        <f t="shared" si="0"/>
        <v>0</v>
      </c>
    </row>
    <row r="16" spans="1:4" ht="19.5" x14ac:dyDescent="0.3">
      <c r="A16" s="6"/>
      <c r="B16" s="8">
        <f>SUM(B4:B15)</f>
        <v>0</v>
      </c>
      <c r="C16" s="8">
        <f t="shared" ref="C16:D16" si="1">SUM(C4:C15)</f>
        <v>63</v>
      </c>
      <c r="D16" s="8">
        <f t="shared" si="1"/>
        <v>-63</v>
      </c>
    </row>
  </sheetData>
  <mergeCells count="1">
    <mergeCell ref="A2:D2"/>
  </mergeCells>
  <conditionalFormatting sqref="B4:D15">
    <cfRule type="cellIs" dxfId="12" priority="3" operator="equal">
      <formula>0</formula>
    </cfRule>
  </conditionalFormatting>
  <conditionalFormatting sqref="B5:D15">
    <cfRule type="cellIs" dxfId="11" priority="2" operator="equal">
      <formula>0</formula>
    </cfRule>
  </conditionalFormatting>
  <conditionalFormatting sqref="B16:D16">
    <cfRule type="cellIs" dxfId="10" priority="1" operator="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D20"/>
  <sheetViews>
    <sheetView workbookViewId="0">
      <selection activeCell="A3" sqref="A3:D3"/>
    </sheetView>
  </sheetViews>
  <sheetFormatPr baseColWidth="10" defaultRowHeight="15" x14ac:dyDescent="0.25"/>
  <cols>
    <col min="1" max="16384" width="11.42578125" style="1"/>
  </cols>
  <sheetData>
    <row r="2" spans="1:4" x14ac:dyDescent="0.25">
      <c r="A2" s="43" t="s">
        <v>0</v>
      </c>
      <c r="B2" s="45"/>
      <c r="C2" s="45"/>
      <c r="D2" s="44"/>
    </row>
    <row r="3" spans="1:4" x14ac:dyDescent="0.25">
      <c r="A3" s="2" t="str">
        <f>'CAMISA MC'!A3</f>
        <v>TALLES</v>
      </c>
      <c r="B3" s="2" t="str">
        <f>'CAMISA MC'!B3</f>
        <v>TOTALES</v>
      </c>
      <c r="C3" s="2" t="str">
        <f>'CAMISA MC'!C3</f>
        <v>SEPARADOS</v>
      </c>
      <c r="D3" s="2" t="str">
        <f>'CAMISA MC'!D3</f>
        <v>FALTANTES</v>
      </c>
    </row>
    <row r="4" spans="1:4" x14ac:dyDescent="0.25">
      <c r="A4" s="4">
        <v>50</v>
      </c>
      <c r="B4" s="5">
        <f>TOTALES!$H4</f>
        <v>0</v>
      </c>
      <c r="C4" s="5">
        <f>SEPARADOS!$H4</f>
        <v>0</v>
      </c>
      <c r="D4" s="5">
        <f>B4-C4</f>
        <v>0</v>
      </c>
    </row>
    <row r="5" spans="1:4" x14ac:dyDescent="0.25">
      <c r="A5" s="4">
        <v>51</v>
      </c>
      <c r="B5" s="5">
        <f>TOTALES!$H5</f>
        <v>0</v>
      </c>
      <c r="C5" s="5">
        <f>SEPARADOS!$H5</f>
        <v>0</v>
      </c>
      <c r="D5" s="5">
        <f t="shared" ref="D5:D19" si="0">B5-C5</f>
        <v>0</v>
      </c>
    </row>
    <row r="6" spans="1:4" x14ac:dyDescent="0.25">
      <c r="A6" s="4">
        <v>52</v>
      </c>
      <c r="B6" s="5">
        <f>TOTALES!$H6</f>
        <v>0</v>
      </c>
      <c r="C6" s="5">
        <f>SEPARADOS!$H6</f>
        <v>0</v>
      </c>
      <c r="D6" s="5">
        <f t="shared" si="0"/>
        <v>0</v>
      </c>
    </row>
    <row r="7" spans="1:4" x14ac:dyDescent="0.25">
      <c r="A7" s="4">
        <v>53</v>
      </c>
      <c r="B7" s="5">
        <f>TOTALES!$H7</f>
        <v>0</v>
      </c>
      <c r="C7" s="5">
        <f>SEPARADOS!$H7</f>
        <v>0</v>
      </c>
      <c r="D7" s="5">
        <f t="shared" si="0"/>
        <v>0</v>
      </c>
    </row>
    <row r="8" spans="1:4" x14ac:dyDescent="0.25">
      <c r="A8" s="4">
        <v>54</v>
      </c>
      <c r="B8" s="5">
        <f>TOTALES!$H8</f>
        <v>0</v>
      </c>
      <c r="C8" s="5">
        <f>SEPARADOS!$H8</f>
        <v>0</v>
      </c>
      <c r="D8" s="5">
        <f t="shared" si="0"/>
        <v>0</v>
      </c>
    </row>
    <row r="9" spans="1:4" x14ac:dyDescent="0.25">
      <c r="A9" s="4">
        <v>55</v>
      </c>
      <c r="B9" s="5">
        <f>TOTALES!$H9</f>
        <v>0</v>
      </c>
      <c r="C9" s="5">
        <f>SEPARADOS!$H9</f>
        <v>4</v>
      </c>
      <c r="D9" s="5">
        <f t="shared" si="0"/>
        <v>-4</v>
      </c>
    </row>
    <row r="10" spans="1:4" x14ac:dyDescent="0.25">
      <c r="A10" s="4">
        <v>56</v>
      </c>
      <c r="B10" s="5">
        <f>TOTALES!$H10</f>
        <v>0</v>
      </c>
      <c r="C10" s="5">
        <f>SEPARADOS!$H10</f>
        <v>14</v>
      </c>
      <c r="D10" s="5">
        <f t="shared" si="0"/>
        <v>-14</v>
      </c>
    </row>
    <row r="11" spans="1:4" x14ac:dyDescent="0.25">
      <c r="A11" s="4">
        <v>57</v>
      </c>
      <c r="B11" s="5">
        <f>TOTALES!$H11</f>
        <v>0</v>
      </c>
      <c r="C11" s="5">
        <f>SEPARADOS!$H11</f>
        <v>18</v>
      </c>
      <c r="D11" s="5">
        <f t="shared" si="0"/>
        <v>-18</v>
      </c>
    </row>
    <row r="12" spans="1:4" x14ac:dyDescent="0.25">
      <c r="A12" s="4">
        <v>58</v>
      </c>
      <c r="B12" s="5">
        <f>TOTALES!$H12</f>
        <v>0</v>
      </c>
      <c r="C12" s="5">
        <f>SEPARADOS!$H12</f>
        <v>10</v>
      </c>
      <c r="D12" s="5">
        <f t="shared" si="0"/>
        <v>-10</v>
      </c>
    </row>
    <row r="13" spans="1:4" x14ac:dyDescent="0.25">
      <c r="A13" s="4">
        <v>59</v>
      </c>
      <c r="B13" s="5">
        <f>TOTALES!$H13</f>
        <v>0</v>
      </c>
      <c r="C13" s="5">
        <f>SEPARADOS!$H13</f>
        <v>13</v>
      </c>
      <c r="D13" s="5">
        <f t="shared" si="0"/>
        <v>-13</v>
      </c>
    </row>
    <row r="14" spans="1:4" x14ac:dyDescent="0.25">
      <c r="A14" s="4">
        <v>60</v>
      </c>
      <c r="B14" s="5">
        <f>TOTALES!$H14</f>
        <v>0</v>
      </c>
      <c r="C14" s="5">
        <f>SEPARADOS!$H14</f>
        <v>4</v>
      </c>
      <c r="D14" s="5">
        <f t="shared" si="0"/>
        <v>-4</v>
      </c>
    </row>
    <row r="15" spans="1:4" x14ac:dyDescent="0.25">
      <c r="A15" s="4">
        <v>61</v>
      </c>
      <c r="B15" s="5">
        <f>TOTALES!$H15</f>
        <v>0</v>
      </c>
      <c r="C15" s="5">
        <f>SEPARADOS!$H15</f>
        <v>0</v>
      </c>
      <c r="D15" s="5">
        <f t="shared" si="0"/>
        <v>0</v>
      </c>
    </row>
    <row r="16" spans="1:4" x14ac:dyDescent="0.25">
      <c r="A16" s="4">
        <v>62</v>
      </c>
      <c r="B16" s="5">
        <f>TOTALES!$H16</f>
        <v>0</v>
      </c>
      <c r="C16" s="5">
        <f>SEPARADOS!$H16</f>
        <v>0</v>
      </c>
      <c r="D16" s="5">
        <f t="shared" si="0"/>
        <v>0</v>
      </c>
    </row>
    <row r="17" spans="1:4" x14ac:dyDescent="0.25">
      <c r="A17" s="4">
        <v>63</v>
      </c>
      <c r="B17" s="5">
        <f>TOTALES!$H17</f>
        <v>0</v>
      </c>
      <c r="C17" s="5">
        <f>SEPARADOS!$H17</f>
        <v>0</v>
      </c>
      <c r="D17" s="5">
        <f t="shared" si="0"/>
        <v>0</v>
      </c>
    </row>
    <row r="18" spans="1:4" x14ac:dyDescent="0.25">
      <c r="A18" s="4">
        <v>64</v>
      </c>
      <c r="B18" s="5">
        <f>TOTALES!$H18</f>
        <v>0</v>
      </c>
      <c r="C18" s="5">
        <f>SEPARADOS!$H18</f>
        <v>0</v>
      </c>
      <c r="D18" s="5">
        <f t="shared" si="0"/>
        <v>0</v>
      </c>
    </row>
    <row r="19" spans="1:4" x14ac:dyDescent="0.25">
      <c r="A19" s="4">
        <v>65</v>
      </c>
      <c r="B19" s="5">
        <f>TOTALES!$H19</f>
        <v>0</v>
      </c>
      <c r="C19" s="5">
        <f>SEPARADOS!$H19</f>
        <v>0</v>
      </c>
      <c r="D19" s="5">
        <f t="shared" si="0"/>
        <v>0</v>
      </c>
    </row>
    <row r="20" spans="1:4" ht="19.5" x14ac:dyDescent="0.3">
      <c r="A20" s="6"/>
      <c r="B20" s="8">
        <f>SUM(B9:B19)</f>
        <v>0</v>
      </c>
      <c r="C20" s="8">
        <f t="shared" ref="C20:D20" si="1">SUM(C9:C19)</f>
        <v>63</v>
      </c>
      <c r="D20" s="8">
        <f t="shared" si="1"/>
        <v>-63</v>
      </c>
    </row>
  </sheetData>
  <mergeCells count="1">
    <mergeCell ref="A2:D2"/>
  </mergeCells>
  <conditionalFormatting sqref="B20:D20">
    <cfRule type="cellIs" dxfId="9" priority="2" operator="equal">
      <formula>0</formula>
    </cfRule>
  </conditionalFormatting>
  <conditionalFormatting sqref="B4:D19">
    <cfRule type="cellIs" dxfId="8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2:D22"/>
  <sheetViews>
    <sheetView workbookViewId="0">
      <selection activeCell="A3" sqref="A3:D3"/>
    </sheetView>
  </sheetViews>
  <sheetFormatPr baseColWidth="10" defaultRowHeight="15" x14ac:dyDescent="0.25"/>
  <cols>
    <col min="1" max="16384" width="11.42578125" style="1"/>
  </cols>
  <sheetData>
    <row r="2" spans="1:4" x14ac:dyDescent="0.25">
      <c r="A2" s="43" t="s">
        <v>10</v>
      </c>
      <c r="B2" s="45"/>
      <c r="C2" s="45"/>
      <c r="D2" s="44"/>
    </row>
    <row r="3" spans="1:4" x14ac:dyDescent="0.25">
      <c r="A3" s="2" t="str">
        <f>'CAMISA MC'!A3</f>
        <v>TALLES</v>
      </c>
      <c r="B3" s="2" t="str">
        <f>'CAMISA MC'!B3</f>
        <v>TOTALES</v>
      </c>
      <c r="C3" s="2" t="str">
        <f>'CAMISA MC'!C3</f>
        <v>SEPARADOS</v>
      </c>
      <c r="D3" s="2" t="str">
        <f>'CAMISA MC'!D3</f>
        <v>FALTANTES</v>
      </c>
    </row>
    <row r="4" spans="1:4" x14ac:dyDescent="0.25">
      <c r="A4" s="4">
        <v>32</v>
      </c>
      <c r="B4" s="5">
        <f>TOTALES!$K4</f>
        <v>0</v>
      </c>
      <c r="C4" s="5">
        <f>SEPARADOS!$K4</f>
        <v>0</v>
      </c>
      <c r="D4" s="5">
        <f>B4-C4</f>
        <v>0</v>
      </c>
    </row>
    <row r="5" spans="1:4" x14ac:dyDescent="0.25">
      <c r="A5" s="4">
        <v>34</v>
      </c>
      <c r="B5" s="5">
        <f>TOTALES!$K5</f>
        <v>0</v>
      </c>
      <c r="C5" s="5">
        <f>SEPARADOS!$K5</f>
        <v>0</v>
      </c>
      <c r="D5" s="5">
        <f t="shared" ref="D5:D21" si="0">B5-C5</f>
        <v>0</v>
      </c>
    </row>
    <row r="6" spans="1:4" x14ac:dyDescent="0.25">
      <c r="A6" s="4">
        <v>36</v>
      </c>
      <c r="B6" s="5">
        <f>TOTALES!$K6</f>
        <v>0</v>
      </c>
      <c r="C6" s="5">
        <f>SEPARADOS!$K6</f>
        <v>0</v>
      </c>
      <c r="D6" s="5">
        <f t="shared" si="0"/>
        <v>0</v>
      </c>
    </row>
    <row r="7" spans="1:4" x14ac:dyDescent="0.25">
      <c r="A7" s="4">
        <v>38</v>
      </c>
      <c r="B7" s="5">
        <f>TOTALES!$K7</f>
        <v>0</v>
      </c>
      <c r="C7" s="5">
        <f>SEPARADOS!$K7</f>
        <v>2</v>
      </c>
      <c r="D7" s="5">
        <f t="shared" si="0"/>
        <v>-2</v>
      </c>
    </row>
    <row r="8" spans="1:4" x14ac:dyDescent="0.25">
      <c r="A8" s="4">
        <v>40</v>
      </c>
      <c r="B8" s="5">
        <f>TOTALES!$K8</f>
        <v>0</v>
      </c>
      <c r="C8" s="5">
        <f>SEPARADOS!$K8</f>
        <v>7</v>
      </c>
      <c r="D8" s="5">
        <f t="shared" si="0"/>
        <v>-7</v>
      </c>
    </row>
    <row r="9" spans="1:4" x14ac:dyDescent="0.25">
      <c r="A9" s="4">
        <v>42</v>
      </c>
      <c r="B9" s="5">
        <f>TOTALES!$K9</f>
        <v>0</v>
      </c>
      <c r="C9" s="5">
        <f>SEPARADOS!$K9</f>
        <v>15</v>
      </c>
      <c r="D9" s="5">
        <f t="shared" si="0"/>
        <v>-15</v>
      </c>
    </row>
    <row r="10" spans="1:4" x14ac:dyDescent="0.25">
      <c r="A10" s="4">
        <v>44</v>
      </c>
      <c r="B10" s="5">
        <f>TOTALES!$K10</f>
        <v>0</v>
      </c>
      <c r="C10" s="5">
        <f>SEPARADOS!$K10</f>
        <v>14</v>
      </c>
      <c r="D10" s="5">
        <f t="shared" si="0"/>
        <v>-14</v>
      </c>
    </row>
    <row r="11" spans="1:4" x14ac:dyDescent="0.25">
      <c r="A11" s="4">
        <v>46</v>
      </c>
      <c r="B11" s="5">
        <f>TOTALES!$K11</f>
        <v>0</v>
      </c>
      <c r="C11" s="5">
        <f>SEPARADOS!$K11</f>
        <v>11</v>
      </c>
      <c r="D11" s="5">
        <f t="shared" si="0"/>
        <v>-11</v>
      </c>
    </row>
    <row r="12" spans="1:4" x14ac:dyDescent="0.25">
      <c r="A12" s="4">
        <v>48</v>
      </c>
      <c r="B12" s="5">
        <f>TOTALES!$K12</f>
        <v>0</v>
      </c>
      <c r="C12" s="5">
        <f>SEPARADOS!$K12</f>
        <v>8</v>
      </c>
      <c r="D12" s="5">
        <f t="shared" si="0"/>
        <v>-8</v>
      </c>
    </row>
    <row r="13" spans="1:4" x14ac:dyDescent="0.25">
      <c r="A13" s="4">
        <v>50</v>
      </c>
      <c r="B13" s="5">
        <f>TOTALES!$K13</f>
        <v>0</v>
      </c>
      <c r="C13" s="5">
        <f>SEPARADOS!$K13</f>
        <v>2</v>
      </c>
      <c r="D13" s="5">
        <f t="shared" si="0"/>
        <v>-2</v>
      </c>
    </row>
    <row r="14" spans="1:4" x14ac:dyDescent="0.25">
      <c r="A14" s="4">
        <v>52</v>
      </c>
      <c r="B14" s="5">
        <f>TOTALES!$K14</f>
        <v>0</v>
      </c>
      <c r="C14" s="5">
        <f>SEPARADOS!$K14</f>
        <v>0</v>
      </c>
      <c r="D14" s="5">
        <f t="shared" si="0"/>
        <v>0</v>
      </c>
    </row>
    <row r="15" spans="1:4" x14ac:dyDescent="0.25">
      <c r="A15" s="4">
        <v>54</v>
      </c>
      <c r="B15" s="5">
        <f>TOTALES!$K15</f>
        <v>0</v>
      </c>
      <c r="C15" s="5">
        <f>SEPARADOS!$K15</f>
        <v>2</v>
      </c>
      <c r="D15" s="5">
        <f t="shared" si="0"/>
        <v>-2</v>
      </c>
    </row>
    <row r="16" spans="1:4" x14ac:dyDescent="0.25">
      <c r="A16" s="4">
        <v>56</v>
      </c>
      <c r="B16" s="5">
        <f>TOTALES!$K16</f>
        <v>0</v>
      </c>
      <c r="C16" s="5">
        <f>SEPARADOS!$K16</f>
        <v>0</v>
      </c>
      <c r="D16" s="5">
        <f t="shared" si="0"/>
        <v>0</v>
      </c>
    </row>
    <row r="17" spans="1:4" x14ac:dyDescent="0.25">
      <c r="A17" s="4">
        <v>58</v>
      </c>
      <c r="B17" s="5">
        <f>TOTALES!$K17</f>
        <v>0</v>
      </c>
      <c r="C17" s="5">
        <f>SEPARADOS!$K17</f>
        <v>1</v>
      </c>
      <c r="D17" s="5">
        <f t="shared" si="0"/>
        <v>-1</v>
      </c>
    </row>
    <row r="18" spans="1:4" x14ac:dyDescent="0.25">
      <c r="A18" s="4">
        <v>60</v>
      </c>
      <c r="B18" s="5">
        <f>TOTALES!$K18</f>
        <v>0</v>
      </c>
      <c r="C18" s="5">
        <f>SEPARADOS!$K18</f>
        <v>0</v>
      </c>
      <c r="D18" s="5">
        <f t="shared" si="0"/>
        <v>0</v>
      </c>
    </row>
    <row r="19" spans="1:4" x14ac:dyDescent="0.25">
      <c r="A19" s="4">
        <v>62</v>
      </c>
      <c r="B19" s="5">
        <f>TOTALES!$K19</f>
        <v>0</v>
      </c>
      <c r="C19" s="5">
        <f>SEPARADOS!$K19</f>
        <v>0</v>
      </c>
      <c r="D19" s="5">
        <f t="shared" si="0"/>
        <v>0</v>
      </c>
    </row>
    <row r="20" spans="1:4" x14ac:dyDescent="0.25">
      <c r="A20" s="4">
        <v>64</v>
      </c>
      <c r="B20" s="5">
        <f>TOTALES!$K20</f>
        <v>0</v>
      </c>
      <c r="C20" s="5">
        <f>SEPARADOS!$K20</f>
        <v>0</v>
      </c>
      <c r="D20" s="5">
        <f t="shared" si="0"/>
        <v>0</v>
      </c>
    </row>
    <row r="21" spans="1:4" x14ac:dyDescent="0.25">
      <c r="A21" s="4">
        <v>66</v>
      </c>
      <c r="B21" s="5">
        <f>TOTALES!$K21</f>
        <v>0</v>
      </c>
      <c r="C21" s="5">
        <f>SEPARADOS!$K21</f>
        <v>0</v>
      </c>
      <c r="D21" s="5">
        <f t="shared" si="0"/>
        <v>0</v>
      </c>
    </row>
    <row r="22" spans="1:4" ht="19.5" x14ac:dyDescent="0.3">
      <c r="A22" s="7"/>
      <c r="B22" s="8">
        <f>SUM(B4:B21)</f>
        <v>0</v>
      </c>
      <c r="C22" s="8">
        <f t="shared" ref="C22:D22" si="1">SUM(C4:C21)</f>
        <v>62</v>
      </c>
      <c r="D22" s="8">
        <f t="shared" si="1"/>
        <v>-62</v>
      </c>
    </row>
  </sheetData>
  <mergeCells count="1">
    <mergeCell ref="A2:D2"/>
  </mergeCells>
  <conditionalFormatting sqref="B22:D22">
    <cfRule type="cellIs" dxfId="7" priority="2" operator="equal">
      <formula>0</formula>
    </cfRule>
  </conditionalFormatting>
  <conditionalFormatting sqref="B4:D21">
    <cfRule type="cellIs" dxfId="6" priority="1" operator="equal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2:D16"/>
  <sheetViews>
    <sheetView workbookViewId="0">
      <selection activeCell="B4" sqref="B4:D4"/>
    </sheetView>
  </sheetViews>
  <sheetFormatPr baseColWidth="10" defaultRowHeight="15" x14ac:dyDescent="0.25"/>
  <cols>
    <col min="1" max="16384" width="11.42578125" style="1"/>
  </cols>
  <sheetData>
    <row r="2" spans="1:4" x14ac:dyDescent="0.25">
      <c r="A2" s="43" t="s">
        <v>12</v>
      </c>
      <c r="B2" s="45"/>
      <c r="C2" s="45"/>
      <c r="D2" s="44"/>
    </row>
    <row r="3" spans="1:4" x14ac:dyDescent="0.25">
      <c r="A3" s="2" t="str">
        <f>'CAMISA MC'!A3</f>
        <v>TALLES</v>
      </c>
      <c r="B3" s="2" t="str">
        <f>'CAMISA MC'!B3</f>
        <v>TOTALES</v>
      </c>
      <c r="C3" s="2" t="str">
        <f>'CAMISA MC'!C3</f>
        <v>SEPARADOS</v>
      </c>
      <c r="D3" s="2" t="str">
        <f>'CAMISA MC'!D3</f>
        <v>FALTANTES</v>
      </c>
    </row>
    <row r="4" spans="1:4" x14ac:dyDescent="0.25">
      <c r="A4" s="4" t="s">
        <v>18</v>
      </c>
      <c r="B4" s="5">
        <f>TOTALES!$N4</f>
        <v>0</v>
      </c>
      <c r="C4" s="5">
        <f>SEPARADOS!$N4</f>
        <v>0</v>
      </c>
      <c r="D4" s="5">
        <f>B4-C4</f>
        <v>0</v>
      </c>
    </row>
    <row r="5" spans="1:4" x14ac:dyDescent="0.25">
      <c r="A5" s="4" t="s">
        <v>8</v>
      </c>
      <c r="B5" s="5">
        <f>TOTALES!$N5</f>
        <v>0</v>
      </c>
      <c r="C5" s="5">
        <f>SEPARADOS!$N5</f>
        <v>0</v>
      </c>
      <c r="D5" s="5">
        <f t="shared" ref="D5:D15" si="0">B5-C5</f>
        <v>0</v>
      </c>
    </row>
    <row r="6" spans="1:4" x14ac:dyDescent="0.25">
      <c r="A6" s="4" t="s">
        <v>5</v>
      </c>
      <c r="B6" s="5">
        <f>TOTALES!$N6</f>
        <v>0</v>
      </c>
      <c r="C6" s="5">
        <f>SEPARADOS!$N6</f>
        <v>2</v>
      </c>
      <c r="D6" s="5">
        <f t="shared" si="0"/>
        <v>-2</v>
      </c>
    </row>
    <row r="7" spans="1:4" x14ac:dyDescent="0.25">
      <c r="A7" s="4" t="s">
        <v>4</v>
      </c>
      <c r="B7" s="5">
        <f>TOTALES!$N7</f>
        <v>0</v>
      </c>
      <c r="C7" s="5">
        <f>SEPARADOS!$N7</f>
        <v>4</v>
      </c>
      <c r="D7" s="5">
        <f t="shared" si="0"/>
        <v>-4</v>
      </c>
    </row>
    <row r="8" spans="1:4" x14ac:dyDescent="0.25">
      <c r="A8" s="4" t="s">
        <v>2</v>
      </c>
      <c r="B8" s="5">
        <f>TOTALES!$N8</f>
        <v>0</v>
      </c>
      <c r="C8" s="5">
        <f>SEPARADOS!$N8</f>
        <v>18</v>
      </c>
      <c r="D8" s="5">
        <f t="shared" si="0"/>
        <v>-18</v>
      </c>
    </row>
    <row r="9" spans="1:4" x14ac:dyDescent="0.25">
      <c r="A9" s="4" t="s">
        <v>1</v>
      </c>
      <c r="B9" s="5">
        <f>TOTALES!$N9</f>
        <v>0</v>
      </c>
      <c r="C9" s="5">
        <f>SEPARADOS!$N9</f>
        <v>21</v>
      </c>
      <c r="D9" s="5">
        <f t="shared" si="0"/>
        <v>-21</v>
      </c>
    </row>
    <row r="10" spans="1:4" x14ac:dyDescent="0.25">
      <c r="A10" s="4" t="s">
        <v>3</v>
      </c>
      <c r="B10" s="5">
        <f>TOTALES!$N10</f>
        <v>0</v>
      </c>
      <c r="C10" s="5">
        <f>SEPARADOS!$N10</f>
        <v>13</v>
      </c>
      <c r="D10" s="5">
        <f t="shared" si="0"/>
        <v>-13</v>
      </c>
    </row>
    <row r="11" spans="1:4" x14ac:dyDescent="0.25">
      <c r="A11" s="4" t="s">
        <v>6</v>
      </c>
      <c r="B11" s="5">
        <f>TOTALES!$N11</f>
        <v>0</v>
      </c>
      <c r="C11" s="5">
        <f>SEPARADOS!$N11</f>
        <v>3</v>
      </c>
      <c r="D11" s="5">
        <f t="shared" si="0"/>
        <v>-3</v>
      </c>
    </row>
    <row r="12" spans="1:4" x14ac:dyDescent="0.25">
      <c r="A12" s="4" t="s">
        <v>7</v>
      </c>
      <c r="B12" s="5">
        <f>TOTALES!$N12</f>
        <v>0</v>
      </c>
      <c r="C12" s="5">
        <f>SEPARADOS!$N12</f>
        <v>1</v>
      </c>
      <c r="D12" s="5">
        <f t="shared" si="0"/>
        <v>-1</v>
      </c>
    </row>
    <row r="13" spans="1:4" x14ac:dyDescent="0.25">
      <c r="A13" s="4" t="s">
        <v>16</v>
      </c>
      <c r="B13" s="5">
        <f>TOTALES!$N13</f>
        <v>0</v>
      </c>
      <c r="C13" s="5">
        <f>SEPARADOS!$N13</f>
        <v>0</v>
      </c>
      <c r="D13" s="5">
        <f t="shared" si="0"/>
        <v>0</v>
      </c>
    </row>
    <row r="14" spans="1:4" x14ac:dyDescent="0.25">
      <c r="A14" s="4" t="s">
        <v>17</v>
      </c>
      <c r="B14" s="5">
        <f>TOTALES!$N14</f>
        <v>0</v>
      </c>
      <c r="C14" s="5">
        <f>SEPARADOS!$N14</f>
        <v>0</v>
      </c>
      <c r="D14" s="5">
        <f t="shared" si="0"/>
        <v>0</v>
      </c>
    </row>
    <row r="15" spans="1:4" x14ac:dyDescent="0.25">
      <c r="A15" s="4" t="s">
        <v>19</v>
      </c>
      <c r="B15" s="5">
        <f>TOTALES!$N15</f>
        <v>0</v>
      </c>
      <c r="C15" s="5">
        <f>SEPARADOS!$N15</f>
        <v>0</v>
      </c>
      <c r="D15" s="5">
        <f t="shared" si="0"/>
        <v>0</v>
      </c>
    </row>
    <row r="16" spans="1:4" ht="19.5" x14ac:dyDescent="0.3">
      <c r="A16" s="6"/>
      <c r="B16" s="8">
        <f>SUM(B4:B15)</f>
        <v>0</v>
      </c>
      <c r="C16" s="8">
        <f t="shared" ref="C16:D16" si="1">SUM(C4:C15)</f>
        <v>62</v>
      </c>
      <c r="D16" s="8">
        <f t="shared" si="1"/>
        <v>-62</v>
      </c>
    </row>
  </sheetData>
  <mergeCells count="1">
    <mergeCell ref="A2:D2"/>
  </mergeCells>
  <conditionalFormatting sqref="B16:D16">
    <cfRule type="cellIs" dxfId="5" priority="2" operator="equal">
      <formula>0</formula>
    </cfRule>
  </conditionalFormatting>
  <conditionalFormatting sqref="B4:D15">
    <cfRule type="cellIs" dxfId="4" priority="1" operator="equal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D16"/>
  <sheetViews>
    <sheetView workbookViewId="0">
      <selection activeCell="F3" sqref="F3"/>
    </sheetView>
  </sheetViews>
  <sheetFormatPr baseColWidth="10" defaultRowHeight="15" x14ac:dyDescent="0.25"/>
  <cols>
    <col min="1" max="16384" width="11.42578125" style="1"/>
  </cols>
  <sheetData>
    <row r="2" spans="1:4" x14ac:dyDescent="0.25">
      <c r="A2" s="43" t="s">
        <v>13</v>
      </c>
      <c r="B2" s="45"/>
      <c r="C2" s="45"/>
      <c r="D2" s="44"/>
    </row>
    <row r="3" spans="1:4" x14ac:dyDescent="0.25">
      <c r="A3" s="2" t="str">
        <f>'CAMISA MC'!A3</f>
        <v>TALLES</v>
      </c>
      <c r="B3" s="2" t="str">
        <f>'CAMISA MC'!B3</f>
        <v>TOTALES</v>
      </c>
      <c r="C3" s="2" t="str">
        <f>'CAMISA MC'!C3</f>
        <v>SEPARADOS</v>
      </c>
      <c r="D3" s="2" t="str">
        <f>'CAMISA MC'!D3</f>
        <v>FALTANTES</v>
      </c>
    </row>
    <row r="4" spans="1:4" x14ac:dyDescent="0.25">
      <c r="A4" s="4" t="s">
        <v>18</v>
      </c>
      <c r="B4" s="5">
        <f>TOTALES!$Q4</f>
        <v>0</v>
      </c>
      <c r="C4" s="5">
        <f>SEPARADOS!$Q4</f>
        <v>0</v>
      </c>
      <c r="D4" s="5">
        <f>B4-C4</f>
        <v>0</v>
      </c>
    </row>
    <row r="5" spans="1:4" x14ac:dyDescent="0.25">
      <c r="A5" s="4" t="s">
        <v>8</v>
      </c>
      <c r="B5" s="5">
        <f>TOTALES!$Q5</f>
        <v>0</v>
      </c>
      <c r="C5" s="5">
        <f>SEPARADOS!$Q5</f>
        <v>0</v>
      </c>
      <c r="D5" s="5">
        <f t="shared" ref="D5:D15" si="0">B5-C5</f>
        <v>0</v>
      </c>
    </row>
    <row r="6" spans="1:4" x14ac:dyDescent="0.25">
      <c r="A6" s="4" t="s">
        <v>5</v>
      </c>
      <c r="B6" s="5">
        <f>TOTALES!$Q6</f>
        <v>0</v>
      </c>
      <c r="C6" s="5">
        <f>SEPARADOS!$Q6</f>
        <v>2</v>
      </c>
      <c r="D6" s="5">
        <f t="shared" si="0"/>
        <v>-2</v>
      </c>
    </row>
    <row r="7" spans="1:4" x14ac:dyDescent="0.25">
      <c r="A7" s="4" t="s">
        <v>4</v>
      </c>
      <c r="B7" s="5">
        <f>TOTALES!$Q7</f>
        <v>0</v>
      </c>
      <c r="C7" s="5">
        <f>SEPARADOS!$Q7</f>
        <v>5</v>
      </c>
      <c r="D7" s="5">
        <f t="shared" si="0"/>
        <v>-5</v>
      </c>
    </row>
    <row r="8" spans="1:4" x14ac:dyDescent="0.25">
      <c r="A8" s="4" t="s">
        <v>2</v>
      </c>
      <c r="B8" s="5">
        <f>TOTALES!$Q8</f>
        <v>0</v>
      </c>
      <c r="C8" s="5">
        <f>SEPARADOS!$Q8</f>
        <v>16</v>
      </c>
      <c r="D8" s="5">
        <f t="shared" si="0"/>
        <v>-16</v>
      </c>
    </row>
    <row r="9" spans="1:4" x14ac:dyDescent="0.25">
      <c r="A9" s="4" t="s">
        <v>1</v>
      </c>
      <c r="B9" s="5">
        <f>TOTALES!$Q9</f>
        <v>0</v>
      </c>
      <c r="C9" s="5">
        <f>SEPARADOS!$Q9</f>
        <v>18</v>
      </c>
      <c r="D9" s="5">
        <f t="shared" si="0"/>
        <v>-18</v>
      </c>
    </row>
    <row r="10" spans="1:4" x14ac:dyDescent="0.25">
      <c r="A10" s="4" t="s">
        <v>3</v>
      </c>
      <c r="B10" s="5">
        <f>TOTALES!$Q10</f>
        <v>0</v>
      </c>
      <c r="C10" s="5">
        <f>SEPARADOS!$Q10</f>
        <v>15</v>
      </c>
      <c r="D10" s="5">
        <f t="shared" si="0"/>
        <v>-15</v>
      </c>
    </row>
    <row r="11" spans="1:4" x14ac:dyDescent="0.25">
      <c r="A11" s="4" t="s">
        <v>6</v>
      </c>
      <c r="B11" s="5">
        <f>TOTALES!$Q11</f>
        <v>0</v>
      </c>
      <c r="C11" s="5">
        <f>SEPARADOS!$Q11</f>
        <v>6</v>
      </c>
      <c r="D11" s="5">
        <f t="shared" si="0"/>
        <v>-6</v>
      </c>
    </row>
    <row r="12" spans="1:4" x14ac:dyDescent="0.25">
      <c r="A12" s="4" t="s">
        <v>7</v>
      </c>
      <c r="B12" s="5">
        <f>TOTALES!$Q12</f>
        <v>0</v>
      </c>
      <c r="C12" s="5">
        <f>SEPARADOS!$Q12</f>
        <v>1</v>
      </c>
      <c r="D12" s="5">
        <f t="shared" si="0"/>
        <v>-1</v>
      </c>
    </row>
    <row r="13" spans="1:4" x14ac:dyDescent="0.25">
      <c r="A13" s="4" t="s">
        <v>16</v>
      </c>
      <c r="B13" s="5">
        <f>TOTALES!$Q13</f>
        <v>0</v>
      </c>
      <c r="C13" s="5">
        <f>SEPARADOS!$Q13</f>
        <v>0</v>
      </c>
      <c r="D13" s="5">
        <f t="shared" si="0"/>
        <v>0</v>
      </c>
    </row>
    <row r="14" spans="1:4" x14ac:dyDescent="0.25">
      <c r="A14" s="4" t="s">
        <v>17</v>
      </c>
      <c r="B14" s="5">
        <f>TOTALES!$Q14</f>
        <v>0</v>
      </c>
      <c r="C14" s="5">
        <f>SEPARADOS!$Q14</f>
        <v>0</v>
      </c>
      <c r="D14" s="5">
        <f t="shared" si="0"/>
        <v>0</v>
      </c>
    </row>
    <row r="15" spans="1:4" x14ac:dyDescent="0.25">
      <c r="A15" s="4" t="s">
        <v>19</v>
      </c>
      <c r="B15" s="5">
        <f>TOTALES!$Q15</f>
        <v>0</v>
      </c>
      <c r="C15" s="5">
        <f>SEPARADOS!$Q15</f>
        <v>0</v>
      </c>
      <c r="D15" s="5">
        <f t="shared" si="0"/>
        <v>0</v>
      </c>
    </row>
    <row r="16" spans="1:4" ht="19.5" x14ac:dyDescent="0.3">
      <c r="A16" s="7"/>
      <c r="B16" s="8">
        <f>SUM(B4:B15)</f>
        <v>0</v>
      </c>
      <c r="C16" s="8">
        <f t="shared" ref="C16:D16" si="1">SUM(C4:C15)</f>
        <v>63</v>
      </c>
      <c r="D16" s="8">
        <f t="shared" si="1"/>
        <v>-63</v>
      </c>
    </row>
  </sheetData>
  <mergeCells count="1">
    <mergeCell ref="A2:D2"/>
  </mergeCells>
  <conditionalFormatting sqref="B16:D16">
    <cfRule type="cellIs" dxfId="3" priority="2" operator="equal">
      <formula>0</formula>
    </cfRule>
  </conditionalFormatting>
  <conditionalFormatting sqref="B4:D15">
    <cfRule type="cellIs" dxfId="2" priority="1" operator="equal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2:D30"/>
  <sheetViews>
    <sheetView topLeftCell="A4" workbookViewId="0">
      <selection activeCell="B12" sqref="B12"/>
    </sheetView>
  </sheetViews>
  <sheetFormatPr baseColWidth="10" defaultRowHeight="15" x14ac:dyDescent="0.25"/>
  <cols>
    <col min="1" max="16384" width="11.42578125" style="1"/>
  </cols>
  <sheetData>
    <row r="2" spans="1:4" x14ac:dyDescent="0.25">
      <c r="A2" s="43" t="s">
        <v>9</v>
      </c>
      <c r="B2" s="45"/>
      <c r="C2" s="45"/>
      <c r="D2" s="44"/>
    </row>
    <row r="3" spans="1:4" x14ac:dyDescent="0.25">
      <c r="A3" s="2" t="str">
        <f>'CAMISA MC'!A3</f>
        <v>TALLES</v>
      </c>
      <c r="B3" s="2" t="str">
        <f>'CAMISA MC'!B3</f>
        <v>TOTALES</v>
      </c>
      <c r="C3" s="2" t="str">
        <f>'CAMISA MC'!C3</f>
        <v>SEPARADOS</v>
      </c>
      <c r="D3" s="2" t="str">
        <f>'CAMISA MC'!D3</f>
        <v>FALTANTES</v>
      </c>
    </row>
    <row r="4" spans="1:4" x14ac:dyDescent="0.25">
      <c r="A4" s="4">
        <v>30</v>
      </c>
      <c r="B4" s="5">
        <f>TOTALES!$T4</f>
        <v>0</v>
      </c>
      <c r="C4" s="5">
        <f>SEPARADOS!$T4</f>
        <v>0</v>
      </c>
      <c r="D4" s="5">
        <f>B4-C4</f>
        <v>0</v>
      </c>
    </row>
    <row r="5" spans="1:4" x14ac:dyDescent="0.25">
      <c r="A5" s="4">
        <v>31</v>
      </c>
      <c r="B5" s="5">
        <f>TOTALES!$T5</f>
        <v>0</v>
      </c>
      <c r="C5" s="5">
        <f>SEPARADOS!$T5</f>
        <v>0</v>
      </c>
      <c r="D5" s="5">
        <f t="shared" ref="D5:D29" si="0">B5-C5</f>
        <v>0</v>
      </c>
    </row>
    <row r="6" spans="1:4" x14ac:dyDescent="0.25">
      <c r="A6" s="4">
        <v>32</v>
      </c>
      <c r="B6" s="5">
        <f>TOTALES!$T6</f>
        <v>0</v>
      </c>
      <c r="C6" s="5">
        <f>SEPARADOS!$T6</f>
        <v>0</v>
      </c>
      <c r="D6" s="5">
        <f t="shared" si="0"/>
        <v>0</v>
      </c>
    </row>
    <row r="7" spans="1:4" x14ac:dyDescent="0.25">
      <c r="A7" s="4">
        <v>33</v>
      </c>
      <c r="B7" s="5">
        <f>TOTALES!$T7</f>
        <v>0</v>
      </c>
      <c r="C7" s="5">
        <f>SEPARADOS!$T7</f>
        <v>0</v>
      </c>
      <c r="D7" s="5">
        <f t="shared" si="0"/>
        <v>0</v>
      </c>
    </row>
    <row r="8" spans="1:4" x14ac:dyDescent="0.25">
      <c r="A8" s="4">
        <v>34</v>
      </c>
      <c r="B8" s="5">
        <f>TOTALES!$T8</f>
        <v>0</v>
      </c>
      <c r="C8" s="5">
        <f>SEPARADOS!$T8</f>
        <v>0</v>
      </c>
      <c r="D8" s="5">
        <f t="shared" si="0"/>
        <v>0</v>
      </c>
    </row>
    <row r="9" spans="1:4" x14ac:dyDescent="0.25">
      <c r="A9" s="4">
        <v>35</v>
      </c>
      <c r="B9" s="5">
        <f>TOTALES!$T9</f>
        <v>0</v>
      </c>
      <c r="C9" s="5">
        <f>SEPARADOS!$T9</f>
        <v>0</v>
      </c>
      <c r="D9" s="5">
        <f t="shared" si="0"/>
        <v>0</v>
      </c>
    </row>
    <row r="10" spans="1:4" x14ac:dyDescent="0.25">
      <c r="A10" s="4">
        <v>36</v>
      </c>
      <c r="B10" s="5">
        <f>TOTALES!$T10</f>
        <v>0</v>
      </c>
      <c r="C10" s="5">
        <f>SEPARADOS!$T10</f>
        <v>1</v>
      </c>
      <c r="D10" s="5">
        <f t="shared" si="0"/>
        <v>-1</v>
      </c>
    </row>
    <row r="11" spans="1:4" x14ac:dyDescent="0.25">
      <c r="A11" s="4">
        <v>37</v>
      </c>
      <c r="B11" s="5">
        <f>TOTALES!$T11</f>
        <v>0</v>
      </c>
      <c r="C11" s="5">
        <f>SEPARADOS!$T11</f>
        <v>3</v>
      </c>
      <c r="D11" s="5">
        <f t="shared" si="0"/>
        <v>-3</v>
      </c>
    </row>
    <row r="12" spans="1:4" x14ac:dyDescent="0.25">
      <c r="A12" s="4">
        <v>38</v>
      </c>
      <c r="B12" s="5">
        <f>TOTALES!$T12</f>
        <v>0</v>
      </c>
      <c r="C12" s="5">
        <f>SEPARADOS!$T12</f>
        <v>5</v>
      </c>
      <c r="D12" s="5">
        <f t="shared" si="0"/>
        <v>-5</v>
      </c>
    </row>
    <row r="13" spans="1:4" x14ac:dyDescent="0.25">
      <c r="A13" s="4">
        <v>39</v>
      </c>
      <c r="B13" s="5">
        <f>TOTALES!$T13</f>
        <v>0</v>
      </c>
      <c r="C13" s="5">
        <f>SEPARADOS!$T13</f>
        <v>2</v>
      </c>
      <c r="D13" s="5">
        <f t="shared" si="0"/>
        <v>-2</v>
      </c>
    </row>
    <row r="14" spans="1:4" x14ac:dyDescent="0.25">
      <c r="A14" s="4">
        <v>40</v>
      </c>
      <c r="B14" s="5">
        <f>TOTALES!$T14</f>
        <v>0</v>
      </c>
      <c r="C14" s="5">
        <f>SEPARADOS!$T14</f>
        <v>7</v>
      </c>
      <c r="D14" s="5">
        <f t="shared" si="0"/>
        <v>-7</v>
      </c>
    </row>
    <row r="15" spans="1:4" x14ac:dyDescent="0.25">
      <c r="A15" s="4">
        <v>41</v>
      </c>
      <c r="B15" s="5">
        <f>TOTALES!$T15</f>
        <v>0</v>
      </c>
      <c r="C15" s="5">
        <f>SEPARADOS!$T15</f>
        <v>14</v>
      </c>
      <c r="D15" s="5">
        <f t="shared" si="0"/>
        <v>-14</v>
      </c>
    </row>
    <row r="16" spans="1:4" x14ac:dyDescent="0.25">
      <c r="A16" s="4">
        <v>42</v>
      </c>
      <c r="B16" s="5">
        <f>TOTALES!$T16</f>
        <v>0</v>
      </c>
      <c r="C16" s="5">
        <f>SEPARADOS!$T16</f>
        <v>11</v>
      </c>
      <c r="D16" s="5">
        <f t="shared" si="0"/>
        <v>-11</v>
      </c>
    </row>
    <row r="17" spans="1:4" x14ac:dyDescent="0.25">
      <c r="A17" s="4">
        <v>43</v>
      </c>
      <c r="B17" s="5">
        <f>TOTALES!$T17</f>
        <v>0</v>
      </c>
      <c r="C17" s="5">
        <f>SEPARADOS!$T17</f>
        <v>10</v>
      </c>
      <c r="D17" s="5">
        <f t="shared" si="0"/>
        <v>-10</v>
      </c>
    </row>
    <row r="18" spans="1:4" x14ac:dyDescent="0.25">
      <c r="A18" s="4">
        <v>44</v>
      </c>
      <c r="B18" s="5">
        <f>TOTALES!$T18</f>
        <v>0</v>
      </c>
      <c r="C18" s="5">
        <f>SEPARADOS!$T18</f>
        <v>2</v>
      </c>
      <c r="D18" s="5">
        <f t="shared" si="0"/>
        <v>-2</v>
      </c>
    </row>
    <row r="19" spans="1:4" x14ac:dyDescent="0.25">
      <c r="A19" s="4">
        <v>45</v>
      </c>
      <c r="B19" s="5">
        <f>TOTALES!$T19</f>
        <v>0</v>
      </c>
      <c r="C19" s="5">
        <f>SEPARADOS!$T19</f>
        <v>5</v>
      </c>
      <c r="D19" s="5">
        <f t="shared" si="0"/>
        <v>-5</v>
      </c>
    </row>
    <row r="20" spans="1:4" x14ac:dyDescent="0.25">
      <c r="A20" s="4">
        <v>46</v>
      </c>
      <c r="B20" s="5">
        <f>TOTALES!$T20</f>
        <v>0</v>
      </c>
      <c r="C20" s="5">
        <f>SEPARADOS!$T20</f>
        <v>0</v>
      </c>
      <c r="D20" s="5">
        <f t="shared" si="0"/>
        <v>0</v>
      </c>
    </row>
    <row r="21" spans="1:4" x14ac:dyDescent="0.25">
      <c r="A21" s="4">
        <v>47</v>
      </c>
      <c r="B21" s="5">
        <f>TOTALES!$T21</f>
        <v>0</v>
      </c>
      <c r="C21" s="5">
        <f>SEPARADOS!$T21</f>
        <v>0</v>
      </c>
      <c r="D21" s="5">
        <f t="shared" si="0"/>
        <v>0</v>
      </c>
    </row>
    <row r="22" spans="1:4" x14ac:dyDescent="0.25">
      <c r="A22" s="4">
        <v>48</v>
      </c>
      <c r="B22" s="5">
        <f>TOTALES!$T22</f>
        <v>0</v>
      </c>
      <c r="C22" s="5">
        <f>SEPARADOS!$T22</f>
        <v>0</v>
      </c>
      <c r="D22" s="5">
        <f t="shared" si="0"/>
        <v>0</v>
      </c>
    </row>
    <row r="23" spans="1:4" x14ac:dyDescent="0.25">
      <c r="A23" s="4">
        <v>49</v>
      </c>
      <c r="B23" s="5">
        <f>TOTALES!$T23</f>
        <v>0</v>
      </c>
      <c r="C23" s="5">
        <f>SEPARADOS!$T23</f>
        <v>0</v>
      </c>
      <c r="D23" s="5">
        <f t="shared" si="0"/>
        <v>0</v>
      </c>
    </row>
    <row r="24" spans="1:4" x14ac:dyDescent="0.25">
      <c r="A24" s="4">
        <v>50</v>
      </c>
      <c r="B24" s="5">
        <f>TOTALES!$T24</f>
        <v>0</v>
      </c>
      <c r="C24" s="5">
        <f>SEPARADOS!$T24</f>
        <v>0</v>
      </c>
      <c r="D24" s="5">
        <f t="shared" si="0"/>
        <v>0</v>
      </c>
    </row>
    <row r="25" spans="1:4" x14ac:dyDescent="0.25">
      <c r="A25" s="4">
        <v>51</v>
      </c>
      <c r="B25" s="5">
        <f>TOTALES!$T25</f>
        <v>0</v>
      </c>
      <c r="C25" s="5">
        <f>SEPARADOS!$T25</f>
        <v>0</v>
      </c>
      <c r="D25" s="5">
        <f t="shared" si="0"/>
        <v>0</v>
      </c>
    </row>
    <row r="26" spans="1:4" x14ac:dyDescent="0.25">
      <c r="A26" s="4">
        <v>52</v>
      </c>
      <c r="B26" s="5">
        <f>TOTALES!$T26</f>
        <v>0</v>
      </c>
      <c r="C26" s="5">
        <f>SEPARADOS!$T26</f>
        <v>0</v>
      </c>
      <c r="D26" s="5">
        <f t="shared" si="0"/>
        <v>0</v>
      </c>
    </row>
    <row r="27" spans="1:4" x14ac:dyDescent="0.25">
      <c r="A27" s="4">
        <v>53</v>
      </c>
      <c r="B27" s="5">
        <f>TOTALES!$T27</f>
        <v>0</v>
      </c>
      <c r="C27" s="5">
        <f>SEPARADOS!$T27</f>
        <v>0</v>
      </c>
      <c r="D27" s="5">
        <f t="shared" si="0"/>
        <v>0</v>
      </c>
    </row>
    <row r="28" spans="1:4" x14ac:dyDescent="0.25">
      <c r="A28" s="4">
        <v>54</v>
      </c>
      <c r="B28" s="5">
        <f>TOTALES!$T28</f>
        <v>0</v>
      </c>
      <c r="C28" s="5">
        <f>SEPARADOS!$T28</f>
        <v>0</v>
      </c>
      <c r="D28" s="5">
        <f t="shared" si="0"/>
        <v>0</v>
      </c>
    </row>
    <row r="29" spans="1:4" x14ac:dyDescent="0.25">
      <c r="A29" s="4">
        <v>55</v>
      </c>
      <c r="B29" s="5">
        <f>TOTALES!$T29</f>
        <v>0</v>
      </c>
      <c r="C29" s="5">
        <f>SEPARADOS!$T29</f>
        <v>0</v>
      </c>
      <c r="D29" s="5">
        <f t="shared" si="0"/>
        <v>0</v>
      </c>
    </row>
    <row r="30" spans="1:4" ht="19.5" x14ac:dyDescent="0.3">
      <c r="A30" s="7"/>
      <c r="B30" s="8">
        <f>SUM(B4:B29)</f>
        <v>0</v>
      </c>
      <c r="C30" s="8">
        <f t="shared" ref="C30:D30" si="1">SUM(C4:C29)</f>
        <v>60</v>
      </c>
      <c r="D30" s="8">
        <f t="shared" si="1"/>
        <v>-60</v>
      </c>
    </row>
  </sheetData>
  <mergeCells count="1">
    <mergeCell ref="A2:D2"/>
  </mergeCells>
  <conditionalFormatting sqref="B30:D30">
    <cfRule type="cellIs" dxfId="1" priority="2" operator="equal">
      <formula>0</formula>
    </cfRule>
  </conditionalFormatting>
  <conditionalFormatting sqref="B4:D29">
    <cfRule type="cellIs" dxfId="0" priority="1" operator="equal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PLANILLA</vt:lpstr>
      <vt:lpstr>TOTALES</vt:lpstr>
      <vt:lpstr>SEPARADOS</vt:lpstr>
      <vt:lpstr>CAMISA MC</vt:lpstr>
      <vt:lpstr>CAMPERA</vt:lpstr>
      <vt:lpstr>GORRA</vt:lpstr>
      <vt:lpstr>PANTALON</vt:lpstr>
      <vt:lpstr>REMERA</vt:lpstr>
      <vt:lpstr>TRICOTA</vt:lpstr>
      <vt:lpstr>ZAPATOS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EDGARD</cp:lastModifiedBy>
  <cp:lastPrinted>2023-05-08T18:39:23Z</cp:lastPrinted>
  <dcterms:created xsi:type="dcterms:W3CDTF">2023-04-19T16:42:15Z</dcterms:created>
  <dcterms:modified xsi:type="dcterms:W3CDTF">2026-09-08T12:43:32Z</dcterms:modified>
</cp:coreProperties>
</file>