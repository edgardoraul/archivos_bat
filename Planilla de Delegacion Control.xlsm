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 activeTab="1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<sst xmlns="http://schemas.openxmlformats.org/spreadsheetml/2006/main" count="147" uniqueCount="35">
  <si>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</si>
  <si>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</si>
  <si>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</si>
  <si>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</si>
  <si>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</si>
  <si>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</si>
  <si>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</si>
  <si>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</si>
  <si>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</si>
  <si>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</si>
  <si>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</si>
  <si>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</si>
  <si>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</si>
  <si>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</si>
  <si>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</si>
  <si>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</si>
  <si>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</si>
  <si>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</si>
  <si>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</si>
  <si>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</si>
  <si>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</si>
  <si>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</si>
  <si>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</si>
  <si>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</si>
  <si>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</si>
  <si>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</si>
  <si>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</si>
  <si>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</si>
  <si>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</si>
  <si>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</si>
  <si>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RERDITA</t>
  </si>
  <si>
    <t>MICAELITA</t>
  </si>
  <si>
    <t>NOMBRE O TITULO DESCRIPTIVO</t>
  </si>
  <si>
    <t>RERDOTA</t>
  </si>
  <si>
    <t>MICAELOTA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</si>
</sst>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6"/>
  <sheetViews>
    <sheetView topLeftCell="D1" zoomScaleNormal="100" workbookViewId="0">
      <selection activeCell="F3" sqref="F3"/>
    </sheetView>
  </sheetViews>
  <sheetFormatPr baseColWidth="10" defaultRowHeight="15" x14ac:dyDescent="0.25"/>
  <cols>
    <col min="1" max="1" width="6.140625" style="14" customWidth="1"/>
    <col min="2" max="2" width="7.85546875" style="16" customWidth="1"/>
    <col min="3" max="3" width="11.85546875" style="16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24" t="s">
        <v>32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12" x14ac:dyDescent="0.25">
      <c r="A2" s="12" t="s">
        <v>25</v>
      </c>
      <c r="B2" s="12" t="s">
        <v>18</v>
      </c>
      <c r="C2" s="10" t="s">
        <v>17</v>
      </c>
      <c r="D2" s="13" t="s">
        <v>15</v>
      </c>
      <c r="E2" s="10" t="s">
        <v>16</v>
      </c>
      <c r="F2" s="10" t="s">
        <v>14</v>
      </c>
      <c r="G2" s="10" t="s">
        <v>11</v>
      </c>
      <c r="H2" s="10" t="s">
        <v>0</v>
      </c>
      <c r="I2" s="10" t="s">
        <v>10</v>
      </c>
      <c r="J2" s="10" t="s">
        <v>12</v>
      </c>
      <c r="K2" s="10" t="s">
        <v>13</v>
      </c>
      <c r="L2" s="10" t="s">
        <v>9</v>
      </c>
    </row>
    <row r="3" spans="1:12" x14ac:dyDescent="0.25">
      <c r="A3" s="19">
        <v>1</v>
      </c>
      <c r="B3" s="15">
        <v>1234</v>
      </c>
      <c r="C3" s="17">
        <v>37137843</v>
      </c>
      <c r="D3" s="11" t="s">
        <v>26</v>
      </c>
      <c r="E3" s="23" t="s">
        <v>27</v>
      </c>
      <c r="F3" s="21">
        <v>32</v>
      </c>
      <c r="G3" s="22" t="s">
        <v>8</v>
      </c>
      <c r="H3" s="21">
        <v>65</v>
      </c>
      <c r="I3" s="21">
        <v>44</v>
      </c>
      <c r="J3" s="20" t="s">
        <v>2</v>
      </c>
      <c r="K3" s="21" t="s">
        <v>4</v>
      </c>
      <c r="L3" s="21">
        <v>41</v>
      </c>
    </row>
    <row r="4" spans="1:12" x14ac:dyDescent="0.25">
      <c r="A4" s="18">
        <v>2</v>
      </c>
      <c r="B4" s="16">
        <v>1235</v>
      </c>
      <c r="C4" s="16">
        <v>32456987</v>
      </c>
      <c r="D4" s="1" t="s">
        <v>28</v>
      </c>
      <c r="E4" s="1" t="s">
        <v>29</v>
      </c>
      <c r="F4" s="21">
        <v>40</v>
      </c>
      <c r="G4" s="22" t="s">
        <v>4</v>
      </c>
      <c r="H4" s="21">
        <v>50</v>
      </c>
      <c r="I4" s="20">
        <v>38</v>
      </c>
      <c r="J4" s="20" t="s">
        <v>4</v>
      </c>
      <c r="K4" s="21" t="s">
        <v>5</v>
      </c>
      <c r="L4" s="20">
        <v>37</v>
      </c>
    </row>
    <row r="5" spans="1:12" x14ac:dyDescent="0.25">
      <c r="A5" s="18">
        <v>3</v>
      </c>
      <c r="B5" s="16">
        <v>1236</v>
      </c>
      <c r="C5" s="16">
        <v>45123987</v>
      </c>
      <c r="D5" s="1" t="s">
        <v>30</v>
      </c>
      <c r="E5" s="1" t="s">
        <v>31</v>
      </c>
      <c r="F5" s="21">
        <v>32</v>
      </c>
      <c r="G5" s="22" t="s">
        <v>2</v>
      </c>
      <c r="H5" s="21">
        <v>55</v>
      </c>
      <c r="I5" s="20">
        <v>42</v>
      </c>
      <c r="J5" s="20" t="s">
        <v>2</v>
      </c>
      <c r="K5" s="21" t="s">
        <v>2</v>
      </c>
      <c r="L5" s="20">
        <v>39</v>
      </c>
    </row>
    <row r="6" spans="1:12" x14ac:dyDescent="0.25">
      <c r="A6" s="18">
        <v>4</v>
      </c>
      <c r="B6" s="16">
        <v>1237</v>
      </c>
      <c r="C6" s="16">
        <v>987654</v>
      </c>
      <c r="D6" s="1" t="s">
        <v>33</v>
      </c>
      <c r="E6" s="1" t="s">
        <v>34</v>
      </c>
      <c r="F6" s="21">
        <v>44</v>
      </c>
      <c r="G6" s="22" t="s">
        <v>8</v>
      </c>
      <c r="H6" s="21">
        <v>50</v>
      </c>
      <c r="I6" s="21">
        <v>38</v>
      </c>
      <c r="J6" s="20" t="s">
        <v>1</v>
      </c>
      <c r="K6" s="21" t="s">
        <v>5</v>
      </c>
      <c r="L6" s="21">
        <v>39</v>
      </c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L3:L6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tabSelected="1" zoomScaleNormal="100" workbookViewId="0">
      <selection activeCell="B4" sqref="B4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1" spans="1:20" ht="18.75" x14ac:dyDescent="0.3">
      <c r="A1" s="25" t="str">
        <f>PLANILLA!A1</f>
        <v>NOMBRE O TITULO DESCRIPTIVO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</row>
    <row r="2" spans="1:20" x14ac:dyDescent="0.25">
      <c r="A2" s="26" t="s">
        <v>14</v>
      </c>
      <c r="B2" s="27"/>
      <c r="C2" s="7"/>
      <c r="D2" s="26" t="s">
        <v>11</v>
      </c>
      <c r="E2" s="27"/>
      <c r="F2" s="7"/>
      <c r="G2" s="26" t="s">
        <v>0</v>
      </c>
      <c r="H2" s="27"/>
      <c r="I2" s="7"/>
      <c r="J2" s="26" t="s">
        <v>10</v>
      </c>
      <c r="K2" s="27"/>
      <c r="L2" s="7"/>
      <c r="M2" s="26" t="s">
        <v>12</v>
      </c>
      <c r="N2" s="27"/>
      <c r="O2" s="7"/>
      <c r="P2" s="26" t="s">
        <v>13</v>
      </c>
      <c r="Q2" s="27"/>
      <c r="R2" s="7"/>
      <c r="S2" s="26" t="s">
        <v>9</v>
      </c>
      <c r="T2" s="27"/>
    </row>
    <row r="3" spans="1:20" x14ac:dyDescent="0.25">
      <c r="A3" s="3" t="s">
        <v>23</v>
      </c>
      <c r="B3" s="4" t="s">
        <v>24</v>
      </c>
      <c r="C3" s="7"/>
      <c r="D3" s="3" t="s">
        <v>23</v>
      </c>
      <c r="E3" s="4" t="s">
        <v>24</v>
      </c>
      <c r="F3" s="7"/>
      <c r="G3" s="3" t="s">
        <v>23</v>
      </c>
      <c r="H3" s="4" t="s">
        <v>24</v>
      </c>
      <c r="I3" s="7"/>
      <c r="J3" s="3" t="s">
        <v>23</v>
      </c>
      <c r="K3" s="4" t="s">
        <v>24</v>
      </c>
      <c r="L3" s="7"/>
      <c r="M3" s="3" t="s">
        <v>23</v>
      </c>
      <c r="N3" s="4" t="s">
        <v>24</v>
      </c>
      <c r="O3" s="7"/>
      <c r="P3" s="3" t="s">
        <v>23</v>
      </c>
      <c r="Q3" s="4" t="s">
        <v>24</v>
      </c>
      <c r="R3" s="7"/>
      <c r="S3" s="3" t="s">
        <v>23</v>
      </c>
      <c r="T3" s="4" t="s">
        <v>24</v>
      </c>
    </row>
    <row r="4" spans="1:20" x14ac:dyDescent="0.25">
      <c r="A4" s="5">
        <v>32</v>
      </c>
      <c r="B4" s="6">
        <v>2</v>
      </c>
      <c r="C4" s="7"/>
      <c r="D4" s="5" t="s">
        <v>21</v>
      </c>
      <c r="E4" s="6" t="str">
        <f>IF(COUNTIF(PLANILLA!G$3:G$10000,D4)=0,"",COUNTIF(PLANILLA!G$3:G$10000,D4))</f>
        <v/>
      </c>
      <c r="F4" s="7"/>
      <c r="G4" s="5">
        <v>50</v>
      </c>
      <c r="H4" s="6">
        <f>IF(COUNTIF(PLANILLA!H$3:H$10000,G4)=0,"",COUNTIF(PLANILLA!H$3:H$10000,G4))</f>
        <v>2</v>
      </c>
      <c r="I4" s="7"/>
      <c r="J4" s="5">
        <v>32</v>
      </c>
      <c r="K4" s="6" t="str">
        <f>IF(COUNTIF(PLANILLA!I$3:I$10000,J4)=0,"",COUNTIF(PLANILLA!I$3:I$10000,J4))</f>
        <v/>
      </c>
      <c r="L4" s="7"/>
      <c r="M4" s="5" t="s">
        <v>21</v>
      </c>
      <c r="N4" s="6" t="str">
        <f>IF(COUNTIF(PLANILLA!J$3:J$10000,M4)=0,"",COUNTIF(PLANILLA!J$3:J$10000,M4))</f>
        <v/>
      </c>
      <c r="O4" s="7"/>
      <c r="P4" s="5" t="s">
        <v>21</v>
      </c>
      <c r="Q4" s="6" t="str">
        <f>IF(COUNTIF(PLANILLA!K$3:K$10000,P4)=0,"",COUNTIF(PLANILLA!K$3:K$10000,P4))</f>
        <v/>
      </c>
      <c r="R4" s="7"/>
      <c r="S4" s="5">
        <v>30</v>
      </c>
      <c r="T4" s="6" t="str">
        <f>IF(COUNTIF(PLANILLA!L$3:L$10000,S4)=0,"",COUNTIF(PLANILLA!L$3:L$10000,S4))</f>
        <v/>
      </c>
    </row>
    <row r="5" spans="1:20" x14ac:dyDescent="0.25">
      <c r="A5" s="5">
        <v>34</v>
      </c>
      <c r="B5" s="6" t="str">
        <f>IF(COUNTIF(PLANILLA!F$3:F$10000,A5)=0,"",COUNTIF(PLANILLA!F$3:F$10000,A5))</f>
        <v/>
      </c>
      <c r="C5" s="7"/>
      <c r="D5" s="5" t="s">
        <v>8</v>
      </c>
      <c r="E5" s="6">
        <f>IF(COUNTIF(PLANILLA!G$3:G$10000,D5)=0,"",COUNTIF(PLANILLA!G$3:G$10000,D5))</f>
        <v>2</v>
      </c>
      <c r="F5" s="7"/>
      <c r="G5" s="5">
        <v>51</v>
      </c>
      <c r="H5" s="6" t="str">
        <f>IF(COUNTIF(PLANILLA!H$3:H$10000,G5)=0,"",COUNTIF(PLANILLA!H$3:H$10000,G5))</f>
        <v/>
      </c>
      <c r="I5" s="7"/>
      <c r="J5" s="5">
        <v>34</v>
      </c>
      <c r="K5" s="6" t="str">
        <f>IF(COUNTIF(PLANILLA!I$3:I$10000,J5)=0,"",COUNTIF(PLANILLA!I$3:I$10000,J5))</f>
        <v/>
      </c>
      <c r="L5" s="7"/>
      <c r="M5" s="5" t="s">
        <v>8</v>
      </c>
      <c r="N5" s="6" t="str">
        <f>IF(COUNTIF(PLANILLA!J$3:J$10000,M5)=0,"",COUNTIF(PLANILLA!J$3:J$10000,M5))</f>
        <v/>
      </c>
      <c r="O5" s="7"/>
      <c r="P5" s="5" t="s">
        <v>8</v>
      </c>
      <c r="Q5" s="6" t="str">
        <f>IF(COUNTIF(PLANILLA!K$3:K$10000,P5)=0,"",COUNTIF(PLANILLA!K$3:K$10000,P5))</f>
        <v/>
      </c>
      <c r="R5" s="7"/>
      <c r="S5" s="5">
        <v>31</v>
      </c>
      <c r="T5" s="6" t="str">
        <f>IF(COUNTIF(PLANILLA!L$3:L$10000,S5)=0,"",COUNTIF(PLANILLA!L$3:L$10000,S5))</f>
        <v/>
      </c>
    </row>
    <row r="6" spans="1:20" x14ac:dyDescent="0.25">
      <c r="A6" s="5">
        <v>36</v>
      </c>
      <c r="B6" s="6" t="str">
        <f>IF(COUNTIF(PLANILLA!F$3:F$10000,A6)=0,"",COUNTIF(PLANILLA!F$3:F$10000,A6))</f>
        <v/>
      </c>
      <c r="C6" s="7"/>
      <c r="D6" s="5" t="s">
        <v>5</v>
      </c>
      <c r="E6" s="6" t="str">
        <f>IF(COUNTIF(PLANILLA!G$3:G$10000,D6)=0,"",COUNTIF(PLANILLA!G$3:G$10000,D6))</f>
        <v/>
      </c>
      <c r="F6" s="7"/>
      <c r="G6" s="5">
        <v>52</v>
      </c>
      <c r="H6" s="6" t="str">
        <f>IF(COUNTIF(PLANILLA!H$3:H$10000,G6)=0,"",COUNTIF(PLANILLA!H$3:H$10000,G6))</f>
        <v/>
      </c>
      <c r="I6" s="7"/>
      <c r="J6" s="5">
        <v>36</v>
      </c>
      <c r="K6" s="6" t="str">
        <f>IF(COUNTIF(PLANILLA!I$3:I$10000,J6)=0,"",COUNTIF(PLANILLA!I$3:I$10000,J6))</f>
        <v/>
      </c>
      <c r="L6" s="7"/>
      <c r="M6" s="5" t="s">
        <v>5</v>
      </c>
      <c r="N6" s="6" t="str">
        <f>IF(COUNTIF(PLANILLA!J$3:J$10000,M6)=0,"",COUNTIF(PLANILLA!J$3:J$10000,M6))</f>
        <v/>
      </c>
      <c r="O6" s="7"/>
      <c r="P6" s="5" t="s">
        <v>5</v>
      </c>
      <c r="Q6" s="6">
        <f>IF(COUNTIF(PLANILLA!K$3:K$10000,P6)=0,"",COUNTIF(PLANILLA!K$3:K$10000,P6))</f>
        <v>2</v>
      </c>
      <c r="R6" s="7"/>
      <c r="S6" s="5">
        <v>32</v>
      </c>
      <c r="T6" s="6" t="str">
        <f>IF(COUNTIF(PLANILLA!L$3:L$10000,S6)=0,"",COUNTIF(PLANILLA!L$3:L$10000,S6))</f>
        <v/>
      </c>
    </row>
    <row r="7" spans="1:20" x14ac:dyDescent="0.25">
      <c r="A7" s="5">
        <v>38</v>
      </c>
      <c r="B7" s="6" t="str">
        <f>IF(COUNTIF(PLANILLA!F$3:F$10000,A7)=0,"",COUNTIF(PLANILLA!F$3:F$10000,A7))</f>
        <v/>
      </c>
      <c r="C7" s="7"/>
      <c r="D7" s="5" t="s">
        <v>4</v>
      </c>
      <c r="E7" s="6">
        <f>IF(COUNTIF(PLANILLA!G$3:G$10000,D7)=0,"",COUNTIF(PLANILLA!G$3:G$10000,D7))</f>
        <v>1</v>
      </c>
      <c r="F7" s="7"/>
      <c r="G7" s="5">
        <v>53</v>
      </c>
      <c r="H7" s="6" t="str">
        <f>IF(COUNTIF(PLANILLA!H$3:H$10000,G7)=0,"",COUNTIF(PLANILLA!H$3:H$10000,G7))</f>
        <v/>
      </c>
      <c r="I7" s="7"/>
      <c r="J7" s="5">
        <v>38</v>
      </c>
      <c r="K7" s="6">
        <f>IF(COUNTIF(PLANILLA!I$3:I$10000,J7)=0,"",COUNTIF(PLANILLA!I$3:I$10000,J7))</f>
        <v>2</v>
      </c>
      <c r="L7" s="7"/>
      <c r="M7" s="5" t="s">
        <v>4</v>
      </c>
      <c r="N7" s="6">
        <f>IF(COUNTIF(PLANILLA!J$3:J$10000,M7)=0,"",COUNTIF(PLANILLA!J$3:J$10000,M7))</f>
        <v>1</v>
      </c>
      <c r="O7" s="7"/>
      <c r="P7" s="5" t="s">
        <v>4</v>
      </c>
      <c r="Q7" s="6">
        <f>IF(COUNTIF(PLANILLA!K$3:K$10000,P7)=0,"",COUNTIF(PLANILLA!K$3:K$10000,P7))</f>
        <v>1</v>
      </c>
      <c r="R7" s="7"/>
      <c r="S7" s="5">
        <v>33</v>
      </c>
      <c r="T7" s="6" t="str">
        <f>IF(COUNTIF(PLANILLA!L$3:L$10000,S7)=0,"",COUNTIF(PLANILLA!L$3:L$10000,S7))</f>
        <v/>
      </c>
    </row>
    <row r="8" spans="1:20" x14ac:dyDescent="0.25">
      <c r="A8" s="5">
        <v>40</v>
      </c>
      <c r="B8" s="6">
        <f>IF(COUNTIF(PLANILLA!F$3:F$10000,A8)=0,"",COUNTIF(PLANILLA!F$3:F$10000,A8))</f>
        <v>1</v>
      </c>
      <c r="C8" s="7"/>
      <c r="D8" s="5" t="s">
        <v>2</v>
      </c>
      <c r="E8" s="6">
        <f>IF(COUNTIF(PLANILLA!G$3:G$10000,D8)=0,"",COUNTIF(PLANILLA!G$3:G$10000,D8))</f>
        <v>1</v>
      </c>
      <c r="F8" s="7"/>
      <c r="G8" s="5">
        <v>54</v>
      </c>
      <c r="H8" s="6" t="str">
        <f>IF(COUNTIF(PLANILLA!H$3:H$10000,G8)=0,"",COUNTIF(PLANILLA!H$3:H$10000,G8))</f>
        <v/>
      </c>
      <c r="I8" s="7"/>
      <c r="J8" s="5">
        <v>40</v>
      </c>
      <c r="K8" s="6" t="str">
        <f>IF(COUNTIF(PLANILLA!I$3:I$10000,J8)=0,"",COUNTIF(PLANILLA!I$3:I$10000,J8))</f>
        <v/>
      </c>
      <c r="L8" s="7"/>
      <c r="M8" s="5" t="s">
        <v>2</v>
      </c>
      <c r="N8" s="6">
        <f>IF(COUNTIF(PLANILLA!J$3:J$10000,M8)=0,"",COUNTIF(PLANILLA!J$3:J$10000,M8))</f>
        <v>2</v>
      </c>
      <c r="O8" s="7"/>
      <c r="P8" s="5" t="s">
        <v>2</v>
      </c>
      <c r="Q8" s="6">
        <f>IF(COUNTIF(PLANILLA!K$3:K$10000,P8)=0,"",COUNTIF(PLANILLA!K$3:K$10000,P8))</f>
        <v>1</v>
      </c>
      <c r="R8" s="7"/>
      <c r="S8" s="5">
        <v>34</v>
      </c>
      <c r="T8" s="6" t="str">
        <f>IF(COUNTIF(PLANILLA!L$3:L$10000,S8)=0,"",COUNTIF(PLANILLA!L$3:L$10000,S8))</f>
        <v/>
      </c>
    </row>
    <row r="9" spans="1:20" x14ac:dyDescent="0.25">
      <c r="A9" s="5">
        <v>42</v>
      </c>
      <c r="B9" s="6" t="str">
        <f>IF(COUNTIF(PLANILLA!F$3:F$10000,A9)=0,"",COUNTIF(PLANILLA!F$3:F$10000,A9))</f>
        <v/>
      </c>
      <c r="C9" s="7"/>
      <c r="D9" s="5" t="s">
        <v>1</v>
      </c>
      <c r="E9" s="6" t="str">
        <f>IF(COUNTIF(PLANILLA!G$3:G$10000,D9)=0,"",COUNTIF(PLANILLA!G$3:G$10000,D9))</f>
        <v/>
      </c>
      <c r="F9" s="7"/>
      <c r="G9" s="5">
        <v>55</v>
      </c>
      <c r="H9" s="6">
        <f>IF(COUNTIF(PLANILLA!H$3:H$10000,G9)=0,"",COUNTIF(PLANILLA!H$3:H$10000,G9))</f>
        <v>1</v>
      </c>
      <c r="I9" s="7"/>
      <c r="J9" s="5">
        <v>42</v>
      </c>
      <c r="K9" s="6">
        <f>IF(COUNTIF(PLANILLA!I$3:I$10000,J9)=0,"",COUNTIF(PLANILLA!I$3:I$10000,J9))</f>
        <v>1</v>
      </c>
      <c r="L9" s="7"/>
      <c r="M9" s="5" t="s">
        <v>1</v>
      </c>
      <c r="N9" s="6">
        <f>IF(COUNTIF(PLANILLA!J$3:J$10000,M9)=0,"",COUNTIF(PLANILLA!J$3:J$10000,M9))</f>
        <v>1</v>
      </c>
      <c r="O9" s="7"/>
      <c r="P9" s="5" t="s">
        <v>1</v>
      </c>
      <c r="Q9" s="6" t="str">
        <f>IF(COUNTIF(PLANILLA!K$3:K$10000,P9)=0,"",COUNTIF(PLANILLA!K$3:K$10000,P9))</f>
        <v/>
      </c>
      <c r="R9" s="7"/>
      <c r="S9" s="5">
        <v>35</v>
      </c>
      <c r="T9" s="6" t="str">
        <f>IF(COUNTIF(PLANILLA!L$3:L$10000,S9)=0,"",COUNTIF(PLANILLA!L$3:L$10000,S9))</f>
        <v/>
      </c>
    </row>
    <row r="10" spans="1:20" x14ac:dyDescent="0.25">
      <c r="A10" s="5">
        <v>44</v>
      </c>
      <c r="B10" s="6">
        <f>IF(COUNTIF(PLANILLA!F$3:F$10000,A10)=0,"",COUNTIF(PLANILLA!F$3:F$10000,A10))</f>
        <v>1</v>
      </c>
      <c r="C10" s="7"/>
      <c r="D10" s="5" t="s">
        <v>3</v>
      </c>
      <c r="E10" s="6" t="str">
        <f>IF(COUNTIF(PLANILLA!G$3:G$10000,D10)=0,"",COUNTIF(PLANILLA!G$3:G$10000,D10))</f>
        <v/>
      </c>
      <c r="F10" s="7"/>
      <c r="G10" s="5">
        <v>56</v>
      </c>
      <c r="H10" s="6" t="str">
        <f>IF(COUNTIF(PLANILLA!H$3:H$10000,G10)=0,"",COUNTIF(PLANILLA!H$3:H$10000,G10))</f>
        <v/>
      </c>
      <c r="I10" s="7"/>
      <c r="J10" s="5">
        <v>44</v>
      </c>
      <c r="K10" s="6">
        <f>IF(COUNTIF(PLANILLA!I$3:I$10000,J10)=0,"",COUNTIF(PLANILLA!I$3:I$10000,J10))</f>
        <v>1</v>
      </c>
      <c r="L10" s="7"/>
      <c r="M10" s="5" t="s">
        <v>3</v>
      </c>
      <c r="N10" s="6" t="str">
        <f>IF(COUNTIF(PLANILLA!J$3:J$10000,M10)=0,"",COUNTIF(PLANILLA!J$3:J$10000,M10))</f>
        <v/>
      </c>
      <c r="O10" s="7"/>
      <c r="P10" s="5" t="s">
        <v>3</v>
      </c>
      <c r="Q10" s="6" t="str">
        <f>IF(COUNTIF(PLANILLA!K$3:K$10000,P10)=0,"",COUNTIF(PLANILLA!K$3:K$10000,P10))</f>
        <v/>
      </c>
      <c r="R10" s="7"/>
      <c r="S10" s="5">
        <v>36</v>
      </c>
      <c r="T10" s="6" t="str">
        <f>IF(COUNTIF(PLANILLA!L$3:L$10000,S10)=0,"",COUNTIF(PLANILLA!L$3:L$10000,S10))</f>
        <v/>
      </c>
    </row>
    <row r="11" spans="1:20" x14ac:dyDescent="0.25">
      <c r="A11" s="5">
        <v>46</v>
      </c>
      <c r="B11" s="6" t="str">
        <f>IF(COUNTIF(PLANILLA!F$3:F$10000,A11)=0,"",COUNTIF(PLANILLA!F$3:F$10000,A11))</f>
        <v/>
      </c>
      <c r="C11" s="7"/>
      <c r="D11" s="5" t="s">
        <v>6</v>
      </c>
      <c r="E11" s="6" t="str">
        <f>IF(COUNTIF(PLANILLA!G$3:G$10000,D11)=0,"",COUNTIF(PLANILLA!G$3:G$10000,D11))</f>
        <v/>
      </c>
      <c r="F11" s="7"/>
      <c r="G11" s="5">
        <v>57</v>
      </c>
      <c r="H11" s="6" t="str">
        <f>IF(COUNTIF(PLANILLA!H$3:H$10000,G11)=0,"",COUNTIF(PLANILLA!H$3:H$10000,G11))</f>
        <v/>
      </c>
      <c r="I11" s="7"/>
      <c r="J11" s="5">
        <v>46</v>
      </c>
      <c r="K11" s="6" t="str">
        <f>IF(COUNTIF(PLANILLA!I$3:I$10000,J11)=0,"",COUNTIF(PLANILLA!I$3:I$10000,J11))</f>
        <v/>
      </c>
      <c r="L11" s="7"/>
      <c r="M11" s="5" t="s">
        <v>6</v>
      </c>
      <c r="N11" s="6" t="str">
        <f>IF(COUNTIF(PLANILLA!J$3:J$10000,M11)=0,"",COUNTIF(PLANILLA!J$3:J$10000,M11))</f>
        <v/>
      </c>
      <c r="O11" s="7"/>
      <c r="P11" s="5" t="s">
        <v>6</v>
      </c>
      <c r="Q11" s="6" t="str">
        <f>IF(COUNTIF(PLANILLA!K$3:K$10000,P11)=0,"",COUNTIF(PLANILLA!K$3:K$10000,P11))</f>
        <v/>
      </c>
      <c r="R11" s="7"/>
      <c r="S11" s="5">
        <v>37</v>
      </c>
      <c r="T11" s="6">
        <f>IF(COUNTIF(PLANILLA!L$3:L$10000,S11)=0,"",COUNTIF(PLANILLA!L$3:L$10000,S11))</f>
        <v>1</v>
      </c>
    </row>
    <row r="12" spans="1:20" x14ac:dyDescent="0.25">
      <c r="A12" s="5">
        <v>48</v>
      </c>
      <c r="B12" s="6" t="str">
        <f>IF(COUNTIF(PLANILLA!F$3:F$10000,A12)=0,"",COUNTIF(PLANILLA!F$3:F$10000,A12))</f>
        <v/>
      </c>
      <c r="C12" s="7"/>
      <c r="D12" s="5" t="s">
        <v>7</v>
      </c>
      <c r="E12" s="6" t="str">
        <f>IF(COUNTIF(PLANILLA!G$3:G$10000,D12)=0,"",COUNTIF(PLANILLA!G$3:G$10000,D12))</f>
        <v/>
      </c>
      <c r="F12" s="7"/>
      <c r="G12" s="5">
        <v>58</v>
      </c>
      <c r="H12" s="6" t="str">
        <f>IF(COUNTIF(PLANILLA!H$3:H$10000,G12)=0,"",COUNTIF(PLANILLA!H$3:H$10000,G12))</f>
        <v/>
      </c>
      <c r="I12" s="7"/>
      <c r="J12" s="5">
        <v>48</v>
      </c>
      <c r="K12" s="6" t="str">
        <f>IF(COUNTIF(PLANILLA!I$3:I$10000,J12)=0,"",COUNTIF(PLANILLA!I$3:I$10000,J12))</f>
        <v/>
      </c>
      <c r="L12" s="7"/>
      <c r="M12" s="5" t="s">
        <v>7</v>
      </c>
      <c r="N12" s="6" t="str">
        <f>IF(COUNTIF(PLANILLA!J$3:J$10000,M12)=0,"",COUNTIF(PLANILLA!J$3:J$10000,M12))</f>
        <v/>
      </c>
      <c r="O12" s="7"/>
      <c r="P12" s="5" t="s">
        <v>7</v>
      </c>
      <c r="Q12" s="6" t="str">
        <f>IF(COUNTIF(PLANILLA!K$3:K$10000,P12)=0,"",COUNTIF(PLANILLA!K$3:K$10000,P12))</f>
        <v/>
      </c>
      <c r="R12" s="7"/>
      <c r="S12" s="5">
        <v>38</v>
      </c>
      <c r="T12" s="6" t="str">
        <f>IF(COUNTIF(PLANILLA!L$3:L$10000,S12)=0,"",COUNTIF(PLANILLA!L$3:L$10000,S12))</f>
        <v/>
      </c>
    </row>
    <row r="13" spans="1:20" x14ac:dyDescent="0.25">
      <c r="A13" s="5">
        <v>50</v>
      </c>
      <c r="B13" s="6" t="str">
        <f>IF(COUNTIF(PLANILLA!F$3:F$10000,A13)=0,"",COUNTIF(PLANILLA!F$3:F$10000,A13))</f>
        <v/>
      </c>
      <c r="C13" s="7"/>
      <c r="D13" s="5" t="s">
        <v>19</v>
      </c>
      <c r="E13" s="6" t="str">
        <f>IF(COUNTIF(PLANILLA!G$3:G$10000,D13)=0,"",COUNTIF(PLANILLA!G$3:G$10000,D13))</f>
        <v/>
      </c>
      <c r="F13" s="7"/>
      <c r="G13" s="5">
        <v>59</v>
      </c>
      <c r="H13" s="6" t="str">
        <f>IF(COUNTIF(PLANILLA!H$3:H$10000,G13)=0,"",COUNTIF(PLANILLA!H$3:H$10000,G13))</f>
        <v/>
      </c>
      <c r="I13" s="7"/>
      <c r="J13" s="5">
        <v>50</v>
      </c>
      <c r="K13" s="6" t="str">
        <f>IF(COUNTIF(PLANILLA!I$3:I$10000,J13)=0,"",COUNTIF(PLANILLA!I$3:I$10000,J13))</f>
        <v/>
      </c>
      <c r="L13" s="7"/>
      <c r="M13" s="5" t="s">
        <v>19</v>
      </c>
      <c r="N13" s="6" t="str">
        <f>IF(COUNTIF(PLANILLA!J$3:J$10000,M13)=0,"",COUNTIF(PLANILLA!J$3:J$10000,M13))</f>
        <v/>
      </c>
      <c r="O13" s="7"/>
      <c r="P13" s="5" t="s">
        <v>19</v>
      </c>
      <c r="Q13" s="6" t="str">
        <f>IF(COUNTIF(PLANILLA!K$3:K$10000,P13)=0,"",COUNTIF(PLANILLA!K$3:K$10000,P13))</f>
        <v/>
      </c>
      <c r="R13" s="7"/>
      <c r="S13" s="5">
        <v>39</v>
      </c>
      <c r="T13" s="6">
        <f>IF(COUNTIF(PLANILLA!L$3:L$10000,S13)=0,"",COUNTIF(PLANILLA!L$3:L$10000,S13))</f>
        <v>2</v>
      </c>
    </row>
    <row r="14" spans="1:20" x14ac:dyDescent="0.25">
      <c r="A14" s="5">
        <v>52</v>
      </c>
      <c r="B14" s="6" t="str">
        <f>IF(COUNTIF(PLANILLA!F$3:F$10000,A14)=0,"",COUNTIF(PLANILLA!F$3:F$10000,A14))</f>
        <v/>
      </c>
      <c r="C14" s="7"/>
      <c r="D14" s="5" t="s">
        <v>20</v>
      </c>
      <c r="E14" s="6" t="str">
        <f>IF(COUNTIF(PLANILLA!G$3:G$10000,D14)=0,"",COUNTIF(PLANILLA!G$3:G$10000,D14))</f>
        <v/>
      </c>
      <c r="F14" s="7"/>
      <c r="G14" s="5">
        <v>60</v>
      </c>
      <c r="H14" s="6" t="str">
        <f>IF(COUNTIF(PLANILLA!H$3:H$10000,G14)=0,"",COUNTIF(PLANILLA!H$3:H$10000,G14))</f>
        <v/>
      </c>
      <c r="I14" s="7"/>
      <c r="J14" s="5">
        <v>52</v>
      </c>
      <c r="K14" s="6" t="str">
        <f>IF(COUNTIF(PLANILLA!I$3:I$10000,J14)=0,"",COUNTIF(PLANILLA!I$3:I$10000,J14))</f>
        <v/>
      </c>
      <c r="L14" s="7"/>
      <c r="M14" s="5" t="s">
        <v>20</v>
      </c>
      <c r="N14" s="6" t="str">
        <f>IF(COUNTIF(PLANILLA!J$3:J$10000,M14)=0,"",COUNTIF(PLANILLA!J$3:J$10000,M14))</f>
        <v/>
      </c>
      <c r="O14" s="7"/>
      <c r="P14" s="5" t="s">
        <v>20</v>
      </c>
      <c r="Q14" s="6" t="str">
        <f>IF(COUNTIF(PLANILLA!K$3:K$10000,P14)=0,"",COUNTIF(PLANILLA!K$3:K$10000,P14))</f>
        <v/>
      </c>
      <c r="R14" s="7"/>
      <c r="S14" s="5">
        <v>40</v>
      </c>
      <c r="T14" s="6" t="str">
        <f>IF(COUNTIF(PLANILLA!L$3:L$10000,S14)=0,"",COUNTIF(PLANILLA!L$3:L$10000,S14))</f>
        <v/>
      </c>
    </row>
    <row r="15" spans="1:20" x14ac:dyDescent="0.25">
      <c r="A15" s="5">
        <v>54</v>
      </c>
      <c r="B15" s="6" t="str">
        <f>IF(COUNTIF(PLANILLA!F$3:F$10000,A15)=0,"",COUNTIF(PLANILLA!F$3:F$10000,A15))</f>
        <v/>
      </c>
      <c r="C15" s="7"/>
      <c r="D15" s="5" t="s">
        <v>22</v>
      </c>
      <c r="E15" s="6" t="str">
        <f>IF(COUNTIF(PLANILLA!G$3:G$10000,D15)=0,"",COUNTIF(PLANILLA!G$3:G$10000,D15))</f>
        <v/>
      </c>
      <c r="F15" s="7"/>
      <c r="G15" s="5">
        <v>61</v>
      </c>
      <c r="H15" s="6" t="str">
        <f>IF(COUNTIF(PLANILLA!H$3:H$10000,G15)=0,"",COUNTIF(PLANILLA!H$3:H$10000,G15))</f>
        <v/>
      </c>
      <c r="I15" s="7"/>
      <c r="J15" s="5">
        <v>54</v>
      </c>
      <c r="K15" s="6" t="str">
        <f>IF(COUNTIF(PLANILLA!I$3:I$10000,J15)=0,"",COUNTIF(PLANILLA!I$3:I$10000,J15))</f>
        <v/>
      </c>
      <c r="L15" s="7"/>
      <c r="M15" s="5" t="s">
        <v>22</v>
      </c>
      <c r="N15" s="6" t="str">
        <f>IF(COUNTIF(PLANILLA!J$3:J$10000,M15)=0,"",COUNTIF(PLANILLA!J$3:J$10000,M15))</f>
        <v/>
      </c>
      <c r="O15" s="7"/>
      <c r="P15" s="5" t="s">
        <v>22</v>
      </c>
      <c r="Q15" s="6" t="str">
        <f>IF(COUNTIF(PLANILLA!K$3:K$10000,P15)=0,"",COUNTIF(PLANILLA!K$3:K$10000,P15))</f>
        <v/>
      </c>
      <c r="R15" s="7"/>
      <c r="S15" s="5">
        <v>41</v>
      </c>
      <c r="T15" s="6">
        <f>IF(COUNTIF(PLANILLA!L$3:L$10000,S15)=0,"",COUNTIF(PLANILLA!L$3:L$10000,S15))</f>
        <v>1</v>
      </c>
    </row>
    <row r="16" spans="1:20" ht="19.5" x14ac:dyDescent="0.3">
      <c r="A16" s="5">
        <v>56</v>
      </c>
      <c r="B16" s="6" t="str">
        <f>IF(COUNTIF(PLANILLA!F$3:F$10000,A16)=0,"",COUNTIF(PLANILLA!F$3:F$10000,A16))</f>
        <v/>
      </c>
      <c r="C16" s="7"/>
      <c r="D16" s="7"/>
      <c r="E16" s="9">
        <f>IF(SUM(E4:E15)=0,"",SUM(E4:E15))</f>
        <v>4</v>
      </c>
      <c r="F16" s="7"/>
      <c r="G16" s="5">
        <v>62</v>
      </c>
      <c r="H16" s="6" t="str">
        <f>IF(COUNTIF(PLANILLA!H$3:H$10000,G16)=0,"",COUNTIF(PLANILLA!H$3:H$10000,G16))</f>
        <v/>
      </c>
      <c r="I16" s="7"/>
      <c r="J16" s="5">
        <v>56</v>
      </c>
      <c r="K16" s="6" t="str">
        <f>IF(COUNTIF(PLANILLA!I$3:I$10000,J16)=0,"",COUNTIF(PLANILLA!I$3:I$10000,J16))</f>
        <v/>
      </c>
      <c r="L16" s="7"/>
      <c r="M16" s="7"/>
      <c r="N16" s="9">
        <f>IF(SUM(N4:N15)=0,"",SUM(N4:N15))</f>
        <v>4</v>
      </c>
      <c r="O16" s="7"/>
      <c r="P16" s="8"/>
      <c r="Q16" s="9">
        <f>IF(SUM(Q4:Q15)=0,"",SUM(Q4:Q15))</f>
        <v>4</v>
      </c>
      <c r="R16" s="7"/>
      <c r="S16" s="5">
        <v>42</v>
      </c>
      <c r="T16" s="6" t="str">
        <f>IF(COUNTIF(PLANILLA!L$3:L$10000,S16)=0,"",COUNTIF(PLANILLA!L$3:L$10000,S16))</f>
        <v/>
      </c>
    </row>
    <row r="17" spans="1:20" x14ac:dyDescent="0.25">
      <c r="A17" s="5">
        <v>58</v>
      </c>
      <c r="B17" s="6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6" t="str">
        <f>IF(COUNTIF(PLANILLA!H$3:H$10000,G17)=0,"",COUNTIF(PLANILLA!H$3:H$10000,G17))</f>
        <v/>
      </c>
      <c r="I17" s="7"/>
      <c r="J17" s="5">
        <v>58</v>
      </c>
      <c r="K17" s="6" t="str">
        <f>IF(COUNTIF(PLANILLA!I$3:I$10000,J17)=0,"",COUNTIF(PLANILLA!I$3:I$10000,J17))</f>
        <v/>
      </c>
      <c r="L17" s="7"/>
      <c r="M17" s="7"/>
      <c r="N17" s="7"/>
      <c r="O17" s="7"/>
      <c r="P17" s="8"/>
      <c r="Q17" s="8"/>
      <c r="R17" s="7"/>
      <c r="S17" s="5">
        <v>43</v>
      </c>
      <c r="T17" s="6" t="str">
        <f>IF(COUNTIF(PLANILLA!L$3:L$10000,S17)=0,"",COUNTIF(PLANILLA!L$3:L$10000,S17))</f>
        <v/>
      </c>
    </row>
    <row r="18" spans="1:20" x14ac:dyDescent="0.25">
      <c r="A18" s="5">
        <v>60</v>
      </c>
      <c r="B18" s="6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6" t="str">
        <f>IF(COUNTIF(PLANILLA!H$3:H$10000,G18)=0,"",COUNTIF(PLANILLA!H$3:H$10000,G18))</f>
        <v/>
      </c>
      <c r="I18" s="7"/>
      <c r="J18" s="5">
        <v>60</v>
      </c>
      <c r="K18" s="6" t="str">
        <f>IF(COUNTIF(PLANILLA!I$3:I$10000,J18)=0,"",COUNTIF(PLANILLA!I$3:I$10000,J18))</f>
        <v/>
      </c>
      <c r="L18" s="7"/>
      <c r="M18" s="7"/>
      <c r="N18" s="7"/>
      <c r="O18" s="7"/>
      <c r="P18" s="8"/>
      <c r="Q18" s="8"/>
      <c r="R18" s="7"/>
      <c r="S18" s="5">
        <v>44</v>
      </c>
      <c r="T18" s="6" t="str">
        <f>IF(COUNTIF(PLANILLA!L$3:L$10000,S18)=0,"",COUNTIF(PLANILLA!L$3:L$10000,S18))</f>
        <v/>
      </c>
    </row>
    <row r="19" spans="1:20" x14ac:dyDescent="0.25">
      <c r="A19" s="5">
        <v>62</v>
      </c>
      <c r="B19" s="6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6">
        <f>IF(COUNTIF(PLANILLA!H$3:H$10000,G19)=0,"",COUNTIF(PLANILLA!H$3:H$10000,G19))</f>
        <v>1</v>
      </c>
      <c r="I19" s="7"/>
      <c r="J19" s="5">
        <v>62</v>
      </c>
      <c r="K19" s="6" t="str">
        <f>IF(COUNTIF(PLANILLA!I$3:I$10000,J19)=0,"",COUNTIF(PLANILLA!I$3:I$10000,J19))</f>
        <v/>
      </c>
      <c r="L19" s="7"/>
      <c r="M19" s="7"/>
      <c r="N19" s="7"/>
      <c r="O19" s="7"/>
      <c r="P19" s="8"/>
      <c r="Q19" s="8"/>
      <c r="R19" s="7"/>
      <c r="S19" s="5">
        <v>45</v>
      </c>
      <c r="T19" s="6" t="str">
        <f>IF(COUNTIF(PLANILLA!L$3:L$10000,S19)=0,"",COUNTIF(PLANILLA!L$3:L$10000,S19))</f>
        <v/>
      </c>
    </row>
    <row r="20" spans="1:20" ht="19.5" x14ac:dyDescent="0.3">
      <c r="A20" s="5">
        <v>64</v>
      </c>
      <c r="B20" s="6" t="str">
        <f>IF(COUNTIF(PLANILLA!F$3:F$10000,A20)=0,"",COUNTIF(PLANILLA!F$3:F$10000,A20))</f>
        <v/>
      </c>
      <c r="C20" s="7"/>
      <c r="D20" s="7"/>
      <c r="E20" s="7"/>
      <c r="F20" s="7"/>
      <c r="G20" s="7"/>
      <c r="H20" s="9">
        <f>IF(SUM(H4:H19)=0,"",SUM(H4:H19))</f>
        <v>4</v>
      </c>
      <c r="I20" s="7"/>
      <c r="J20" s="5">
        <v>64</v>
      </c>
      <c r="K20" s="6" t="str">
        <f>IF(COUNTIF(PLANILLA!I$3:I$10000,J20)=0,"",COUNTIF(PLANILLA!I$3:I$10000,J20))</f>
        <v/>
      </c>
      <c r="L20" s="7"/>
      <c r="M20" s="7"/>
      <c r="N20" s="7"/>
      <c r="O20" s="7"/>
      <c r="P20" s="8"/>
      <c r="Q20" s="8"/>
      <c r="R20" s="7"/>
      <c r="S20" s="5">
        <v>46</v>
      </c>
      <c r="T20" s="6" t="str">
        <f>IF(COUNTIF(PLANILLA!L$3:L$10000,S20)=0,"",COUNTIF(PLANILLA!L$3:L$10000,S20))</f>
        <v/>
      </c>
    </row>
    <row r="21" spans="1:20" x14ac:dyDescent="0.25">
      <c r="A21" s="5">
        <v>66</v>
      </c>
      <c r="B21" s="6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6" t="str">
        <f>IF(COUNTIF(PLANILLA!I$3:I$10000,J21)=0,"",COUNTIF(PLANILLA!I$3:I$10000,J21))</f>
        <v/>
      </c>
      <c r="L21" s="7"/>
      <c r="M21" s="7"/>
      <c r="N21" s="7"/>
      <c r="O21" s="7"/>
      <c r="P21" s="8"/>
      <c r="Q21" s="8"/>
      <c r="R21" s="7"/>
      <c r="S21" s="5">
        <v>47</v>
      </c>
      <c r="T21" s="6" t="str">
        <f>IF(COUNTIF(PLANILLA!L$3:L$10000,S21)=0,"",COUNTIF(PLANILLA!L$3:L$10000,S21))</f>
        <v/>
      </c>
    </row>
    <row r="22" spans="1:20" ht="19.5" x14ac:dyDescent="0.3">
      <c r="A22" s="7"/>
      <c r="B22" s="9">
        <f>IF(SUM(B4:B21)=0,"",SUM(B4:B21))</f>
        <v>4</v>
      </c>
      <c r="C22" s="7"/>
      <c r="D22" s="7"/>
      <c r="E22" s="7"/>
      <c r="F22" s="7"/>
      <c r="G22" s="7"/>
      <c r="H22" s="7"/>
      <c r="I22" s="7"/>
      <c r="J22" s="8"/>
      <c r="K22" s="9">
        <f>IF(SUM(K4:K21)=0,"",SUM(K4:K21))</f>
        <v>4</v>
      </c>
      <c r="L22" s="7"/>
      <c r="M22" s="7"/>
      <c r="N22" s="7"/>
      <c r="O22" s="7"/>
      <c r="P22" s="8"/>
      <c r="Q22" s="8"/>
      <c r="R22" s="7"/>
      <c r="S22" s="5">
        <v>48</v>
      </c>
      <c r="T22" s="6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8"/>
      <c r="R23" s="7"/>
      <c r="S23" s="5">
        <v>49</v>
      </c>
      <c r="T23" s="6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8"/>
      <c r="R24" s="7"/>
      <c r="S24" s="5">
        <v>50</v>
      </c>
      <c r="T24" s="6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6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6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6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6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6" t="str">
        <f>IF(COUNTIF(PLANILLA!L$3:L$10000,S29)=0,"",COUNTIF(PLANILLA!L$3:L$10000,S29))</f>
        <v/>
      </c>
    </row>
    <row r="30" spans="1:20" ht="19.5" x14ac:dyDescent="0.3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9">
        <f>IF(SUM(T4:T29)=0,"",SUM(T4:T29))</f>
        <v>4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14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>
        <f>IF(TOTALES!B4="","",TOTALES!B4)</f>
        <v>2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>
        <f>IF(TOTALES!B8="","",TOTALES!B8)</f>
        <v>1</v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>
        <f>IF(TOTALES!B10="","",TOTALES!B10)</f>
        <v>1</v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9">
        <f>IF(SUM(B4:B21)=0,"",SUM(B4:B21))</f>
        <v>4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11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2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>
        <f>IF(TOTALES!E7="","",TOTALES!E7)</f>
        <v>1</v>
      </c>
    </row>
    <row r="8" spans="1:2" x14ac:dyDescent="0.25">
      <c r="A8" s="5" t="s">
        <v>2</v>
      </c>
      <c r="B8" s="6">
        <f>IF(TOTALES!E8="","",TOTALES!E8)</f>
        <v>1</v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19</v>
      </c>
      <c r="B13" s="6" t="str">
        <f>IF(TOTALES!E13="","",TOTALES!E13)</f>
        <v/>
      </c>
    </row>
    <row r="14" spans="1:2" x14ac:dyDescent="0.25">
      <c r="A14" s="5" t="s">
        <v>20</v>
      </c>
      <c r="B14" s="6" t="str">
        <f>IF(TOTALES!E14="","",TOTALES!E14)</f>
        <v/>
      </c>
    </row>
    <row r="15" spans="1:2" x14ac:dyDescent="0.25">
      <c r="A15" s="5" t="s">
        <v>22</v>
      </c>
      <c r="B15" s="6" t="str">
        <f>IF(TOTALES!E15="","",TOTALES!E15)</f>
        <v/>
      </c>
    </row>
    <row r="16" spans="1:2" ht="19.5" x14ac:dyDescent="0.3">
      <c r="A16" s="7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0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50</v>
      </c>
      <c r="B4" s="6">
        <f>IF(TOTALES!H4="","",TOTALES!H4)</f>
        <v>2</v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>
        <f>IF(TOTALES!H9="","",TOTALES!H9)</f>
        <v>1</v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9">
        <f>IF(SUM(B4:B19)=0,"",SUM(B4:B19))</f>
        <v>4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10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>
        <f>IF(TOTALES!K7="","",TOTALES!K7)</f>
        <v>2</v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>
        <f>IF(TOTALES!K9="","",TOTALES!K9)</f>
        <v>1</v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9">
        <f>IF(SUM(B4:B21)=0,"",SUM(B4:B21))</f>
        <v>4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12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IF(TOTALES!N4="","",TOTALES!N4)</f>
        <v/>
      </c>
    </row>
    <row r="5" spans="1:2" x14ac:dyDescent="0.25">
      <c r="A5" s="5" t="s">
        <v>8</v>
      </c>
      <c r="B5" s="6" t="str">
        <f>IF(TOTALES!N5="","",TOTALES!N5)</f>
        <v/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>
        <f>IF(TOTALES!N7="","",TOTALES!N7)</f>
        <v>1</v>
      </c>
    </row>
    <row r="8" spans="1:2" x14ac:dyDescent="0.25">
      <c r="A8" s="5" t="s">
        <v>2</v>
      </c>
      <c r="B8" s="6">
        <f>IF(TOTALES!N8="","",TOTALES!N8)</f>
        <v>2</v>
      </c>
    </row>
    <row r="9" spans="1:2" x14ac:dyDescent="0.25">
      <c r="A9" s="5" t="s">
        <v>1</v>
      </c>
      <c r="B9" s="6">
        <f>IF(TOTALES!N9="","",TOTALES!N9)</f>
        <v>1</v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19</v>
      </c>
      <c r="B13" s="6" t="str">
        <f>IF(TOTALES!N13="","",TOTALES!N13)</f>
        <v/>
      </c>
    </row>
    <row r="14" spans="1:2" x14ac:dyDescent="0.25">
      <c r="A14" s="5" t="s">
        <v>20</v>
      </c>
      <c r="B14" s="6" t="str">
        <f>IF(TOTALES!N14="","",TOTALES!N14)</f>
        <v/>
      </c>
    </row>
    <row r="15" spans="1:2" x14ac:dyDescent="0.25">
      <c r="A15" s="5" t="s">
        <v>22</v>
      </c>
      <c r="B15" s="6" t="str">
        <f>IF(TOTALES!N15="","",TOTALES!N15)</f>
        <v/>
      </c>
    </row>
    <row r="16" spans="1:2" ht="19.5" x14ac:dyDescent="0.3">
      <c r="A16" s="7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13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>
        <f>IF(TOTALES!Q6="","",TOTALES!Q6)</f>
        <v>2</v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>
        <f>IF(TOTALES!Q8="","",TOTALES!Q8)</f>
        <v>1</v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19</v>
      </c>
      <c r="B13" s="6" t="str">
        <f>IF(TOTALES!Q13="","",TOTALES!Q13)</f>
        <v/>
      </c>
    </row>
    <row r="14" spans="1:2" x14ac:dyDescent="0.25">
      <c r="A14" s="5" t="s">
        <v>20</v>
      </c>
      <c r="B14" s="6" t="str">
        <f>IF(TOTALES!Q14="","",TOTALES!Q14)</f>
        <v/>
      </c>
    </row>
    <row r="15" spans="1:2" x14ac:dyDescent="0.25">
      <c r="A15" s="5" t="s">
        <v>22</v>
      </c>
      <c r="B15" s="6" t="str">
        <f>IF(TOTALES!Q15="","",TOTALES!Q15)</f>
        <v/>
      </c>
    </row>
    <row r="16" spans="1:2" ht="19.5" x14ac:dyDescent="0.3">
      <c r="A16" s="8"/>
      <c r="B16" s="9">
        <f>IF(SUM(B4:B15)=0,"",SUM(B4:B15))</f>
        <v>4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6" t="s">
        <v>9</v>
      </c>
      <c r="B2" s="27"/>
    </row>
    <row r="3" spans="1:2" x14ac:dyDescent="0.25">
      <c r="A3" s="3" t="s">
        <v>23</v>
      </c>
      <c r="B3" s="4" t="s">
        <v>24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>
        <f>IF(TOTALES!T11="","",TOTALES!T11)</f>
        <v>1</v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>
        <f>IF(TOTALES!T13="","",TOTALES!T13)</f>
        <v>2</v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9">
        <f>IF(SUM(B4:B29)=0,"",SUM(B4:B29))</f>
        <v>4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2023-05-03T21:04:55Z</dcterms:modified>
</cp:coreProperties>
</file>