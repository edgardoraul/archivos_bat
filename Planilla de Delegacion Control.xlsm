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sharedStrings.xml><?xml version="1.0" encoding="utf-8"?>
<sst xmlns="http://schemas.openxmlformats.org/spreadsheetml/2006/main" count="446" uniqueCount="135">
  <si>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</si>
  <si>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</si>
  <si>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</si>
  <si>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</si>
  <si>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</si>
  <si>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</si>
  <si>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</si>
  <si>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</si>
  <si>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</si>
  <si>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</si>
  <si>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</si>
  <si>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</si>
  <si>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</si>
  <si>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</si>
  <si>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</si>
  <si>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</si>
  <si>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</si>
  <si>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</si>
  <si>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</si>
  <si>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</si>
  <si>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</si>
  <si>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</si>
  <si>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</si>
  <si>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</si>
  <si>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</si>
  <si>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</si>
  <si>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ACEVEDO</t>
  </si>
  <si>
    <t>RAUL</t>
  </si>
  <si>
    <t>LEANDRO</t>
  </si>
  <si>
    <t>ANDRADA</t>
  </si>
  <si>
    <t>OSCAR</t>
  </si>
  <si>
    <t>ANDRES</t>
  </si>
  <si>
    <t>DARIO</t>
  </si>
  <si>
    <t>ARANCIBIA</t>
  </si>
  <si>
    <t>CLAUDIA</t>
  </si>
  <si>
    <t>BASUALDO</t>
  </si>
  <si>
    <t>LUCAS</t>
  </si>
  <si>
    <t>BELTRAMO</t>
  </si>
  <si>
    <t>JORGE</t>
  </si>
  <si>
    <t>CAICEDO</t>
  </si>
  <si>
    <t>MARIO</t>
  </si>
  <si>
    <t>CARRION</t>
  </si>
  <si>
    <t>TAMARA</t>
  </si>
  <si>
    <t>TATIANA</t>
  </si>
  <si>
    <t>CORONEL</t>
  </si>
  <si>
    <t>CUELLO</t>
  </si>
  <si>
    <t>DORIS</t>
  </si>
  <si>
    <t>DEGIUSEPPE</t>
  </si>
  <si>
    <t>XAVIER</t>
  </si>
  <si>
    <t>DELGADO</t>
  </si>
  <si>
    <t>CLAUDIO</t>
  </si>
  <si>
    <t>DIAZ</t>
  </si>
  <si>
    <t>NICOLAS</t>
  </si>
  <si>
    <t>DUSCIO</t>
  </si>
  <si>
    <t>ESCOBAR</t>
  </si>
  <si>
    <t>JULIETA</t>
  </si>
  <si>
    <t>FERNANDEZ</t>
  </si>
  <si>
    <t>CARLOS</t>
  </si>
  <si>
    <t>NOELIA</t>
  </si>
  <si>
    <t>FLORES</t>
  </si>
  <si>
    <t>GONZALO</t>
  </si>
  <si>
    <t>MARTIN</t>
  </si>
  <si>
    <t>GARCIA</t>
  </si>
  <si>
    <t>MATIAS</t>
  </si>
  <si>
    <t>GASPAR</t>
  </si>
  <si>
    <t>LUIS</t>
  </si>
  <si>
    <t>GATICA</t>
  </si>
  <si>
    <t>LUCIANO</t>
  </si>
  <si>
    <t>GONZALEZ</t>
  </si>
  <si>
    <t>JAVIER</t>
  </si>
  <si>
    <t>GUIDOLIN</t>
  </si>
  <si>
    <t>BRAYAN</t>
  </si>
  <si>
    <t>HERNANDEZ</t>
  </si>
  <si>
    <t>KLOSTER</t>
  </si>
  <si>
    <t>SERGIO</t>
  </si>
  <si>
    <t>LEIVA</t>
  </si>
  <si>
    <t>JUAN</t>
  </si>
  <si>
    <t>LORENZO</t>
  </si>
  <si>
    <t>MARCELO</t>
  </si>
  <si>
    <t>LUCERO</t>
  </si>
  <si>
    <t>LUJAN</t>
  </si>
  <si>
    <t>XXXL</t>
  </si>
  <si>
    <t>SEBASTIAN</t>
  </si>
  <si>
    <t>MARIN</t>
  </si>
  <si>
    <t>FLAVIA</t>
  </si>
  <si>
    <t>MATURANO</t>
  </si>
  <si>
    <t>MENDEZ</t>
  </si>
  <si>
    <t>LEONARDO</t>
  </si>
  <si>
    <t>MIGUEL</t>
  </si>
  <si>
    <t>AGUSTIN</t>
  </si>
  <si>
    <t>MIRANDA</t>
  </si>
  <si>
    <t>JESUS</t>
  </si>
  <si>
    <t>MORALES</t>
  </si>
  <si>
    <t>MORAN</t>
  </si>
  <si>
    <t>MUÑOZ</t>
  </si>
  <si>
    <t>PABLO</t>
  </si>
  <si>
    <t>NATEL</t>
  </si>
  <si>
    <t>CRISTIAN</t>
  </si>
  <si>
    <t>NIEVAS</t>
  </si>
  <si>
    <t>DIEGO</t>
  </si>
  <si>
    <t>OJEDA</t>
  </si>
  <si>
    <t>FRANCO</t>
  </si>
  <si>
    <t>OLGUIN</t>
  </si>
  <si>
    <t>MAXIMILIANO</t>
  </si>
  <si>
    <t>ORTIZ</t>
  </si>
  <si>
    <t>PEDERNERA</t>
  </si>
  <si>
    <t>PEREYRA</t>
  </si>
  <si>
    <t>RAMOS</t>
  </si>
  <si>
    <t>RIERA</t>
  </si>
  <si>
    <t>IGNACIO</t>
  </si>
  <si>
    <t>RODRIGUEZ</t>
  </si>
  <si>
    <t>ELIZABETH</t>
  </si>
  <si>
    <t>ROMERO</t>
  </si>
  <si>
    <t>SAINZ</t>
  </si>
  <si>
    <t>JOAN</t>
  </si>
  <si>
    <t>SALVATIERRA</t>
  </si>
  <si>
    <t>SINGURI</t>
  </si>
  <si>
    <t>ROBERTO</t>
  </si>
  <si>
    <t>SOSA</t>
  </si>
  <si>
    <t>MICAELA</t>
  </si>
  <si>
    <t>TORRES</t>
  </si>
  <si>
    <t>MELISA</t>
  </si>
  <si>
    <t>ULLOA</t>
  </si>
  <si>
    <t>VILCHES</t>
  </si>
  <si>
    <t>VALENTINA</t>
  </si>
  <si>
    <t>ZAPATA</t>
  </si>
  <si>
    <t>ZARATE</t>
  </si>
  <si>
    <t>MARCO</t>
  </si>
  <si>
    <t>ZULETA</t>
  </si>
  <si>
    <t>ANGEL</t>
  </si>
  <si>
    <t>AGENTES DELEGACION "B"</t>
  </si>
  <si>
    <t>Para marcar</t>
  </si>
  <si>
    <t>Ctrl+May+M</t>
  </si>
  <si>
    <t>Para contar</t>
  </si>
  <si>
    <t>Ctrl+May+J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</si>
</sst>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1" xfId="1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6" fillId="0" borderId="2" xfId="1" applyFont="1" applyBorder="1" applyAlignment="1" applyProtection="1">
      <alignment horizontal="center"/>
    </xf>
    <xf numFmtId="0" fontId="0" fillId="2" borderId="5" xfId="0" applyFill="1" applyBorder="1" applyProtection="1"/>
    <xf numFmtId="0" fontId="0" fillId="3" borderId="5" xfId="0" applyFill="1" applyBorder="1" applyProtection="1"/>
    <xf numFmtId="0" fontId="0" fillId="2" borderId="8" xfId="0" applyFill="1" applyBorder="1" applyProtection="1"/>
    <xf numFmtId="0" fontId="0" fillId="3" borderId="8" xfId="0" applyFill="1" applyBorder="1" applyProtection="1"/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66"/>
  <sheetViews>
    <sheetView tabSelected="1" zoomScaleNormal="100" workbookViewId="0">
      <pane ySplit="2" topLeftCell="A3" activePane="bottomLeft" state="frozen"/>
      <selection pane="bottomLeft" activeCell="H5" sqref="H5"/>
    </sheetView>
  </sheetViews>
  <sheetFormatPr baseColWidth="10" defaultRowHeight="15" x14ac:dyDescent="0.25"/>
  <cols>
    <col min="1" max="1" width="6.140625" style="13" customWidth="1"/>
    <col min="2" max="2" width="7.85546875" style="29" customWidth="1"/>
    <col min="3" max="3" width="11.85546875" style="14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4" ht="18.75" x14ac:dyDescent="0.3">
      <c r="A1" s="36" t="s">
        <v>130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7" t="s">
        <v>131</v>
      </c>
      <c r="N1" s="38" t="s">
        <v>133</v>
      </c>
    </row>
    <row r="2" spans="1:14" x14ac:dyDescent="0.25">
      <c r="A2" s="11" t="s">
        <v>25</v>
      </c>
      <c r="B2" s="11" t="s">
        <v>18</v>
      </c>
      <c r="C2" s="9" t="s">
        <v>17</v>
      </c>
      <c r="D2" s="12" t="s">
        <v>15</v>
      </c>
      <c r="E2" s="9" t="s">
        <v>16</v>
      </c>
      <c r="F2" s="9" t="s">
        <v>14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11" t="s">
        <v>9</v>
      </c>
      <c r="M2" s="39" t="s">
        <v>132</v>
      </c>
      <c r="N2" s="40" t="s">
        <v>134</v>
      </c>
    </row>
    <row r="3" spans="1:14" x14ac:dyDescent="0.25">
      <c r="A3" s="17">
        <v>1</v>
      </c>
      <c r="B3" s="32">
        <v>5608</v>
      </c>
      <c r="C3" s="15">
        <v>37137843</v>
      </c>
      <c r="D3" s="10" t="s">
        <v>26</v>
      </c>
      <c r="E3" s="19" t="s">
        <v>27</v>
      </c>
      <c r="F3" s="30">
        <v>44</v>
      </c>
      <c r="G3" s="22" t="s">
        <v>3</v>
      </c>
      <c r="H3" s="18">
        <v>56</v>
      </c>
      <c r="I3" s="18">
        <v>48</v>
      </c>
      <c r="J3" s="18" t="s">
        <v>3</v>
      </c>
      <c r="K3" s="18" t="s">
        <v>3</v>
      </c>
      <c r="L3" s="18">
        <v>42</v>
      </c>
    </row>
    <row r="4" spans="1:14" x14ac:dyDescent="0.25">
      <c r="A4" s="16">
        <v>2</v>
      </c>
      <c r="B4" s="29">
        <v>5576</v>
      </c>
      <c r="C4" s="14">
        <v>39084966</v>
      </c>
      <c r="D4" s="1" t="s">
        <v>26</v>
      </c>
      <c r="E4" s="1" t="s">
        <v>28</v>
      </c>
      <c r="F4" s="29">
        <v>44</v>
      </c>
      <c r="G4" s="29" t="s">
        <v>3</v>
      </c>
      <c r="H4" s="29">
        <v>59</v>
      </c>
      <c r="I4" s="29">
        <v>46</v>
      </c>
      <c r="J4" s="29" t="s">
        <v>3</v>
      </c>
      <c r="K4" s="29" t="s">
        <v>3</v>
      </c>
      <c r="L4" s="29">
        <v>42</v>
      </c>
    </row>
    <row r="5" spans="1:14" x14ac:dyDescent="0.25">
      <c r="A5" s="16">
        <v>3</v>
      </c>
      <c r="B5" s="29">
        <v>5652</v>
      </c>
      <c r="C5" s="14">
        <v>41660305</v>
      </c>
      <c r="D5" s="1" t="s">
        <v>29</v>
      </c>
      <c r="E5" s="1" t="s">
        <v>30</v>
      </c>
      <c r="F5" s="29">
        <v>42</v>
      </c>
      <c r="G5" s="27" t="s">
        <v>1</v>
      </c>
      <c r="H5" s="27">
        <v>59</v>
      </c>
      <c r="I5" s="29">
        <v>42</v>
      </c>
      <c r="J5" s="29" t="s">
        <v>1</v>
      </c>
      <c r="K5" s="27" t="s">
        <v>1</v>
      </c>
      <c r="L5" s="29">
        <v>40</v>
      </c>
    </row>
    <row r="6" spans="1:14" x14ac:dyDescent="0.25">
      <c r="A6" s="16">
        <v>4</v>
      </c>
      <c r="B6" s="31">
        <v>5642</v>
      </c>
      <c r="C6" s="14">
        <v>44438036</v>
      </c>
      <c r="D6" s="1" t="s">
        <v>31</v>
      </c>
      <c r="E6" s="1" t="s">
        <v>32</v>
      </c>
      <c r="F6" s="29">
        <v>40</v>
      </c>
      <c r="G6" s="29" t="s">
        <v>2</v>
      </c>
      <c r="H6" s="29">
        <v>57</v>
      </c>
      <c r="I6" s="29">
        <v>42</v>
      </c>
      <c r="J6" s="29" t="s">
        <v>2</v>
      </c>
      <c r="K6" s="29" t="s">
        <v>2</v>
      </c>
      <c r="L6" s="29">
        <v>41</v>
      </c>
    </row>
    <row r="7" spans="1:14" x14ac:dyDescent="0.25">
      <c r="A7" s="16">
        <v>5</v>
      </c>
      <c r="B7" s="31">
        <v>5670</v>
      </c>
      <c r="C7" s="14">
        <v>33821501</v>
      </c>
      <c r="D7" s="1" t="s">
        <v>33</v>
      </c>
      <c r="E7" s="1" t="s">
        <v>34</v>
      </c>
      <c r="F7" s="27">
        <v>38</v>
      </c>
      <c r="G7" s="29" t="s">
        <v>2</v>
      </c>
      <c r="H7" s="29">
        <v>56</v>
      </c>
      <c r="I7" s="27">
        <v>42</v>
      </c>
      <c r="J7" s="29" t="s">
        <v>4</v>
      </c>
      <c r="K7" s="29" t="s">
        <v>4</v>
      </c>
      <c r="L7" s="29">
        <v>38</v>
      </c>
    </row>
    <row r="8" spans="1:14" x14ac:dyDescent="0.25">
      <c r="A8" s="16">
        <v>6</v>
      </c>
      <c r="B8" s="31">
        <v>5611</v>
      </c>
      <c r="C8" s="14">
        <v>36767411</v>
      </c>
      <c r="D8" s="1" t="s">
        <v>35</v>
      </c>
      <c r="E8" s="1" t="s">
        <v>36</v>
      </c>
      <c r="F8" s="29">
        <v>42</v>
      </c>
      <c r="G8" s="29" t="s">
        <v>6</v>
      </c>
      <c r="H8" s="29">
        <v>58</v>
      </c>
      <c r="I8" s="27">
        <v>44</v>
      </c>
      <c r="J8" s="29" t="s">
        <v>1</v>
      </c>
      <c r="K8" s="29" t="s">
        <v>1</v>
      </c>
      <c r="L8" s="29">
        <v>41</v>
      </c>
    </row>
    <row r="9" spans="1:14" x14ac:dyDescent="0.25">
      <c r="A9" s="16">
        <v>7</v>
      </c>
      <c r="B9" s="31">
        <v>5606</v>
      </c>
      <c r="C9" s="14">
        <v>39019581</v>
      </c>
      <c r="D9" s="1" t="s">
        <v>37</v>
      </c>
      <c r="E9" s="1" t="s">
        <v>38</v>
      </c>
      <c r="F9" s="29">
        <v>44</v>
      </c>
      <c r="G9" s="29" t="s">
        <v>6</v>
      </c>
      <c r="H9" s="29">
        <v>58</v>
      </c>
      <c r="I9" s="29">
        <v>48</v>
      </c>
      <c r="J9" s="29" t="s">
        <v>3</v>
      </c>
      <c r="K9" s="29" t="s">
        <v>3</v>
      </c>
      <c r="L9" s="29">
        <v>42</v>
      </c>
    </row>
    <row r="10" spans="1:14" x14ac:dyDescent="0.25">
      <c r="A10" s="16">
        <v>8</v>
      </c>
      <c r="B10" s="31">
        <v>5634</v>
      </c>
      <c r="C10" s="14">
        <v>42509069</v>
      </c>
      <c r="D10" s="1" t="s">
        <v>39</v>
      </c>
      <c r="E10" s="1" t="s">
        <v>40</v>
      </c>
      <c r="F10" s="29">
        <v>42</v>
      </c>
      <c r="G10" s="29" t="s">
        <v>1</v>
      </c>
      <c r="H10" s="29">
        <v>59</v>
      </c>
      <c r="I10" s="27">
        <v>44</v>
      </c>
      <c r="J10" s="29" t="s">
        <v>1</v>
      </c>
      <c r="K10" s="29" t="s">
        <v>3</v>
      </c>
      <c r="L10" s="29">
        <v>42</v>
      </c>
    </row>
    <row r="11" spans="1:14" x14ac:dyDescent="0.25">
      <c r="A11" s="16">
        <v>9</v>
      </c>
      <c r="B11" s="31">
        <v>5677</v>
      </c>
      <c r="C11" s="14">
        <v>41271099</v>
      </c>
      <c r="D11" s="1" t="s">
        <v>41</v>
      </c>
      <c r="E11" s="1" t="s">
        <v>42</v>
      </c>
      <c r="F11" s="29">
        <v>34</v>
      </c>
      <c r="G11" s="29" t="s">
        <v>8</v>
      </c>
      <c r="H11" s="29">
        <v>56</v>
      </c>
      <c r="I11" s="29">
        <v>38</v>
      </c>
      <c r="J11" s="29" t="s">
        <v>5</v>
      </c>
      <c r="K11" s="29" t="s">
        <v>5</v>
      </c>
      <c r="L11" s="29">
        <v>37</v>
      </c>
    </row>
    <row r="12" spans="1:14" x14ac:dyDescent="0.25">
      <c r="A12" s="16">
        <v>10</v>
      </c>
      <c r="B12" s="31">
        <v>5680</v>
      </c>
      <c r="C12" s="14">
        <v>37964317</v>
      </c>
      <c r="D12" s="1" t="s">
        <v>41</v>
      </c>
      <c r="E12" s="1" t="s">
        <v>43</v>
      </c>
      <c r="F12" s="29">
        <v>40</v>
      </c>
      <c r="G12" s="29" t="s">
        <v>4</v>
      </c>
      <c r="H12" s="29">
        <v>57</v>
      </c>
      <c r="I12" s="29">
        <v>44</v>
      </c>
      <c r="J12" s="29" t="s">
        <v>2</v>
      </c>
      <c r="K12" s="29" t="s">
        <v>2</v>
      </c>
      <c r="L12" s="29">
        <v>39</v>
      </c>
    </row>
    <row r="13" spans="1:14" x14ac:dyDescent="0.25">
      <c r="A13" s="16">
        <v>11</v>
      </c>
      <c r="B13" s="31">
        <v>5667</v>
      </c>
      <c r="C13" s="14">
        <v>42750488</v>
      </c>
      <c r="D13" s="1" t="s">
        <v>44</v>
      </c>
      <c r="E13" s="1" t="s">
        <v>28</v>
      </c>
      <c r="F13" s="29">
        <v>42</v>
      </c>
      <c r="G13" s="29" t="s">
        <v>3</v>
      </c>
      <c r="H13" s="29">
        <v>59</v>
      </c>
      <c r="I13" s="29">
        <v>46</v>
      </c>
      <c r="J13" s="29" t="s">
        <v>1</v>
      </c>
      <c r="K13" s="29" t="s">
        <v>1</v>
      </c>
      <c r="L13" s="29">
        <v>41</v>
      </c>
    </row>
    <row r="14" spans="1:14" x14ac:dyDescent="0.25">
      <c r="A14" s="16">
        <v>12</v>
      </c>
      <c r="B14" s="31">
        <v>5675</v>
      </c>
      <c r="C14" s="14">
        <v>35937940</v>
      </c>
      <c r="D14" s="1" t="s">
        <v>45</v>
      </c>
      <c r="E14" s="1" t="s">
        <v>46</v>
      </c>
      <c r="F14" s="27">
        <v>38</v>
      </c>
      <c r="G14" s="29" t="s">
        <v>4</v>
      </c>
      <c r="H14" s="29">
        <v>56</v>
      </c>
      <c r="I14" s="29">
        <v>44</v>
      </c>
      <c r="J14" s="29" t="s">
        <v>2</v>
      </c>
      <c r="K14" s="29" t="s">
        <v>1</v>
      </c>
      <c r="L14" s="29">
        <v>39</v>
      </c>
    </row>
    <row r="15" spans="1:14" x14ac:dyDescent="0.25">
      <c r="A15" s="16">
        <v>13</v>
      </c>
      <c r="B15" s="31">
        <v>5658</v>
      </c>
      <c r="C15" s="14">
        <v>37136579</v>
      </c>
      <c r="D15" s="1" t="s">
        <v>47</v>
      </c>
      <c r="E15" s="1" t="s">
        <v>48</v>
      </c>
      <c r="F15" s="29">
        <v>42</v>
      </c>
      <c r="G15" s="29" t="s">
        <v>1</v>
      </c>
      <c r="H15" s="29">
        <v>57</v>
      </c>
      <c r="I15" s="29">
        <v>44</v>
      </c>
      <c r="J15" s="29" t="s">
        <v>1</v>
      </c>
      <c r="K15" s="29" t="s">
        <v>1</v>
      </c>
      <c r="L15" s="29">
        <v>41</v>
      </c>
    </row>
    <row r="16" spans="1:14" x14ac:dyDescent="0.25">
      <c r="A16" s="16">
        <v>14</v>
      </c>
      <c r="B16" s="31">
        <v>5628</v>
      </c>
      <c r="C16" s="14">
        <v>34607254</v>
      </c>
      <c r="D16" s="1" t="s">
        <v>49</v>
      </c>
      <c r="E16" s="1" t="s">
        <v>50</v>
      </c>
      <c r="F16" s="29">
        <v>42</v>
      </c>
      <c r="G16" s="29" t="s">
        <v>3</v>
      </c>
      <c r="H16" s="29">
        <v>59</v>
      </c>
      <c r="I16" s="29">
        <v>46</v>
      </c>
      <c r="J16" s="29" t="s">
        <v>1</v>
      </c>
      <c r="K16" s="29" t="s">
        <v>1</v>
      </c>
      <c r="L16" s="29">
        <v>43</v>
      </c>
    </row>
    <row r="17" spans="1:12" x14ac:dyDescent="0.25">
      <c r="A17" s="16">
        <v>15</v>
      </c>
      <c r="B17" s="31">
        <v>5573</v>
      </c>
      <c r="C17" s="14">
        <v>37623494</v>
      </c>
      <c r="D17" s="1" t="s">
        <v>51</v>
      </c>
      <c r="E17" s="1" t="s">
        <v>52</v>
      </c>
      <c r="F17" s="29">
        <v>42</v>
      </c>
      <c r="G17" s="29" t="s">
        <v>3</v>
      </c>
      <c r="H17" s="29">
        <v>59</v>
      </c>
      <c r="I17" s="29">
        <v>44</v>
      </c>
      <c r="J17" s="29" t="s">
        <v>1</v>
      </c>
      <c r="K17" s="29" t="s">
        <v>1</v>
      </c>
      <c r="L17" s="29">
        <v>45</v>
      </c>
    </row>
    <row r="18" spans="1:12" x14ac:dyDescent="0.25">
      <c r="A18" s="16">
        <v>16</v>
      </c>
      <c r="B18" s="31">
        <v>5590</v>
      </c>
      <c r="C18" s="14">
        <v>36812634</v>
      </c>
      <c r="D18" s="1" t="s">
        <v>53</v>
      </c>
      <c r="E18" s="1" t="s">
        <v>28</v>
      </c>
      <c r="F18" s="29">
        <v>40</v>
      </c>
      <c r="G18" s="29" t="s">
        <v>2</v>
      </c>
      <c r="H18" s="29">
        <v>56</v>
      </c>
      <c r="I18" s="29">
        <v>42</v>
      </c>
      <c r="J18" s="29" t="s">
        <v>2</v>
      </c>
      <c r="K18" s="29" t="s">
        <v>2</v>
      </c>
      <c r="L18" s="29">
        <v>40</v>
      </c>
    </row>
    <row r="19" spans="1:12" x14ac:dyDescent="0.25">
      <c r="A19" s="16">
        <v>17</v>
      </c>
      <c r="B19" s="29">
        <v>1</v>
      </c>
      <c r="C19" s="14">
        <v>1</v>
      </c>
      <c r="D19" s="1" t="s">
        <v>54</v>
      </c>
      <c r="E19" s="1" t="s">
        <v>55</v>
      </c>
      <c r="F19" s="29">
        <v>36</v>
      </c>
      <c r="G19" s="29" t="s">
        <v>4</v>
      </c>
      <c r="H19" s="29">
        <v>57</v>
      </c>
      <c r="I19" s="29">
        <v>44</v>
      </c>
      <c r="J19" s="29" t="s">
        <v>4</v>
      </c>
      <c r="K19" s="29" t="s">
        <v>4</v>
      </c>
      <c r="L19" s="29">
        <v>38</v>
      </c>
    </row>
    <row r="20" spans="1:12" x14ac:dyDescent="0.25">
      <c r="A20" s="16">
        <v>18</v>
      </c>
      <c r="B20" s="31">
        <v>5644</v>
      </c>
      <c r="C20" s="14">
        <v>39602708</v>
      </c>
      <c r="D20" s="1" t="s">
        <v>56</v>
      </c>
      <c r="E20" s="1" t="s">
        <v>57</v>
      </c>
      <c r="F20" s="29">
        <v>44</v>
      </c>
      <c r="G20" s="29" t="s">
        <v>1</v>
      </c>
      <c r="H20" s="29">
        <v>58</v>
      </c>
      <c r="I20" s="29">
        <v>48</v>
      </c>
      <c r="J20" s="29" t="s">
        <v>3</v>
      </c>
      <c r="K20" s="29" t="s">
        <v>3</v>
      </c>
      <c r="L20" s="29">
        <v>42</v>
      </c>
    </row>
    <row r="21" spans="1:12" x14ac:dyDescent="0.25">
      <c r="A21" s="16">
        <v>19</v>
      </c>
      <c r="B21" s="31">
        <v>5687</v>
      </c>
      <c r="C21" s="14">
        <v>37426939</v>
      </c>
      <c r="D21" s="1" t="s">
        <v>56</v>
      </c>
      <c r="E21" s="1" t="s">
        <v>58</v>
      </c>
      <c r="F21" s="29">
        <v>38</v>
      </c>
      <c r="G21" s="29" t="s">
        <v>4</v>
      </c>
      <c r="H21" s="29">
        <v>58</v>
      </c>
      <c r="I21" s="29">
        <v>42</v>
      </c>
      <c r="J21" s="29" t="s">
        <v>4</v>
      </c>
      <c r="K21" s="29" t="s">
        <v>4</v>
      </c>
      <c r="L21" s="29">
        <v>37</v>
      </c>
    </row>
    <row r="22" spans="1:12" x14ac:dyDescent="0.25">
      <c r="A22" s="16">
        <v>20</v>
      </c>
      <c r="B22" s="31">
        <v>5600</v>
      </c>
      <c r="C22" s="14">
        <v>41368304</v>
      </c>
      <c r="D22" s="1" t="s">
        <v>59</v>
      </c>
      <c r="E22" s="1" t="s">
        <v>60</v>
      </c>
      <c r="F22" s="29">
        <v>46</v>
      </c>
      <c r="G22" s="29" t="s">
        <v>3</v>
      </c>
      <c r="H22" s="29">
        <v>56</v>
      </c>
      <c r="I22" s="29">
        <v>50</v>
      </c>
      <c r="J22" s="29" t="s">
        <v>3</v>
      </c>
      <c r="K22" s="29" t="s">
        <v>6</v>
      </c>
      <c r="L22" s="29">
        <v>45</v>
      </c>
    </row>
    <row r="23" spans="1:12" x14ac:dyDescent="0.25">
      <c r="A23" s="16">
        <v>21</v>
      </c>
      <c r="B23" s="31">
        <v>5597</v>
      </c>
      <c r="C23" s="14">
        <v>36812626</v>
      </c>
      <c r="D23" s="1" t="s">
        <v>59</v>
      </c>
      <c r="E23" s="1" t="s">
        <v>61</v>
      </c>
      <c r="F23" s="29">
        <v>42</v>
      </c>
      <c r="G23" s="29" t="s">
        <v>4</v>
      </c>
      <c r="H23" s="29">
        <v>57</v>
      </c>
      <c r="I23" s="29">
        <v>42</v>
      </c>
      <c r="J23" s="29" t="s">
        <v>1</v>
      </c>
      <c r="K23" s="29" t="s">
        <v>1</v>
      </c>
      <c r="L23" s="29">
        <v>40</v>
      </c>
    </row>
    <row r="24" spans="1:12" x14ac:dyDescent="0.25">
      <c r="A24" s="16">
        <v>22</v>
      </c>
      <c r="B24" s="31">
        <v>5605</v>
      </c>
      <c r="C24" s="14">
        <v>40925990</v>
      </c>
      <c r="D24" s="1" t="s">
        <v>62</v>
      </c>
      <c r="E24" s="1" t="s">
        <v>63</v>
      </c>
      <c r="F24" s="29">
        <v>42</v>
      </c>
      <c r="G24" s="29" t="s">
        <v>1</v>
      </c>
      <c r="H24" s="29">
        <v>60</v>
      </c>
      <c r="I24" s="29">
        <v>42</v>
      </c>
      <c r="J24" s="29" t="s">
        <v>1</v>
      </c>
      <c r="K24" s="29" t="s">
        <v>3</v>
      </c>
      <c r="L24" s="29">
        <v>43</v>
      </c>
    </row>
    <row r="25" spans="1:12" x14ac:dyDescent="0.25">
      <c r="A25" s="16">
        <v>23</v>
      </c>
      <c r="B25" s="31">
        <v>5620</v>
      </c>
      <c r="C25" s="14">
        <v>41364882</v>
      </c>
      <c r="D25" s="1" t="s">
        <v>64</v>
      </c>
      <c r="E25" s="1" t="s">
        <v>65</v>
      </c>
      <c r="F25" s="29">
        <v>40</v>
      </c>
      <c r="G25" s="29" t="s">
        <v>2</v>
      </c>
      <c r="H25" s="29">
        <v>57</v>
      </c>
      <c r="I25" s="29">
        <v>42</v>
      </c>
      <c r="J25" s="29" t="s">
        <v>2</v>
      </c>
      <c r="K25" s="29" t="s">
        <v>2</v>
      </c>
      <c r="L25" s="29">
        <v>41</v>
      </c>
    </row>
    <row r="26" spans="1:12" x14ac:dyDescent="0.25">
      <c r="A26" s="16">
        <v>24</v>
      </c>
      <c r="B26" s="31">
        <v>5635</v>
      </c>
      <c r="C26" s="14">
        <v>42510645</v>
      </c>
      <c r="D26" s="1" t="s">
        <v>66</v>
      </c>
      <c r="E26" s="1" t="s">
        <v>67</v>
      </c>
      <c r="F26" s="29">
        <v>42</v>
      </c>
      <c r="G26" s="29" t="s">
        <v>1</v>
      </c>
      <c r="H26" s="29">
        <v>57</v>
      </c>
      <c r="I26" s="29">
        <v>42</v>
      </c>
      <c r="J26" s="29" t="s">
        <v>1</v>
      </c>
      <c r="K26" s="29" t="s">
        <v>3</v>
      </c>
      <c r="L26" s="29">
        <v>42</v>
      </c>
    </row>
    <row r="27" spans="1:12" x14ac:dyDescent="0.25">
      <c r="A27" s="16">
        <v>25</v>
      </c>
      <c r="B27" s="31">
        <v>5585</v>
      </c>
      <c r="C27" s="14">
        <v>43638589</v>
      </c>
      <c r="D27" s="1" t="s">
        <v>68</v>
      </c>
      <c r="E27" s="1" t="s">
        <v>69</v>
      </c>
      <c r="F27" s="29">
        <v>42</v>
      </c>
      <c r="G27" s="29" t="s">
        <v>1</v>
      </c>
      <c r="H27" s="29">
        <v>57</v>
      </c>
      <c r="I27" s="29">
        <v>46</v>
      </c>
      <c r="J27" s="29" t="s">
        <v>1</v>
      </c>
      <c r="K27" s="29" t="s">
        <v>3</v>
      </c>
      <c r="L27" s="29">
        <v>43</v>
      </c>
    </row>
    <row r="28" spans="1:12" x14ac:dyDescent="0.25">
      <c r="A28" s="16">
        <v>26</v>
      </c>
      <c r="B28" s="31">
        <v>5632</v>
      </c>
      <c r="C28" s="14">
        <v>43690507</v>
      </c>
      <c r="D28" s="1" t="s">
        <v>70</v>
      </c>
      <c r="E28" s="1" t="s">
        <v>71</v>
      </c>
      <c r="F28" s="29">
        <v>42</v>
      </c>
      <c r="G28" s="29" t="s">
        <v>3</v>
      </c>
      <c r="H28" s="29">
        <v>59</v>
      </c>
      <c r="I28" s="29">
        <v>46</v>
      </c>
      <c r="J28" s="29" t="s">
        <v>1</v>
      </c>
      <c r="K28" s="29" t="s">
        <v>1</v>
      </c>
      <c r="L28" s="29">
        <v>43</v>
      </c>
    </row>
    <row r="29" spans="1:12" x14ac:dyDescent="0.25">
      <c r="A29" s="16">
        <v>27</v>
      </c>
      <c r="B29" s="31">
        <v>5650</v>
      </c>
      <c r="C29" s="14">
        <v>36999681</v>
      </c>
      <c r="D29" s="1" t="s">
        <v>72</v>
      </c>
      <c r="E29" s="1" t="s">
        <v>63</v>
      </c>
      <c r="F29" s="29">
        <v>46</v>
      </c>
      <c r="G29" s="29" t="s">
        <v>3</v>
      </c>
      <c r="H29" s="29">
        <v>58</v>
      </c>
      <c r="I29" s="29">
        <v>48</v>
      </c>
      <c r="J29" s="29" t="s">
        <v>3</v>
      </c>
      <c r="K29" s="29" t="s">
        <v>6</v>
      </c>
      <c r="L29" s="29"/>
    </row>
    <row r="30" spans="1:12" x14ac:dyDescent="0.25">
      <c r="A30" s="16">
        <v>28</v>
      </c>
      <c r="B30" s="31">
        <v>5572</v>
      </c>
      <c r="C30" s="14">
        <v>37086895</v>
      </c>
      <c r="D30" s="1" t="s">
        <v>73</v>
      </c>
      <c r="E30" s="1" t="s">
        <v>74</v>
      </c>
      <c r="F30" s="29">
        <v>38</v>
      </c>
      <c r="G30" s="29" t="s">
        <v>2</v>
      </c>
      <c r="H30" s="29">
        <v>56</v>
      </c>
      <c r="I30" s="29">
        <v>40</v>
      </c>
      <c r="J30" s="29" t="s">
        <v>2</v>
      </c>
      <c r="K30" s="29" t="s">
        <v>1</v>
      </c>
      <c r="L30" s="29">
        <v>43</v>
      </c>
    </row>
    <row r="31" spans="1:12" x14ac:dyDescent="0.25">
      <c r="A31" s="16">
        <v>29</v>
      </c>
      <c r="B31" s="31">
        <v>5646</v>
      </c>
      <c r="C31" s="14">
        <v>41644961</v>
      </c>
      <c r="D31" s="1" t="s">
        <v>75</v>
      </c>
      <c r="E31" s="1" t="s">
        <v>76</v>
      </c>
      <c r="F31" s="29">
        <v>44</v>
      </c>
      <c r="G31" s="29" t="s">
        <v>1</v>
      </c>
      <c r="H31" s="29">
        <v>57</v>
      </c>
      <c r="I31" s="29">
        <v>48</v>
      </c>
      <c r="J31" s="29" t="s">
        <v>3</v>
      </c>
      <c r="K31" s="29" t="s">
        <v>3</v>
      </c>
      <c r="L31" s="29">
        <v>43</v>
      </c>
    </row>
    <row r="32" spans="1:12" x14ac:dyDescent="0.25">
      <c r="A32" s="16">
        <v>30</v>
      </c>
      <c r="B32" s="31">
        <v>5563</v>
      </c>
      <c r="C32" s="14">
        <v>43750657</v>
      </c>
      <c r="D32" s="1" t="s">
        <v>77</v>
      </c>
      <c r="E32" s="1" t="s">
        <v>78</v>
      </c>
      <c r="F32" s="29">
        <v>48</v>
      </c>
      <c r="G32" s="29" t="s">
        <v>6</v>
      </c>
      <c r="H32" s="29">
        <v>60</v>
      </c>
      <c r="I32" s="29">
        <v>58</v>
      </c>
      <c r="J32" s="29" t="s">
        <v>7</v>
      </c>
      <c r="K32" s="29" t="s">
        <v>7</v>
      </c>
      <c r="L32" s="29">
        <v>43</v>
      </c>
    </row>
    <row r="33" spans="1:12" x14ac:dyDescent="0.25">
      <c r="A33" s="16">
        <v>31</v>
      </c>
      <c r="B33" s="31">
        <v>5618</v>
      </c>
      <c r="C33" s="14">
        <v>38207855</v>
      </c>
      <c r="D33" s="1" t="s">
        <v>79</v>
      </c>
      <c r="E33" s="1" t="s">
        <v>69</v>
      </c>
      <c r="F33" s="29">
        <v>44</v>
      </c>
      <c r="G33" s="29" t="s">
        <v>3</v>
      </c>
      <c r="H33" s="29">
        <v>60</v>
      </c>
      <c r="I33" s="29">
        <v>50</v>
      </c>
      <c r="J33" s="29" t="s">
        <v>3</v>
      </c>
      <c r="K33" s="29" t="s">
        <v>3</v>
      </c>
      <c r="L33" s="29"/>
    </row>
    <row r="34" spans="1:12" x14ac:dyDescent="0.25">
      <c r="A34" s="16">
        <v>32</v>
      </c>
      <c r="B34" s="31">
        <v>5660</v>
      </c>
      <c r="C34" s="14">
        <v>38909402</v>
      </c>
      <c r="D34" s="1" t="s">
        <v>80</v>
      </c>
      <c r="E34" s="1" t="s">
        <v>63</v>
      </c>
      <c r="F34" s="29">
        <v>42</v>
      </c>
      <c r="G34" s="29" t="s">
        <v>81</v>
      </c>
      <c r="H34" s="29">
        <v>60</v>
      </c>
      <c r="I34" s="29">
        <v>44</v>
      </c>
      <c r="J34" s="29" t="s">
        <v>1</v>
      </c>
      <c r="K34" s="29" t="s">
        <v>1</v>
      </c>
      <c r="L34" s="29">
        <v>42</v>
      </c>
    </row>
    <row r="35" spans="1:12" x14ac:dyDescent="0.25">
      <c r="A35" s="16">
        <v>33</v>
      </c>
      <c r="B35" s="31">
        <v>5664</v>
      </c>
      <c r="C35" s="14">
        <v>35626747</v>
      </c>
      <c r="D35" s="1" t="s">
        <v>80</v>
      </c>
      <c r="E35" s="1" t="s">
        <v>82</v>
      </c>
      <c r="F35" s="29">
        <v>48</v>
      </c>
      <c r="G35" s="29" t="s">
        <v>1</v>
      </c>
      <c r="H35" s="29">
        <v>58</v>
      </c>
      <c r="I35" s="29">
        <v>54</v>
      </c>
      <c r="J35" s="29" t="s">
        <v>6</v>
      </c>
      <c r="K35" s="29" t="s">
        <v>6</v>
      </c>
      <c r="L35" s="29">
        <v>45</v>
      </c>
    </row>
    <row r="36" spans="1:12" x14ac:dyDescent="0.25">
      <c r="A36" s="16">
        <v>34</v>
      </c>
      <c r="B36" s="31">
        <v>5668</v>
      </c>
      <c r="C36" s="14">
        <v>35937684</v>
      </c>
      <c r="D36" s="1" t="s">
        <v>83</v>
      </c>
      <c r="E36" s="1" t="s">
        <v>84</v>
      </c>
      <c r="F36" s="29">
        <v>38</v>
      </c>
      <c r="G36" s="29" t="s">
        <v>4</v>
      </c>
      <c r="H36" s="29">
        <v>58</v>
      </c>
      <c r="I36" s="29">
        <v>44</v>
      </c>
      <c r="J36" s="29" t="s">
        <v>2</v>
      </c>
      <c r="K36" s="29" t="s">
        <v>2</v>
      </c>
      <c r="L36" s="29">
        <v>37</v>
      </c>
    </row>
    <row r="37" spans="1:12" x14ac:dyDescent="0.25">
      <c r="A37" s="16">
        <v>35</v>
      </c>
      <c r="B37" s="31">
        <v>5665</v>
      </c>
      <c r="C37" s="14">
        <v>42669873</v>
      </c>
      <c r="D37" s="1" t="s">
        <v>85</v>
      </c>
      <c r="E37" s="1" t="s">
        <v>52</v>
      </c>
      <c r="F37" s="29">
        <v>44</v>
      </c>
      <c r="G37" s="29" t="s">
        <v>1</v>
      </c>
      <c r="H37" s="29">
        <v>57</v>
      </c>
      <c r="I37" s="29">
        <v>46</v>
      </c>
      <c r="J37" s="29" t="s">
        <v>3</v>
      </c>
      <c r="K37" s="29" t="s">
        <v>3</v>
      </c>
      <c r="L37" s="29">
        <v>41</v>
      </c>
    </row>
    <row r="38" spans="1:12" x14ac:dyDescent="0.25">
      <c r="A38" s="16">
        <v>36</v>
      </c>
      <c r="B38" s="31">
        <v>5580</v>
      </c>
      <c r="C38" s="14">
        <v>41967328</v>
      </c>
      <c r="D38" s="1" t="s">
        <v>86</v>
      </c>
      <c r="E38" s="1" t="s">
        <v>87</v>
      </c>
      <c r="F38" s="29">
        <v>46</v>
      </c>
      <c r="G38" s="29" t="s">
        <v>6</v>
      </c>
      <c r="H38" s="29">
        <v>58</v>
      </c>
      <c r="I38" s="29">
        <v>54</v>
      </c>
      <c r="J38" s="29" t="s">
        <v>6</v>
      </c>
      <c r="K38" s="29" t="s">
        <v>3</v>
      </c>
      <c r="L38" s="29">
        <v>43</v>
      </c>
    </row>
    <row r="39" spans="1:12" x14ac:dyDescent="0.25">
      <c r="A39" s="16">
        <v>37</v>
      </c>
      <c r="B39" s="31">
        <v>5636</v>
      </c>
      <c r="C39" s="14">
        <v>42357750</v>
      </c>
      <c r="D39" s="1" t="s">
        <v>88</v>
      </c>
      <c r="E39" s="1" t="s">
        <v>89</v>
      </c>
      <c r="F39" s="29"/>
      <c r="G39" s="29"/>
      <c r="H39" s="29"/>
      <c r="I39" s="29"/>
      <c r="J39" s="29"/>
      <c r="K39" s="29"/>
      <c r="L39" s="29"/>
    </row>
    <row r="40" spans="1:12" x14ac:dyDescent="0.25">
      <c r="A40" s="16">
        <v>38</v>
      </c>
      <c r="B40" s="31">
        <v>5614</v>
      </c>
      <c r="C40" s="14">
        <v>37413174</v>
      </c>
      <c r="D40" s="1" t="s">
        <v>90</v>
      </c>
      <c r="E40" s="1" t="s">
        <v>91</v>
      </c>
      <c r="F40" s="29">
        <v>42</v>
      </c>
      <c r="G40" s="29" t="s">
        <v>2</v>
      </c>
      <c r="H40" s="29">
        <v>57</v>
      </c>
      <c r="I40" s="29">
        <v>44</v>
      </c>
      <c r="J40" s="29" t="s">
        <v>2</v>
      </c>
      <c r="K40" s="29" t="s">
        <v>2</v>
      </c>
      <c r="L40" s="29">
        <v>41</v>
      </c>
    </row>
    <row r="41" spans="1:12" x14ac:dyDescent="0.25">
      <c r="A41" s="16">
        <v>39</v>
      </c>
      <c r="B41" s="31">
        <v>5570</v>
      </c>
      <c r="C41" s="14">
        <v>43830599</v>
      </c>
      <c r="D41" s="1" t="s">
        <v>92</v>
      </c>
      <c r="E41" s="1" t="s">
        <v>76</v>
      </c>
      <c r="F41" s="29">
        <v>42</v>
      </c>
      <c r="G41" s="29" t="s">
        <v>2</v>
      </c>
      <c r="H41" s="29">
        <v>57</v>
      </c>
      <c r="I41" s="29">
        <v>46</v>
      </c>
      <c r="J41" s="29" t="s">
        <v>1</v>
      </c>
      <c r="K41" s="29" t="s">
        <v>1</v>
      </c>
      <c r="L41" s="29">
        <v>42</v>
      </c>
    </row>
    <row r="42" spans="1:12" x14ac:dyDescent="0.25">
      <c r="A42" s="16">
        <v>40</v>
      </c>
      <c r="B42" s="31">
        <v>5594</v>
      </c>
      <c r="C42" s="14">
        <v>44984863</v>
      </c>
      <c r="D42" s="1" t="s">
        <v>93</v>
      </c>
      <c r="E42" s="1" t="s">
        <v>67</v>
      </c>
      <c r="F42" s="29">
        <v>38</v>
      </c>
      <c r="G42" s="29" t="s">
        <v>4</v>
      </c>
      <c r="H42" s="29">
        <v>58</v>
      </c>
      <c r="I42" s="29">
        <v>40</v>
      </c>
      <c r="J42" s="29" t="s">
        <v>2</v>
      </c>
      <c r="K42" s="29" t="s">
        <v>2</v>
      </c>
      <c r="L42" s="29">
        <v>41</v>
      </c>
    </row>
    <row r="43" spans="1:12" x14ac:dyDescent="0.25">
      <c r="A43" s="16">
        <v>41</v>
      </c>
      <c r="B43" s="31">
        <v>5627</v>
      </c>
      <c r="C43" s="14">
        <v>39084982</v>
      </c>
      <c r="D43" s="1" t="s">
        <v>94</v>
      </c>
      <c r="E43" s="1" t="s">
        <v>95</v>
      </c>
      <c r="F43" s="29">
        <v>40</v>
      </c>
      <c r="G43" s="29" t="s">
        <v>4</v>
      </c>
      <c r="H43" s="29">
        <v>57</v>
      </c>
      <c r="I43" s="29">
        <v>42</v>
      </c>
      <c r="J43" s="29" t="s">
        <v>2</v>
      </c>
      <c r="K43" s="29" t="s">
        <v>2</v>
      </c>
      <c r="L43" s="29">
        <v>41</v>
      </c>
    </row>
    <row r="44" spans="1:12" x14ac:dyDescent="0.25">
      <c r="A44" s="16">
        <v>42</v>
      </c>
      <c r="B44" s="31">
        <v>5610</v>
      </c>
      <c r="C44" s="14">
        <v>41750593</v>
      </c>
      <c r="D44" s="1" t="s">
        <v>96</v>
      </c>
      <c r="E44" s="1" t="s">
        <v>97</v>
      </c>
      <c r="F44" s="29">
        <v>42</v>
      </c>
      <c r="G44" s="29" t="s">
        <v>4</v>
      </c>
      <c r="H44" s="29">
        <v>57</v>
      </c>
      <c r="I44" s="29">
        <v>44</v>
      </c>
      <c r="J44" s="29" t="s">
        <v>1</v>
      </c>
      <c r="K44" s="29" t="s">
        <v>1</v>
      </c>
      <c r="L44" s="29">
        <v>40</v>
      </c>
    </row>
    <row r="45" spans="1:12" x14ac:dyDescent="0.25">
      <c r="A45" s="16">
        <v>43</v>
      </c>
      <c r="B45" s="31">
        <v>5581</v>
      </c>
      <c r="C45" s="14">
        <v>37964139</v>
      </c>
      <c r="D45" s="1" t="s">
        <v>98</v>
      </c>
      <c r="E45" s="1" t="s">
        <v>99</v>
      </c>
      <c r="F45" s="29">
        <v>42</v>
      </c>
      <c r="G45" s="29" t="s">
        <v>1</v>
      </c>
      <c r="H45" s="29">
        <v>59</v>
      </c>
      <c r="I45" s="29">
        <v>44</v>
      </c>
      <c r="J45" s="29" t="s">
        <v>1</v>
      </c>
      <c r="K45" s="29" t="s">
        <v>1</v>
      </c>
      <c r="L45" s="29">
        <v>41</v>
      </c>
    </row>
    <row r="46" spans="1:12" x14ac:dyDescent="0.25">
      <c r="A46" s="16">
        <v>44</v>
      </c>
      <c r="B46" s="31">
        <v>5626</v>
      </c>
      <c r="C46" s="14">
        <v>37625830</v>
      </c>
      <c r="D46" s="1" t="s">
        <v>100</v>
      </c>
      <c r="E46" s="1" t="s">
        <v>101</v>
      </c>
      <c r="F46" s="29">
        <v>46</v>
      </c>
      <c r="G46" s="29" t="s">
        <v>3</v>
      </c>
      <c r="H46" s="29">
        <v>57</v>
      </c>
      <c r="I46" s="29">
        <v>46</v>
      </c>
      <c r="J46" s="29" t="s">
        <v>3</v>
      </c>
      <c r="K46" s="29" t="s">
        <v>6</v>
      </c>
      <c r="L46" s="29">
        <v>43</v>
      </c>
    </row>
    <row r="47" spans="1:12" x14ac:dyDescent="0.25">
      <c r="A47" s="16">
        <v>45</v>
      </c>
      <c r="B47" s="31">
        <v>5579</v>
      </c>
      <c r="C47" s="14">
        <v>42357612</v>
      </c>
      <c r="D47" s="1" t="s">
        <v>102</v>
      </c>
      <c r="E47" s="1" t="s">
        <v>103</v>
      </c>
      <c r="F47" s="29">
        <v>42</v>
      </c>
      <c r="G47" s="29" t="s">
        <v>3</v>
      </c>
      <c r="H47" s="29">
        <v>56</v>
      </c>
      <c r="I47" s="29">
        <v>42</v>
      </c>
      <c r="J47" s="29" t="s">
        <v>3</v>
      </c>
      <c r="K47" s="29" t="s">
        <v>3</v>
      </c>
      <c r="L47" s="29">
        <v>44</v>
      </c>
    </row>
    <row r="48" spans="1:12" x14ac:dyDescent="0.25">
      <c r="A48" s="16">
        <v>46</v>
      </c>
      <c r="B48" s="31">
        <v>5569</v>
      </c>
      <c r="C48" s="14">
        <v>43748477</v>
      </c>
      <c r="D48" s="1" t="s">
        <v>104</v>
      </c>
      <c r="E48" s="1" t="s">
        <v>57</v>
      </c>
      <c r="F48" s="29">
        <v>38</v>
      </c>
      <c r="G48" s="29" t="s">
        <v>2</v>
      </c>
      <c r="H48" s="29">
        <v>56</v>
      </c>
      <c r="I48" s="29">
        <v>40</v>
      </c>
      <c r="J48" s="29" t="s">
        <v>2</v>
      </c>
      <c r="K48" s="29" t="s">
        <v>2</v>
      </c>
      <c r="L48" s="29">
        <v>41</v>
      </c>
    </row>
    <row r="49" spans="1:12" x14ac:dyDescent="0.25">
      <c r="A49" s="16">
        <v>47</v>
      </c>
      <c r="B49" s="31">
        <v>5630</v>
      </c>
      <c r="C49" s="14">
        <v>43748476</v>
      </c>
      <c r="D49" s="1" t="s">
        <v>104</v>
      </c>
      <c r="E49" s="1" t="s">
        <v>76</v>
      </c>
      <c r="F49" s="29">
        <v>38</v>
      </c>
      <c r="G49" s="29" t="s">
        <v>2</v>
      </c>
      <c r="H49" s="29">
        <v>56</v>
      </c>
      <c r="I49" s="29">
        <v>40</v>
      </c>
      <c r="J49" s="29" t="s">
        <v>2</v>
      </c>
      <c r="K49" s="29" t="s">
        <v>2</v>
      </c>
      <c r="L49" s="29">
        <v>41</v>
      </c>
    </row>
    <row r="50" spans="1:12" x14ac:dyDescent="0.25">
      <c r="A50" s="16">
        <v>48</v>
      </c>
      <c r="B50" s="31">
        <v>5662</v>
      </c>
      <c r="C50" s="14">
        <v>43691227</v>
      </c>
      <c r="D50" s="1" t="s">
        <v>105</v>
      </c>
      <c r="E50" s="1" t="s">
        <v>65</v>
      </c>
      <c r="F50" s="29">
        <v>40</v>
      </c>
      <c r="G50" s="29" t="s">
        <v>2</v>
      </c>
      <c r="H50" s="29">
        <v>59</v>
      </c>
      <c r="I50" s="29">
        <v>44</v>
      </c>
      <c r="J50" s="29" t="s">
        <v>2</v>
      </c>
      <c r="K50" s="29" t="s">
        <v>2</v>
      </c>
      <c r="L50" s="29">
        <v>40</v>
      </c>
    </row>
    <row r="51" spans="1:12" x14ac:dyDescent="0.25">
      <c r="A51" s="16">
        <v>49</v>
      </c>
      <c r="B51" s="31">
        <v>5663</v>
      </c>
      <c r="C51" s="14">
        <v>40559041</v>
      </c>
      <c r="D51" s="1" t="s">
        <v>106</v>
      </c>
      <c r="E51" s="1" t="s">
        <v>57</v>
      </c>
      <c r="F51" s="29">
        <v>46</v>
      </c>
      <c r="G51" s="29" t="s">
        <v>3</v>
      </c>
      <c r="H51" s="29">
        <v>59</v>
      </c>
      <c r="I51" s="29">
        <v>48</v>
      </c>
      <c r="J51" s="29" t="s">
        <v>3</v>
      </c>
      <c r="K51" s="29" t="s">
        <v>3</v>
      </c>
      <c r="L51" s="29">
        <v>44</v>
      </c>
    </row>
    <row r="52" spans="1:12" x14ac:dyDescent="0.25">
      <c r="A52" s="16">
        <v>50</v>
      </c>
      <c r="B52" s="31">
        <v>5612</v>
      </c>
      <c r="C52" s="14">
        <v>41112678</v>
      </c>
      <c r="D52" s="1" t="s">
        <v>107</v>
      </c>
      <c r="E52" s="1" t="s">
        <v>38</v>
      </c>
      <c r="F52" s="29">
        <v>42</v>
      </c>
      <c r="G52" s="29" t="s">
        <v>1</v>
      </c>
      <c r="H52" s="29">
        <v>59</v>
      </c>
      <c r="I52" s="29">
        <v>42</v>
      </c>
      <c r="J52" s="29" t="s">
        <v>1</v>
      </c>
      <c r="K52" s="29" t="s">
        <v>1</v>
      </c>
      <c r="L52" s="29">
        <v>42</v>
      </c>
    </row>
    <row r="53" spans="1:12" x14ac:dyDescent="0.25">
      <c r="A53" s="16">
        <v>51</v>
      </c>
      <c r="B53" s="31">
        <v>5656</v>
      </c>
      <c r="C53" s="14">
        <v>39767479</v>
      </c>
      <c r="D53" s="1" t="s">
        <v>108</v>
      </c>
      <c r="E53" s="1" t="s">
        <v>109</v>
      </c>
      <c r="F53" s="29">
        <v>42</v>
      </c>
      <c r="G53" s="29" t="s">
        <v>2</v>
      </c>
      <c r="H53" s="29">
        <v>57</v>
      </c>
      <c r="I53" s="29">
        <v>42</v>
      </c>
      <c r="J53" s="29" t="s">
        <v>1</v>
      </c>
      <c r="K53" s="29" t="s">
        <v>1</v>
      </c>
      <c r="L53" s="29">
        <v>42</v>
      </c>
    </row>
    <row r="54" spans="1:12" x14ac:dyDescent="0.25">
      <c r="A54" s="16">
        <v>52</v>
      </c>
      <c r="B54" s="31">
        <v>5669</v>
      </c>
      <c r="C54" s="14">
        <v>35877190</v>
      </c>
      <c r="D54" s="1" t="s">
        <v>110</v>
      </c>
      <c r="E54" s="1" t="s">
        <v>111</v>
      </c>
      <c r="F54" s="29"/>
      <c r="G54" s="29" t="s">
        <v>4</v>
      </c>
      <c r="H54" s="29">
        <v>55</v>
      </c>
      <c r="I54" s="29"/>
      <c r="J54" s="29"/>
      <c r="K54" s="29"/>
      <c r="L54" s="29"/>
    </row>
    <row r="55" spans="1:12" x14ac:dyDescent="0.25">
      <c r="A55" s="16">
        <v>53</v>
      </c>
      <c r="B55" s="31">
        <v>5578</v>
      </c>
      <c r="C55" s="14">
        <v>41794975</v>
      </c>
      <c r="D55" s="1" t="s">
        <v>112</v>
      </c>
      <c r="E55" s="1" t="s">
        <v>28</v>
      </c>
      <c r="F55" s="29">
        <v>40</v>
      </c>
      <c r="G55" s="29" t="s">
        <v>2</v>
      </c>
      <c r="H55" s="29">
        <v>56</v>
      </c>
      <c r="I55" s="29">
        <v>40</v>
      </c>
      <c r="J55" s="29" t="s">
        <v>2</v>
      </c>
      <c r="K55" s="29" t="s">
        <v>2</v>
      </c>
      <c r="L55" s="29">
        <v>41</v>
      </c>
    </row>
    <row r="56" spans="1:12" x14ac:dyDescent="0.25">
      <c r="A56" s="16">
        <v>54</v>
      </c>
      <c r="B56" s="31">
        <v>5582</v>
      </c>
      <c r="C56" s="14">
        <v>41728006</v>
      </c>
      <c r="D56" s="1" t="s">
        <v>113</v>
      </c>
      <c r="E56" s="1" t="s">
        <v>114</v>
      </c>
      <c r="F56" s="29">
        <v>46</v>
      </c>
      <c r="G56" s="29" t="s">
        <v>6</v>
      </c>
      <c r="H56" s="29">
        <v>59</v>
      </c>
      <c r="I56" s="29">
        <v>46</v>
      </c>
      <c r="J56" s="29" t="s">
        <v>6</v>
      </c>
      <c r="K56" s="29" t="s">
        <v>6</v>
      </c>
      <c r="L56" s="29">
        <v>45</v>
      </c>
    </row>
    <row r="57" spans="1:12" x14ac:dyDescent="0.25">
      <c r="A57" s="16">
        <v>55</v>
      </c>
      <c r="B57" s="31">
        <v>5571</v>
      </c>
      <c r="C57" s="14">
        <v>36999306</v>
      </c>
      <c r="D57" s="1" t="s">
        <v>115</v>
      </c>
      <c r="E57" s="1" t="s">
        <v>52</v>
      </c>
      <c r="F57" s="29">
        <v>42</v>
      </c>
      <c r="G57" s="29" t="s">
        <v>1</v>
      </c>
      <c r="H57" s="29">
        <v>55</v>
      </c>
      <c r="I57" s="29">
        <v>46</v>
      </c>
      <c r="J57" s="29" t="s">
        <v>2</v>
      </c>
      <c r="K57" s="29" t="s">
        <v>2</v>
      </c>
      <c r="L57" s="29">
        <v>39</v>
      </c>
    </row>
    <row r="58" spans="1:12" x14ac:dyDescent="0.25">
      <c r="A58" s="16">
        <v>56</v>
      </c>
      <c r="B58" s="31">
        <v>5649</v>
      </c>
      <c r="C58" s="14">
        <v>37613215</v>
      </c>
      <c r="D58" s="1" t="s">
        <v>116</v>
      </c>
      <c r="E58" s="1" t="s">
        <v>117</v>
      </c>
      <c r="F58" s="29">
        <v>40</v>
      </c>
      <c r="G58" s="29" t="s">
        <v>4</v>
      </c>
      <c r="H58" s="29">
        <v>55</v>
      </c>
      <c r="I58" s="29">
        <v>42</v>
      </c>
      <c r="J58" s="29" t="s">
        <v>2</v>
      </c>
      <c r="K58" s="29" t="s">
        <v>2</v>
      </c>
      <c r="L58" s="29">
        <v>41</v>
      </c>
    </row>
    <row r="59" spans="1:12" x14ac:dyDescent="0.25">
      <c r="A59" s="16">
        <v>57</v>
      </c>
      <c r="B59" s="31">
        <v>5583</v>
      </c>
      <c r="C59" s="14">
        <v>45140002</v>
      </c>
      <c r="D59" s="1" t="s">
        <v>118</v>
      </c>
      <c r="E59" s="1" t="s">
        <v>99</v>
      </c>
      <c r="F59" s="29">
        <v>38</v>
      </c>
      <c r="G59" s="29" t="s">
        <v>1</v>
      </c>
      <c r="H59" s="29">
        <v>55</v>
      </c>
      <c r="I59" s="29">
        <v>40</v>
      </c>
      <c r="J59" s="29" t="s">
        <v>1</v>
      </c>
      <c r="K59" s="29" t="s">
        <v>1</v>
      </c>
      <c r="L59" s="29">
        <v>40</v>
      </c>
    </row>
    <row r="60" spans="1:12" x14ac:dyDescent="0.25">
      <c r="A60" s="16">
        <v>58</v>
      </c>
      <c r="B60" s="31">
        <v>5671</v>
      </c>
      <c r="C60" s="14">
        <v>43748475</v>
      </c>
      <c r="D60" s="1" t="s">
        <v>118</v>
      </c>
      <c r="E60" s="1" t="s">
        <v>119</v>
      </c>
      <c r="F60" s="29">
        <v>36</v>
      </c>
      <c r="G60" s="29" t="s">
        <v>4</v>
      </c>
      <c r="H60" s="29">
        <v>57</v>
      </c>
      <c r="I60" s="29">
        <v>40</v>
      </c>
      <c r="J60" s="29" t="s">
        <v>4</v>
      </c>
      <c r="K60" s="29" t="s">
        <v>4</v>
      </c>
      <c r="L60" s="29">
        <v>36</v>
      </c>
    </row>
    <row r="61" spans="1:12" x14ac:dyDescent="0.25">
      <c r="A61" s="16">
        <v>59</v>
      </c>
      <c r="B61" s="31">
        <v>5681</v>
      </c>
      <c r="C61" s="14">
        <v>34626668</v>
      </c>
      <c r="D61" s="1" t="s">
        <v>120</v>
      </c>
      <c r="E61" s="1" t="s">
        <v>121</v>
      </c>
      <c r="F61" s="29">
        <v>40</v>
      </c>
      <c r="G61" s="29" t="s">
        <v>2</v>
      </c>
      <c r="H61" s="29">
        <v>56</v>
      </c>
      <c r="I61" s="29">
        <v>48</v>
      </c>
      <c r="J61" s="29" t="s">
        <v>2</v>
      </c>
      <c r="K61" s="29" t="s">
        <v>2</v>
      </c>
      <c r="L61" s="29">
        <v>38</v>
      </c>
    </row>
    <row r="62" spans="1:12" x14ac:dyDescent="0.25">
      <c r="A62" s="16">
        <v>60</v>
      </c>
      <c r="B62" s="31">
        <v>5567</v>
      </c>
      <c r="C62" s="14">
        <v>35046404</v>
      </c>
      <c r="D62" s="1" t="s">
        <v>122</v>
      </c>
      <c r="E62" s="1" t="s">
        <v>103</v>
      </c>
      <c r="F62" s="29">
        <v>44</v>
      </c>
      <c r="G62" s="29" t="s">
        <v>6</v>
      </c>
      <c r="H62" s="29">
        <v>58</v>
      </c>
      <c r="I62" s="29">
        <v>46</v>
      </c>
      <c r="J62" s="29" t="s">
        <v>3</v>
      </c>
      <c r="K62" s="29" t="s">
        <v>3</v>
      </c>
      <c r="L62" s="29">
        <v>45</v>
      </c>
    </row>
    <row r="63" spans="1:12" x14ac:dyDescent="0.25">
      <c r="A63" s="16">
        <v>61</v>
      </c>
      <c r="B63" s="31">
        <v>5686</v>
      </c>
      <c r="C63" s="14">
        <v>40661260</v>
      </c>
      <c r="D63" s="1" t="s">
        <v>123</v>
      </c>
      <c r="E63" s="1" t="s">
        <v>124</v>
      </c>
      <c r="F63" s="29">
        <v>34</v>
      </c>
      <c r="G63" s="29" t="s">
        <v>5</v>
      </c>
      <c r="H63" s="29">
        <v>56</v>
      </c>
      <c r="I63" s="29">
        <v>38</v>
      </c>
      <c r="J63" s="29" t="s">
        <v>5</v>
      </c>
      <c r="K63" s="29" t="s">
        <v>5</v>
      </c>
      <c r="L63" s="29">
        <v>38</v>
      </c>
    </row>
    <row r="64" spans="1:12" x14ac:dyDescent="0.25">
      <c r="A64" s="16">
        <v>62</v>
      </c>
      <c r="B64" s="31">
        <v>5616</v>
      </c>
      <c r="C64" s="14">
        <v>41794460</v>
      </c>
      <c r="D64" s="1" t="s">
        <v>125</v>
      </c>
      <c r="E64" s="1" t="s">
        <v>38</v>
      </c>
      <c r="F64" s="29">
        <v>44</v>
      </c>
      <c r="G64" s="29" t="s">
        <v>1</v>
      </c>
      <c r="H64" s="29">
        <v>59</v>
      </c>
      <c r="I64" s="29">
        <v>44</v>
      </c>
      <c r="J64" s="29" t="s">
        <v>1</v>
      </c>
      <c r="K64" s="29" t="s">
        <v>6</v>
      </c>
      <c r="L64" s="29">
        <v>43</v>
      </c>
    </row>
    <row r="65" spans="1:12" x14ac:dyDescent="0.25">
      <c r="A65" s="16">
        <v>63</v>
      </c>
      <c r="B65" s="31">
        <v>5568</v>
      </c>
      <c r="C65" s="14">
        <v>45967450</v>
      </c>
      <c r="D65" s="1" t="s">
        <v>126</v>
      </c>
      <c r="E65" s="1" t="s">
        <v>127</v>
      </c>
      <c r="F65" s="29">
        <v>40</v>
      </c>
      <c r="G65" s="29" t="s">
        <v>4</v>
      </c>
      <c r="H65" s="29">
        <v>56</v>
      </c>
      <c r="I65" s="29">
        <v>42</v>
      </c>
      <c r="J65" s="29" t="s">
        <v>2</v>
      </c>
      <c r="K65" s="29" t="s">
        <v>2</v>
      </c>
      <c r="L65" s="29">
        <v>40</v>
      </c>
    </row>
    <row r="66" spans="1:12" x14ac:dyDescent="0.25">
      <c r="A66" s="16">
        <v>64</v>
      </c>
      <c r="B66" s="31">
        <v>5588</v>
      </c>
      <c r="C66" s="14">
        <v>41112969</v>
      </c>
      <c r="D66" s="1" t="s">
        <v>128</v>
      </c>
      <c r="E66" s="1" t="s">
        <v>129</v>
      </c>
      <c r="F66" s="29">
        <v>42</v>
      </c>
      <c r="G66" s="29" t="s">
        <v>2</v>
      </c>
      <c r="H66" s="29">
        <v>57</v>
      </c>
      <c r="I66" s="29">
        <v>48</v>
      </c>
      <c r="J66" s="29" t="s">
        <v>1</v>
      </c>
      <c r="K66" s="29" t="s">
        <v>1</v>
      </c>
      <c r="L66" s="29">
        <v>42</v>
      </c>
    </row>
  </sheetData>
  <sheetProtection password="C68E" sheet="1" objects="1" scenarios="1" formatCells="0" formatRows="0"/>
  <mergeCells count="1">
    <mergeCell ref="A1:L1"/>
  </mergeCells>
  <conditionalFormatting sqref="A3:L9909">
    <cfRule type="expression" dxfId="1" priority="4">
      <formula>$B3&lt;&gt;""</formula>
    </cfRule>
  </conditionalFormatting>
  <conditionalFormatting sqref="B9909">
    <cfRule type="expression" dxfId="0" priority="2">
      <formula>"$a3&lt;&gt;"""""</formula>
    </cfRule>
  </conditionalFormatting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B7" sqref="B7"/>
    </sheetView>
  </sheetViews>
  <sheetFormatPr baseColWidth="10" defaultRowHeight="15" x14ac:dyDescent="0.25"/>
  <cols>
    <col min="1" max="1" width="7" style="27" bestFit="1" customWidth="1"/>
    <col min="2" max="2" width="8.5703125" style="27" bestFit="1" customWidth="1"/>
    <col min="3" max="3" width="2.42578125" style="27" customWidth="1"/>
    <col min="4" max="4" width="7" style="27" bestFit="1" customWidth="1"/>
    <col min="5" max="5" width="8.5703125" style="27" bestFit="1" customWidth="1"/>
    <col min="6" max="6" width="2.42578125" style="27" customWidth="1"/>
    <col min="7" max="7" width="7" style="27" bestFit="1" customWidth="1"/>
    <col min="8" max="8" width="8.5703125" style="27" bestFit="1" customWidth="1"/>
    <col min="9" max="9" width="2.42578125" style="27" customWidth="1"/>
    <col min="10" max="10" width="7" style="23" bestFit="1" customWidth="1"/>
    <col min="11" max="11" width="8.5703125" style="23" bestFit="1" customWidth="1"/>
    <col min="12" max="12" width="2.42578125" style="27" customWidth="1"/>
    <col min="13" max="13" width="7" style="27" bestFit="1" customWidth="1"/>
    <col min="14" max="14" width="8.5703125" style="27" bestFit="1" customWidth="1"/>
    <col min="15" max="15" width="2.42578125" style="27" customWidth="1"/>
    <col min="16" max="16" width="7" style="23" bestFit="1" customWidth="1"/>
    <col min="17" max="17" width="8.5703125" style="23" bestFit="1" customWidth="1"/>
    <col min="18" max="18" width="2.42578125" style="27" customWidth="1"/>
    <col min="19" max="19" width="7" style="23" bestFit="1" customWidth="1"/>
    <col min="20" max="20" width="8.5703125" style="23" bestFit="1" customWidth="1"/>
    <col min="21" max="16384" width="11.42578125" style="23"/>
  </cols>
  <sheetData>
    <row r="1" spans="1:20" ht="18.75" x14ac:dyDescent="0.3">
      <c r="A1" s="33" t="str">
        <f>PLANILLA!A1</f>
        <v>AGENTES DELEGACION "B"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</row>
    <row r="2" spans="1:20" x14ac:dyDescent="0.25">
      <c r="A2" s="34" t="s">
        <v>14</v>
      </c>
      <c r="B2" s="35"/>
      <c r="C2" s="24"/>
      <c r="D2" s="34" t="s">
        <v>11</v>
      </c>
      <c r="E2" s="35"/>
      <c r="F2" s="24"/>
      <c r="G2" s="34" t="s">
        <v>0</v>
      </c>
      <c r="H2" s="35"/>
      <c r="I2" s="24"/>
      <c r="J2" s="34" t="s">
        <v>10</v>
      </c>
      <c r="K2" s="35"/>
      <c r="L2" s="24"/>
      <c r="M2" s="34" t="s">
        <v>12</v>
      </c>
      <c r="N2" s="35"/>
      <c r="O2" s="24"/>
      <c r="P2" s="34" t="s">
        <v>13</v>
      </c>
      <c r="Q2" s="35"/>
      <c r="R2" s="24"/>
      <c r="S2" s="34" t="s">
        <v>9</v>
      </c>
      <c r="T2" s="35"/>
    </row>
    <row r="3" spans="1:20" x14ac:dyDescent="0.25">
      <c r="A3" s="25" t="s">
        <v>23</v>
      </c>
      <c r="B3" s="3" t="s">
        <v>24</v>
      </c>
      <c r="C3" s="24"/>
      <c r="D3" s="25" t="s">
        <v>23</v>
      </c>
      <c r="E3" s="3" t="s">
        <v>24</v>
      </c>
      <c r="F3" s="24"/>
      <c r="G3" s="25" t="s">
        <v>23</v>
      </c>
      <c r="H3" s="3" t="s">
        <v>24</v>
      </c>
      <c r="I3" s="24"/>
      <c r="J3" s="25" t="s">
        <v>23</v>
      </c>
      <c r="K3" s="3" t="s">
        <v>24</v>
      </c>
      <c r="L3" s="24"/>
      <c r="M3" s="25" t="s">
        <v>23</v>
      </c>
      <c r="N3" s="3" t="s">
        <v>24</v>
      </c>
      <c r="O3" s="24"/>
      <c r="P3" s="25" t="s">
        <v>23</v>
      </c>
      <c r="Q3" s="3" t="s">
        <v>24</v>
      </c>
      <c r="R3" s="24"/>
      <c r="S3" s="25" t="s">
        <v>23</v>
      </c>
      <c r="T3" s="3" t="s">
        <v>24</v>
      </c>
    </row>
    <row r="4" spans="1:20" x14ac:dyDescent="0.25">
      <c r="A4" s="26">
        <v>32</v>
      </c>
      <c r="B4" s="28"/>
      <c r="C4" s="24"/>
      <c r="D4" s="26" t="s">
        <v>21</v>
      </c>
      <c r="E4" s="28"/>
      <c r="F4" s="24"/>
      <c r="G4" s="26">
        <v>50</v>
      </c>
      <c r="H4" s="28"/>
      <c r="I4" s="24"/>
      <c r="J4" s="26">
        <v>32</v>
      </c>
      <c r="K4" s="28"/>
      <c r="L4" s="24"/>
      <c r="M4" s="26" t="s">
        <v>21</v>
      </c>
      <c r="N4" s="28"/>
      <c r="O4" s="24"/>
      <c r="P4" s="26" t="s">
        <v>21</v>
      </c>
      <c r="Q4" s="28"/>
      <c r="R4" s="24"/>
      <c r="S4" s="26">
        <v>30</v>
      </c>
      <c r="T4" s="28"/>
    </row>
    <row r="5" spans="1:20" x14ac:dyDescent="0.25">
      <c r="A5" s="26">
        <v>34</v>
      </c>
      <c r="B5" s="28"/>
      <c r="C5" s="24"/>
      <c r="D5" s="26" t="s">
        <v>8</v>
      </c>
      <c r="E5" s="28"/>
      <c r="F5" s="24"/>
      <c r="G5" s="26">
        <v>51</v>
      </c>
      <c r="H5" s="28"/>
      <c r="I5" s="24"/>
      <c r="J5" s="26">
        <v>34</v>
      </c>
      <c r="K5" s="28"/>
      <c r="L5" s="24"/>
      <c r="M5" s="26" t="s">
        <v>8</v>
      </c>
      <c r="N5" s="28"/>
      <c r="O5" s="24"/>
      <c r="P5" s="26" t="s">
        <v>8</v>
      </c>
      <c r="Q5" s="28"/>
      <c r="R5" s="24"/>
      <c r="S5" s="26">
        <v>31</v>
      </c>
      <c r="T5" s="28"/>
    </row>
    <row r="6" spans="1:20" x14ac:dyDescent="0.25">
      <c r="A6" s="26">
        <v>36</v>
      </c>
      <c r="B6" s="28"/>
      <c r="C6" s="24"/>
      <c r="D6" s="26" t="s">
        <v>5</v>
      </c>
      <c r="E6" s="28"/>
      <c r="F6" s="24"/>
      <c r="G6" s="26">
        <v>52</v>
      </c>
      <c r="H6" s="28"/>
      <c r="I6" s="24"/>
      <c r="J6" s="26">
        <v>36</v>
      </c>
      <c r="K6" s="28"/>
      <c r="L6" s="24"/>
      <c r="M6" s="26" t="s">
        <v>5</v>
      </c>
      <c r="N6" s="28"/>
      <c r="O6" s="24"/>
      <c r="P6" s="26" t="s">
        <v>5</v>
      </c>
      <c r="Q6" s="28"/>
      <c r="R6" s="24"/>
      <c r="S6" s="26">
        <v>32</v>
      </c>
      <c r="T6" s="28"/>
    </row>
    <row r="7" spans="1:20" x14ac:dyDescent="0.25">
      <c r="A7" s="26">
        <v>38</v>
      </c>
      <c r="B7" s="28"/>
      <c r="C7" s="24"/>
      <c r="D7" s="26" t="s">
        <v>4</v>
      </c>
      <c r="E7" s="28"/>
      <c r="F7" s="24"/>
      <c r="G7" s="26">
        <v>53</v>
      </c>
      <c r="H7" s="28"/>
      <c r="I7" s="24"/>
      <c r="J7" s="26">
        <v>38</v>
      </c>
      <c r="K7" s="28"/>
      <c r="L7" s="24"/>
      <c r="M7" s="26" t="s">
        <v>4</v>
      </c>
      <c r="N7" s="28"/>
      <c r="O7" s="24"/>
      <c r="P7" s="26" t="s">
        <v>4</v>
      </c>
      <c r="Q7" s="28"/>
      <c r="R7" s="24"/>
      <c r="S7" s="26">
        <v>33</v>
      </c>
      <c r="T7" s="28"/>
    </row>
    <row r="8" spans="1:20" x14ac:dyDescent="0.25">
      <c r="A8" s="26">
        <v>40</v>
      </c>
      <c r="B8" s="28"/>
      <c r="C8" s="24"/>
      <c r="D8" s="26" t="s">
        <v>2</v>
      </c>
      <c r="E8" s="28"/>
      <c r="F8" s="24"/>
      <c r="G8" s="26">
        <v>54</v>
      </c>
      <c r="H8" s="28"/>
      <c r="I8" s="24"/>
      <c r="J8" s="26">
        <v>40</v>
      </c>
      <c r="K8" s="28"/>
      <c r="L8" s="24"/>
      <c r="M8" s="26" t="s">
        <v>2</v>
      </c>
      <c r="N8" s="28"/>
      <c r="O8" s="24"/>
      <c r="P8" s="26" t="s">
        <v>2</v>
      </c>
      <c r="Q8" s="28"/>
      <c r="R8" s="24"/>
      <c r="S8" s="26">
        <v>34</v>
      </c>
      <c r="T8" s="28"/>
    </row>
    <row r="9" spans="1:20" x14ac:dyDescent="0.25">
      <c r="A9" s="26">
        <v>42</v>
      </c>
      <c r="B9" s="28"/>
      <c r="C9" s="24"/>
      <c r="D9" s="26" t="s">
        <v>1</v>
      </c>
      <c r="E9" s="28">
        <v>1</v>
      </c>
      <c r="F9" s="24"/>
      <c r="G9" s="26">
        <v>55</v>
      </c>
      <c r="H9" s="28"/>
      <c r="I9" s="24"/>
      <c r="J9" s="26">
        <v>42</v>
      </c>
      <c r="K9" s="28"/>
      <c r="L9" s="24"/>
      <c r="M9" s="26" t="s">
        <v>1</v>
      </c>
      <c r="N9" s="28"/>
      <c r="O9" s="24"/>
      <c r="P9" s="26" t="s">
        <v>1</v>
      </c>
      <c r="Q9" s="28"/>
      <c r="R9" s="24"/>
      <c r="S9" s="26">
        <v>35</v>
      </c>
      <c r="T9" s="28"/>
    </row>
    <row r="10" spans="1:20" x14ac:dyDescent="0.25">
      <c r="A10" s="26">
        <v>44</v>
      </c>
      <c r="B10" s="28"/>
      <c r="C10" s="24"/>
      <c r="D10" s="26" t="s">
        <v>3</v>
      </c>
      <c r="E10" s="28"/>
      <c r="F10" s="24"/>
      <c r="G10" s="26">
        <v>56</v>
      </c>
      <c r="H10" s="28"/>
      <c r="I10" s="24"/>
      <c r="J10" s="26">
        <v>44</v>
      </c>
      <c r="K10" s="28"/>
      <c r="L10" s="24"/>
      <c r="M10" s="26" t="s">
        <v>3</v>
      </c>
      <c r="N10" s="28"/>
      <c r="O10" s="24"/>
      <c r="P10" s="26" t="s">
        <v>3</v>
      </c>
      <c r="Q10" s="28"/>
      <c r="R10" s="24"/>
      <c r="S10" s="26">
        <v>36</v>
      </c>
      <c r="T10" s="28"/>
    </row>
    <row r="11" spans="1:20" x14ac:dyDescent="0.25">
      <c r="A11" s="26">
        <v>46</v>
      </c>
      <c r="B11" s="28"/>
      <c r="C11" s="24"/>
      <c r="D11" s="26" t="s">
        <v>6</v>
      </c>
      <c r="E11" s="28"/>
      <c r="F11" s="24"/>
      <c r="G11" s="26">
        <v>57</v>
      </c>
      <c r="H11" s="28"/>
      <c r="I11" s="24"/>
      <c r="J11" s="26">
        <v>46</v>
      </c>
      <c r="K11" s="28"/>
      <c r="L11" s="24"/>
      <c r="M11" s="26" t="s">
        <v>6</v>
      </c>
      <c r="N11" s="28"/>
      <c r="O11" s="24"/>
      <c r="P11" s="26" t="s">
        <v>6</v>
      </c>
      <c r="Q11" s="28"/>
      <c r="R11" s="24"/>
      <c r="S11" s="26">
        <v>37</v>
      </c>
      <c r="T11" s="28"/>
    </row>
    <row r="12" spans="1:20" x14ac:dyDescent="0.25">
      <c r="A12" s="26">
        <v>48</v>
      </c>
      <c r="B12" s="28"/>
      <c r="C12" s="24"/>
      <c r="D12" s="26" t="s">
        <v>7</v>
      </c>
      <c r="E12" s="28"/>
      <c r="F12" s="24"/>
      <c r="G12" s="26">
        <v>58</v>
      </c>
      <c r="H12" s="28"/>
      <c r="I12" s="24"/>
      <c r="J12" s="26">
        <v>48</v>
      </c>
      <c r="K12" s="28"/>
      <c r="L12" s="24"/>
      <c r="M12" s="26" t="s">
        <v>7</v>
      </c>
      <c r="N12" s="28"/>
      <c r="O12" s="24"/>
      <c r="P12" s="26" t="s">
        <v>7</v>
      </c>
      <c r="Q12" s="28"/>
      <c r="R12" s="24"/>
      <c r="S12" s="26">
        <v>38</v>
      </c>
      <c r="T12" s="28"/>
    </row>
    <row r="13" spans="1:20" x14ac:dyDescent="0.25">
      <c r="A13" s="26">
        <v>50</v>
      </c>
      <c r="B13" s="28"/>
      <c r="C13" s="24"/>
      <c r="D13" s="26" t="s">
        <v>19</v>
      </c>
      <c r="E13" s="28"/>
      <c r="F13" s="24"/>
      <c r="G13" s="26">
        <v>59</v>
      </c>
      <c r="H13" s="28">
        <v>1</v>
      </c>
      <c r="I13" s="24"/>
      <c r="J13" s="26">
        <v>50</v>
      </c>
      <c r="K13" s="28"/>
      <c r="L13" s="24"/>
      <c r="M13" s="26" t="s">
        <v>19</v>
      </c>
      <c r="N13" s="28"/>
      <c r="O13" s="24"/>
      <c r="P13" s="26" t="s">
        <v>19</v>
      </c>
      <c r="Q13" s="28"/>
      <c r="R13" s="24"/>
      <c r="S13" s="26">
        <v>39</v>
      </c>
      <c r="T13" s="28"/>
    </row>
    <row r="14" spans="1:20" x14ac:dyDescent="0.25">
      <c r="A14" s="26">
        <v>52</v>
      </c>
      <c r="B14" s="28"/>
      <c r="C14" s="24"/>
      <c r="D14" s="26" t="s">
        <v>20</v>
      </c>
      <c r="E14" s="28"/>
      <c r="F14" s="24"/>
      <c r="G14" s="26">
        <v>60</v>
      </c>
      <c r="H14" s="28"/>
      <c r="I14" s="24"/>
      <c r="J14" s="26">
        <v>52</v>
      </c>
      <c r="K14" s="28"/>
      <c r="L14" s="24"/>
      <c r="M14" s="26" t="s">
        <v>20</v>
      </c>
      <c r="N14" s="28"/>
      <c r="O14" s="24"/>
      <c r="P14" s="26" t="s">
        <v>20</v>
      </c>
      <c r="Q14" s="28"/>
      <c r="R14" s="24"/>
      <c r="S14" s="26">
        <v>40</v>
      </c>
      <c r="T14" s="28"/>
    </row>
    <row r="15" spans="1:20" x14ac:dyDescent="0.25">
      <c r="A15" s="26">
        <v>54</v>
      </c>
      <c r="B15" s="28"/>
      <c r="C15" s="24"/>
      <c r="D15" s="26" t="s">
        <v>22</v>
      </c>
      <c r="E15" s="28"/>
      <c r="F15" s="24"/>
      <c r="G15" s="26">
        <v>61</v>
      </c>
      <c r="H15" s="28"/>
      <c r="I15" s="24"/>
      <c r="J15" s="26">
        <v>54</v>
      </c>
      <c r="K15" s="28"/>
      <c r="L15" s="24"/>
      <c r="M15" s="26" t="s">
        <v>22</v>
      </c>
      <c r="N15" s="28"/>
      <c r="O15" s="24"/>
      <c r="P15" s="26" t="s">
        <v>22</v>
      </c>
      <c r="Q15" s="28"/>
      <c r="R15" s="24"/>
      <c r="S15" s="26">
        <v>41</v>
      </c>
      <c r="T15" s="28"/>
    </row>
    <row r="16" spans="1:20" x14ac:dyDescent="0.25">
      <c r="A16" s="26">
        <v>56</v>
      </c>
      <c r="B16" s="28"/>
      <c r="C16" s="24"/>
      <c r="D16" s="24"/>
      <c r="E16" s="20">
        <f>IF(SUM(E4:E15)=0,"",SUM(E4:E15))</f>
        <v>1</v>
      </c>
      <c r="F16" s="24"/>
      <c r="G16" s="26">
        <v>62</v>
      </c>
      <c r="H16" s="28"/>
      <c r="I16" s="24"/>
      <c r="J16" s="26">
        <v>56</v>
      </c>
      <c r="K16" s="28"/>
      <c r="L16" s="24"/>
      <c r="M16" s="24"/>
      <c r="N16" s="20" t="str">
        <f>IF(SUM(N4:N15)=0,"",SUM(N4:N15))</f>
        <v/>
      </c>
      <c r="O16" s="24"/>
      <c r="P16" s="21"/>
      <c r="Q16" s="20" t="str">
        <f>IF(SUM(Q4:Q15)=0,"",SUM(Q4:Q15))</f>
        <v/>
      </c>
      <c r="R16" s="24"/>
      <c r="S16" s="26">
        <v>42</v>
      </c>
      <c r="T16" s="28"/>
    </row>
    <row r="17" spans="1:20" x14ac:dyDescent="0.25">
      <c r="A17" s="26">
        <v>58</v>
      </c>
      <c r="B17" s="28"/>
      <c r="C17" s="24"/>
      <c r="D17" s="24"/>
      <c r="E17" s="24"/>
      <c r="F17" s="24"/>
      <c r="G17" s="26">
        <v>63</v>
      </c>
      <c r="H17" s="28"/>
      <c r="I17" s="24"/>
      <c r="J17" s="26">
        <v>58</v>
      </c>
      <c r="K17" s="28"/>
      <c r="L17" s="24"/>
      <c r="M17" s="24"/>
      <c r="N17" s="24"/>
      <c r="O17" s="24"/>
      <c r="P17" s="21"/>
      <c r="Q17" s="21"/>
      <c r="R17" s="24"/>
      <c r="S17" s="26">
        <v>43</v>
      </c>
      <c r="T17" s="28"/>
    </row>
    <row r="18" spans="1:20" x14ac:dyDescent="0.25">
      <c r="A18" s="26">
        <v>60</v>
      </c>
      <c r="B18" s="28"/>
      <c r="C18" s="24"/>
      <c r="D18" s="24"/>
      <c r="E18" s="24"/>
      <c r="F18" s="24"/>
      <c r="G18" s="26">
        <v>64</v>
      </c>
      <c r="H18" s="28"/>
      <c r="I18" s="24"/>
      <c r="J18" s="26">
        <v>60</v>
      </c>
      <c r="K18" s="28"/>
      <c r="L18" s="24"/>
      <c r="M18" s="24"/>
      <c r="N18" s="24"/>
      <c r="O18" s="24"/>
      <c r="P18" s="21"/>
      <c r="Q18" s="21"/>
      <c r="R18" s="24"/>
      <c r="S18" s="26">
        <v>44</v>
      </c>
      <c r="T18" s="28"/>
    </row>
    <row r="19" spans="1:20" x14ac:dyDescent="0.25">
      <c r="A19" s="26">
        <v>62</v>
      </c>
      <c r="B19" s="28"/>
      <c r="C19" s="24"/>
      <c r="D19" s="24"/>
      <c r="E19" s="24"/>
      <c r="F19" s="24"/>
      <c r="G19" s="26">
        <v>65</v>
      </c>
      <c r="H19" s="28"/>
      <c r="I19" s="24"/>
      <c r="J19" s="26">
        <v>62</v>
      </c>
      <c r="K19" s="28"/>
      <c r="L19" s="24"/>
      <c r="M19" s="24"/>
      <c r="N19" s="24"/>
      <c r="O19" s="24"/>
      <c r="P19" s="21"/>
      <c r="Q19" s="21"/>
      <c r="R19" s="24"/>
      <c r="S19" s="26">
        <v>45</v>
      </c>
      <c r="T19" s="28"/>
    </row>
    <row r="20" spans="1:20" x14ac:dyDescent="0.25">
      <c r="A20" s="26">
        <v>64</v>
      </c>
      <c r="B20" s="28"/>
      <c r="C20" s="24"/>
      <c r="D20" s="24"/>
      <c r="E20" s="24"/>
      <c r="F20" s="24"/>
      <c r="G20" s="24"/>
      <c r="H20" s="20">
        <f>IF(SUM(H4:H19)=0,"",SUM(H4:H19))</f>
        <v>1</v>
      </c>
      <c r="I20" s="24"/>
      <c r="J20" s="26">
        <v>64</v>
      </c>
      <c r="K20" s="28"/>
      <c r="L20" s="24"/>
      <c r="M20" s="24"/>
      <c r="N20" s="24"/>
      <c r="O20" s="24"/>
      <c r="P20" s="21"/>
      <c r="Q20" s="21"/>
      <c r="R20" s="24"/>
      <c r="S20" s="26">
        <v>46</v>
      </c>
      <c r="T20" s="28"/>
    </row>
    <row r="21" spans="1:20" x14ac:dyDescent="0.25">
      <c r="A21" s="26">
        <v>66</v>
      </c>
      <c r="B21" s="28"/>
      <c r="C21" s="24"/>
      <c r="D21" s="24"/>
      <c r="E21" s="24"/>
      <c r="F21" s="24"/>
      <c r="G21" s="24"/>
      <c r="H21" s="24"/>
      <c r="I21" s="24"/>
      <c r="J21" s="26">
        <v>66</v>
      </c>
      <c r="K21" s="28"/>
      <c r="L21" s="24"/>
      <c r="M21" s="24"/>
      <c r="N21" s="24"/>
      <c r="O21" s="24"/>
      <c r="P21" s="21"/>
      <c r="Q21" s="21"/>
      <c r="R21" s="24"/>
      <c r="S21" s="26">
        <v>47</v>
      </c>
      <c r="T21" s="28"/>
    </row>
    <row r="22" spans="1:20" x14ac:dyDescent="0.25">
      <c r="A22" s="24"/>
      <c r="B22" s="20" t="str">
        <f>IF(SUM(B4:B21)=0,"",SUM(B4:B21))</f>
        <v/>
      </c>
      <c r="C22" s="24"/>
      <c r="D22" s="24"/>
      <c r="E22" s="24"/>
      <c r="F22" s="24"/>
      <c r="G22" s="24"/>
      <c r="H22" s="24"/>
      <c r="I22" s="24"/>
      <c r="J22" s="21"/>
      <c r="K22" s="20" t="str">
        <f>IF(SUM(K4:K21)=0,"",SUM(K4:K21))</f>
        <v/>
      </c>
      <c r="L22" s="24"/>
      <c r="M22" s="24"/>
      <c r="N22" s="24"/>
      <c r="O22" s="24"/>
      <c r="P22" s="21"/>
      <c r="Q22" s="21"/>
      <c r="R22" s="24"/>
      <c r="S22" s="26">
        <v>48</v>
      </c>
      <c r="T22" s="28"/>
    </row>
    <row r="23" spans="1:20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1"/>
      <c r="K23" s="21"/>
      <c r="L23" s="24"/>
      <c r="M23" s="24"/>
      <c r="N23" s="24"/>
      <c r="O23" s="24"/>
      <c r="P23" s="21"/>
      <c r="Q23" s="21"/>
      <c r="R23" s="24"/>
      <c r="S23" s="26">
        <v>49</v>
      </c>
      <c r="T23" s="28"/>
    </row>
    <row r="24" spans="1:20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1"/>
      <c r="K24" s="21"/>
      <c r="L24" s="24"/>
      <c r="M24" s="24"/>
      <c r="N24" s="24"/>
      <c r="O24" s="24"/>
      <c r="P24" s="21"/>
      <c r="Q24" s="21"/>
      <c r="R24" s="24"/>
      <c r="S24" s="26">
        <v>50</v>
      </c>
      <c r="T24" s="28"/>
    </row>
    <row r="25" spans="1:20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1"/>
      <c r="K25" s="21"/>
      <c r="L25" s="24"/>
      <c r="M25" s="24"/>
      <c r="N25" s="24"/>
      <c r="O25" s="24"/>
      <c r="P25" s="21"/>
      <c r="Q25" s="21"/>
      <c r="R25" s="24"/>
      <c r="S25" s="26">
        <v>51</v>
      </c>
      <c r="T25" s="28"/>
    </row>
    <row r="26" spans="1:20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1"/>
      <c r="K26" s="21"/>
      <c r="L26" s="24"/>
      <c r="M26" s="24"/>
      <c r="N26" s="24"/>
      <c r="O26" s="24"/>
      <c r="P26" s="21"/>
      <c r="Q26" s="21"/>
      <c r="R26" s="24"/>
      <c r="S26" s="26">
        <v>52</v>
      </c>
      <c r="T26" s="28"/>
    </row>
    <row r="27" spans="1:20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1"/>
      <c r="K27" s="21"/>
      <c r="L27" s="24"/>
      <c r="M27" s="24"/>
      <c r="N27" s="24"/>
      <c r="O27" s="24"/>
      <c r="P27" s="21"/>
      <c r="Q27" s="21"/>
      <c r="R27" s="24"/>
      <c r="S27" s="26">
        <v>53</v>
      </c>
      <c r="T27" s="28"/>
    </row>
    <row r="28" spans="1:20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1"/>
      <c r="K28" s="21"/>
      <c r="L28" s="24"/>
      <c r="M28" s="24"/>
      <c r="N28" s="24"/>
      <c r="O28" s="24"/>
      <c r="P28" s="21"/>
      <c r="Q28" s="21"/>
      <c r="R28" s="24"/>
      <c r="S28" s="26">
        <v>54</v>
      </c>
      <c r="T28" s="28"/>
    </row>
    <row r="29" spans="1:20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1"/>
      <c r="K29" s="21"/>
      <c r="L29" s="24"/>
      <c r="M29" s="24"/>
      <c r="N29" s="24"/>
      <c r="O29" s="24"/>
      <c r="P29" s="21"/>
      <c r="Q29" s="21"/>
      <c r="R29" s="24"/>
      <c r="S29" s="26">
        <v>55</v>
      </c>
      <c r="T29" s="28"/>
    </row>
    <row r="30" spans="1:20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1"/>
      <c r="K30" s="21"/>
      <c r="L30" s="24"/>
      <c r="M30" s="24"/>
      <c r="N30" s="24"/>
      <c r="O30" s="24"/>
      <c r="P30" s="21"/>
      <c r="Q30" s="21"/>
      <c r="R30" s="24"/>
      <c r="S30" s="21"/>
      <c r="T30" s="20" t="str">
        <f>IF(SUM(T4:T29)=0,"",SUM(T4:T29))</f>
        <v/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5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14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 t="str">
        <f>IF(TOTALES!B4="","",TOTALES!B4)</f>
        <v/>
      </c>
    </row>
    <row r="5" spans="1:2" x14ac:dyDescent="0.25">
      <c r="A5" s="4">
        <v>34</v>
      </c>
      <c r="B5" s="5" t="str">
        <f>IF(TOTALES!B5="","",TOTALES!B5)</f>
        <v/>
      </c>
    </row>
    <row r="6" spans="1:2" x14ac:dyDescent="0.25">
      <c r="A6" s="4">
        <v>36</v>
      </c>
      <c r="B6" s="5" t="str">
        <f>IF(TOTALES!B6="","",TOTALES!B6)</f>
        <v/>
      </c>
    </row>
    <row r="7" spans="1:2" x14ac:dyDescent="0.25">
      <c r="A7" s="4">
        <v>38</v>
      </c>
      <c r="B7" s="5" t="str">
        <f>IF(TOTALES!B7="","",TOTALES!B7)</f>
        <v/>
      </c>
    </row>
    <row r="8" spans="1:2" x14ac:dyDescent="0.25">
      <c r="A8" s="4">
        <v>40</v>
      </c>
      <c r="B8" s="5" t="str">
        <f>IF(TOTALES!B8="","",TOTALES!B8)</f>
        <v/>
      </c>
    </row>
    <row r="9" spans="1:2" x14ac:dyDescent="0.25">
      <c r="A9" s="4">
        <v>42</v>
      </c>
      <c r="B9" s="5" t="str">
        <f>IF(TOTALES!B9="","",TOTALES!B9)</f>
        <v/>
      </c>
    </row>
    <row r="10" spans="1:2" x14ac:dyDescent="0.25">
      <c r="A10" s="4">
        <v>44</v>
      </c>
      <c r="B10" s="5" t="str">
        <f>IF(TOTALES!B10="","",TOTALES!B10)</f>
        <v/>
      </c>
    </row>
    <row r="11" spans="1:2" x14ac:dyDescent="0.25">
      <c r="A11" s="4">
        <v>46</v>
      </c>
      <c r="B11" s="5" t="str">
        <f>IF(TOTALES!B11="","",TOTALES!B11)</f>
        <v/>
      </c>
    </row>
    <row r="12" spans="1:2" x14ac:dyDescent="0.25">
      <c r="A12" s="4">
        <v>48</v>
      </c>
      <c r="B12" s="5" t="str">
        <f>IF(TOTALES!B12="","",TOTALES!B12)</f>
        <v/>
      </c>
    </row>
    <row r="13" spans="1:2" x14ac:dyDescent="0.25">
      <c r="A13" s="4">
        <v>50</v>
      </c>
      <c r="B13" s="5" t="str">
        <f>IF(TOTALES!B13="","",TOTALES!B13)</f>
        <v/>
      </c>
    </row>
    <row r="14" spans="1:2" x14ac:dyDescent="0.25">
      <c r="A14" s="4">
        <v>52</v>
      </c>
      <c r="B14" s="5" t="str">
        <f>IF(TOTALES!B14="","",TOTALES!B14)</f>
        <v/>
      </c>
    </row>
    <row r="15" spans="1:2" x14ac:dyDescent="0.25">
      <c r="A15" s="4">
        <v>54</v>
      </c>
      <c r="B15" s="5" t="str">
        <f>IF(TOTALES!B15="","",TOTALES!B15)</f>
        <v/>
      </c>
    </row>
    <row r="16" spans="1:2" x14ac:dyDescent="0.25">
      <c r="A16" s="4">
        <v>56</v>
      </c>
      <c r="B16" s="5" t="str">
        <f>IF(TOTALES!B16="","",TOTALES!B16)</f>
        <v/>
      </c>
    </row>
    <row r="17" spans="1:2" x14ac:dyDescent="0.25">
      <c r="A17" s="4">
        <v>58</v>
      </c>
      <c r="B17" s="5" t="str">
        <f>IF(TOTALES!B17="","",TOTALES!B17)</f>
        <v/>
      </c>
    </row>
    <row r="18" spans="1:2" x14ac:dyDescent="0.25">
      <c r="A18" s="4">
        <v>60</v>
      </c>
      <c r="B18" s="5" t="str">
        <f>IF(TOTALES!B18="","",TOTALES!B18)</f>
        <v/>
      </c>
    </row>
    <row r="19" spans="1:2" x14ac:dyDescent="0.25">
      <c r="A19" s="4">
        <v>62</v>
      </c>
      <c r="B19" s="5" t="str">
        <f>IF(TOTALES!B19="","",TOTALES!B19)</f>
        <v/>
      </c>
    </row>
    <row r="20" spans="1:2" x14ac:dyDescent="0.25">
      <c r="A20" s="4">
        <v>64</v>
      </c>
      <c r="B20" s="5" t="str">
        <f>IF(TOTALES!B20="","",TOTALES!B20)</f>
        <v/>
      </c>
    </row>
    <row r="21" spans="1:2" x14ac:dyDescent="0.25">
      <c r="A21" s="4">
        <v>66</v>
      </c>
      <c r="B21" s="5" t="str">
        <f>IF(TOTALES!B21="","",TOTALES!B21)</f>
        <v/>
      </c>
    </row>
    <row r="22" spans="1:2" ht="19.5" x14ac:dyDescent="0.3">
      <c r="A22" s="6"/>
      <c r="B22" s="8" t="str">
        <f>IF(SUM(B4:B21)=0,"",SUM(B4:B21))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11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IF(TOTALES!E4="","",TOTALES!E4)</f>
        <v/>
      </c>
    </row>
    <row r="5" spans="1:2" x14ac:dyDescent="0.25">
      <c r="A5" s="4" t="s">
        <v>8</v>
      </c>
      <c r="B5" s="5" t="str">
        <f>IF(TOTALES!E5="","",TOTALES!E5)</f>
        <v/>
      </c>
    </row>
    <row r="6" spans="1:2" x14ac:dyDescent="0.25">
      <c r="A6" s="4" t="s">
        <v>5</v>
      </c>
      <c r="B6" s="5" t="str">
        <f>IF(TOTALES!E6="","",TOTALES!E6)</f>
        <v/>
      </c>
    </row>
    <row r="7" spans="1:2" x14ac:dyDescent="0.25">
      <c r="A7" s="4" t="s">
        <v>4</v>
      </c>
      <c r="B7" s="5" t="str">
        <f>IF(TOTALES!E7="","",TOTALES!E7)</f>
        <v/>
      </c>
    </row>
    <row r="8" spans="1:2" x14ac:dyDescent="0.25">
      <c r="A8" s="4" t="s">
        <v>2</v>
      </c>
      <c r="B8" s="5" t="str">
        <f>IF(TOTALES!E8="","",TOTALES!E8)</f>
        <v/>
      </c>
    </row>
    <row r="9" spans="1:2" x14ac:dyDescent="0.25">
      <c r="A9" s="4" t="s">
        <v>1</v>
      </c>
      <c r="B9" s="5">
        <f>IF(TOTALES!E9="","",TOTALES!E9)</f>
        <v>1</v>
      </c>
    </row>
    <row r="10" spans="1:2" x14ac:dyDescent="0.25">
      <c r="A10" s="4" t="s">
        <v>3</v>
      </c>
      <c r="B10" s="5" t="str">
        <f>IF(TOTALES!E10="","",TOTALES!E10)</f>
        <v/>
      </c>
    </row>
    <row r="11" spans="1:2" x14ac:dyDescent="0.25">
      <c r="A11" s="4" t="s">
        <v>6</v>
      </c>
      <c r="B11" s="5" t="str">
        <f>IF(TOTALES!E11="","",TOTALES!E11)</f>
        <v/>
      </c>
    </row>
    <row r="12" spans="1:2" x14ac:dyDescent="0.25">
      <c r="A12" s="4" t="s">
        <v>7</v>
      </c>
      <c r="B12" s="5" t="str">
        <f>IF(TOTALES!E12="","",TOTALES!E12)</f>
        <v/>
      </c>
    </row>
    <row r="13" spans="1:2" x14ac:dyDescent="0.25">
      <c r="A13" s="4" t="s">
        <v>19</v>
      </c>
      <c r="B13" s="5" t="str">
        <f>IF(TOTALES!E13="","",TOTALES!E13)</f>
        <v/>
      </c>
    </row>
    <row r="14" spans="1:2" x14ac:dyDescent="0.25">
      <c r="A14" s="4" t="s">
        <v>20</v>
      </c>
      <c r="B14" s="5" t="str">
        <f>IF(TOTALES!E14="","",TOTALES!E14)</f>
        <v/>
      </c>
    </row>
    <row r="15" spans="1:2" x14ac:dyDescent="0.25">
      <c r="A15" s="4" t="s">
        <v>22</v>
      </c>
      <c r="B15" s="5" t="str">
        <f>IF(TOTALES!E15="","",TOTALES!E15)</f>
        <v/>
      </c>
    </row>
    <row r="16" spans="1:2" ht="19.5" x14ac:dyDescent="0.3">
      <c r="A16" s="6"/>
      <c r="B16" s="8">
        <f>IF(SUM(B4:B15)=0,"",SUM(B4:B15))</f>
        <v>1</v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0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>
        <v>50</v>
      </c>
      <c r="B4" s="5" t="str">
        <f>IF(TOTALES!H4="","",TOTALES!H4)</f>
        <v/>
      </c>
    </row>
    <row r="5" spans="1:2" x14ac:dyDescent="0.25">
      <c r="A5" s="4">
        <v>51</v>
      </c>
      <c r="B5" s="5" t="str">
        <f>IF(TOTALES!H5="","",TOTALES!H5)</f>
        <v/>
      </c>
    </row>
    <row r="6" spans="1:2" x14ac:dyDescent="0.25">
      <c r="A6" s="4">
        <v>52</v>
      </c>
      <c r="B6" s="5" t="str">
        <f>IF(TOTALES!H6="","",TOTALES!H6)</f>
        <v/>
      </c>
    </row>
    <row r="7" spans="1:2" x14ac:dyDescent="0.25">
      <c r="A7" s="4">
        <v>53</v>
      </c>
      <c r="B7" s="5" t="str">
        <f>IF(TOTALES!H7="","",TOTALES!H7)</f>
        <v/>
      </c>
    </row>
    <row r="8" spans="1:2" x14ac:dyDescent="0.25">
      <c r="A8" s="4">
        <v>54</v>
      </c>
      <c r="B8" s="5" t="str">
        <f>IF(TOTALES!H8="","",TOTALES!H8)</f>
        <v/>
      </c>
    </row>
    <row r="9" spans="1:2" x14ac:dyDescent="0.25">
      <c r="A9" s="4">
        <v>55</v>
      </c>
      <c r="B9" s="5" t="str">
        <f>IF(TOTALES!H9="","",TOTALES!H9)</f>
        <v/>
      </c>
    </row>
    <row r="10" spans="1:2" x14ac:dyDescent="0.25">
      <c r="A10" s="4">
        <v>56</v>
      </c>
      <c r="B10" s="5" t="str">
        <f>IF(TOTALES!H10="","",TOTALES!H10)</f>
        <v/>
      </c>
    </row>
    <row r="11" spans="1:2" x14ac:dyDescent="0.25">
      <c r="A11" s="4">
        <v>57</v>
      </c>
      <c r="B11" s="5" t="str">
        <f>IF(TOTALES!H11="","",TOTALES!H11)</f>
        <v/>
      </c>
    </row>
    <row r="12" spans="1:2" x14ac:dyDescent="0.25">
      <c r="A12" s="4">
        <v>58</v>
      </c>
      <c r="B12" s="5" t="str">
        <f>IF(TOTALES!H12="","",TOTALES!H12)</f>
        <v/>
      </c>
    </row>
    <row r="13" spans="1:2" x14ac:dyDescent="0.25">
      <c r="A13" s="4">
        <v>59</v>
      </c>
      <c r="B13" s="5">
        <f>IF(TOTALES!H13="","",TOTALES!H13)</f>
        <v>1</v>
      </c>
    </row>
    <row r="14" spans="1:2" x14ac:dyDescent="0.25">
      <c r="A14" s="4">
        <v>60</v>
      </c>
      <c r="B14" s="5" t="str">
        <f>IF(TOTALES!H14="","",TOTALES!H14)</f>
        <v/>
      </c>
    </row>
    <row r="15" spans="1:2" x14ac:dyDescent="0.25">
      <c r="A15" s="4">
        <v>61</v>
      </c>
      <c r="B15" s="5" t="str">
        <f>IF(TOTALES!H15="","",TOTALES!H15)</f>
        <v/>
      </c>
    </row>
    <row r="16" spans="1:2" x14ac:dyDescent="0.25">
      <c r="A16" s="4">
        <v>62</v>
      </c>
      <c r="B16" s="5" t="str">
        <f>IF(TOTALES!H16="","",TOTALES!H16)</f>
        <v/>
      </c>
    </row>
    <row r="17" spans="1:2" x14ac:dyDescent="0.25">
      <c r="A17" s="4">
        <v>63</v>
      </c>
      <c r="B17" s="5" t="str">
        <f>IF(TOTALES!H17="","",TOTALES!H17)</f>
        <v/>
      </c>
    </row>
    <row r="18" spans="1:2" x14ac:dyDescent="0.25">
      <c r="A18" s="4">
        <v>64</v>
      </c>
      <c r="B18" s="5" t="str">
        <f>IF(TOTALES!H18="","",TOTALES!H18)</f>
        <v/>
      </c>
    </row>
    <row r="19" spans="1:2" x14ac:dyDescent="0.25">
      <c r="A19" s="4">
        <v>65</v>
      </c>
      <c r="B19" s="5" t="str">
        <f>IF(TOTALES!H19="","",TOTALES!H19)</f>
        <v/>
      </c>
    </row>
    <row r="20" spans="1:2" ht="19.5" x14ac:dyDescent="0.3">
      <c r="A20" s="6"/>
      <c r="B20" s="8">
        <f>IF(SUM(B4:B19)=0,"",SUM(B4:B19))</f>
        <v>1</v>
      </c>
    </row>
  </sheetData>
  <sheetProtection password="C68E" sheet="1" objects="1" scenarios="1"/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10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>
        <v>32</v>
      </c>
      <c r="B4" s="5" t="str">
        <f>IF(TOTALES!K4="","",TOTALES!K4)</f>
        <v/>
      </c>
    </row>
    <row r="5" spans="1:2" x14ac:dyDescent="0.25">
      <c r="A5" s="4">
        <v>34</v>
      </c>
      <c r="B5" s="5" t="str">
        <f>IF(TOTALES!K5="","",TOTALES!K5)</f>
        <v/>
      </c>
    </row>
    <row r="6" spans="1:2" x14ac:dyDescent="0.25">
      <c r="A6" s="4">
        <v>36</v>
      </c>
      <c r="B6" s="5" t="str">
        <f>IF(TOTALES!K6="","",TOTALES!K6)</f>
        <v/>
      </c>
    </row>
    <row r="7" spans="1:2" x14ac:dyDescent="0.25">
      <c r="A7" s="4">
        <v>38</v>
      </c>
      <c r="B7" s="5" t="str">
        <f>IF(TOTALES!K7="","",TOTALES!K7)</f>
        <v/>
      </c>
    </row>
    <row r="8" spans="1:2" x14ac:dyDescent="0.25">
      <c r="A8" s="4">
        <v>40</v>
      </c>
      <c r="B8" s="5" t="str">
        <f>IF(TOTALES!K8="","",TOTALES!K8)</f>
        <v/>
      </c>
    </row>
    <row r="9" spans="1:2" x14ac:dyDescent="0.25">
      <c r="A9" s="4">
        <v>42</v>
      </c>
      <c r="B9" s="5" t="str">
        <f>IF(TOTALES!K9="","",TOTALES!K9)</f>
        <v/>
      </c>
    </row>
    <row r="10" spans="1:2" x14ac:dyDescent="0.25">
      <c r="A10" s="4">
        <v>44</v>
      </c>
      <c r="B10" s="5" t="str">
        <f>IF(TOTALES!K10="","",TOTALES!K10)</f>
        <v/>
      </c>
    </row>
    <row r="11" spans="1:2" x14ac:dyDescent="0.25">
      <c r="A11" s="4">
        <v>46</v>
      </c>
      <c r="B11" s="5" t="str">
        <f>IF(TOTALES!K11="","",TOTALES!K11)</f>
        <v/>
      </c>
    </row>
    <row r="12" spans="1:2" x14ac:dyDescent="0.25">
      <c r="A12" s="4">
        <v>48</v>
      </c>
      <c r="B12" s="5" t="str">
        <f>IF(TOTALES!K12="","",TOTALES!K12)</f>
        <v/>
      </c>
    </row>
    <row r="13" spans="1:2" x14ac:dyDescent="0.25">
      <c r="A13" s="4">
        <v>50</v>
      </c>
      <c r="B13" s="5" t="str">
        <f>IF(TOTALES!K13="","",TOTALES!K13)</f>
        <v/>
      </c>
    </row>
    <row r="14" spans="1:2" x14ac:dyDescent="0.25">
      <c r="A14" s="4">
        <v>52</v>
      </c>
      <c r="B14" s="5" t="str">
        <f>IF(TOTALES!K14="","",TOTALES!K14)</f>
        <v/>
      </c>
    </row>
    <row r="15" spans="1:2" x14ac:dyDescent="0.25">
      <c r="A15" s="4">
        <v>54</v>
      </c>
      <c r="B15" s="5" t="str">
        <f>IF(TOTALES!K15="","",TOTALES!K15)</f>
        <v/>
      </c>
    </row>
    <row r="16" spans="1:2" x14ac:dyDescent="0.25">
      <c r="A16" s="4">
        <v>56</v>
      </c>
      <c r="B16" s="5" t="str">
        <f>IF(TOTALES!K16="","",TOTALES!K16)</f>
        <v/>
      </c>
    </row>
    <row r="17" spans="1:2" x14ac:dyDescent="0.25">
      <c r="A17" s="4">
        <v>58</v>
      </c>
      <c r="B17" s="5" t="str">
        <f>IF(TOTALES!K17="","",TOTALES!K17)</f>
        <v/>
      </c>
    </row>
    <row r="18" spans="1:2" x14ac:dyDescent="0.25">
      <c r="A18" s="4">
        <v>60</v>
      </c>
      <c r="B18" s="5" t="str">
        <f>IF(TOTALES!K18="","",TOTALES!K18)</f>
        <v/>
      </c>
    </row>
    <row r="19" spans="1:2" x14ac:dyDescent="0.25">
      <c r="A19" s="4">
        <v>62</v>
      </c>
      <c r="B19" s="5" t="str">
        <f>IF(TOTALES!K19="","",TOTALES!K19)</f>
        <v/>
      </c>
    </row>
    <row r="20" spans="1:2" x14ac:dyDescent="0.25">
      <c r="A20" s="4">
        <v>64</v>
      </c>
      <c r="B20" s="5" t="str">
        <f>IF(TOTALES!K20="","",TOTALES!K20)</f>
        <v/>
      </c>
    </row>
    <row r="21" spans="1:2" x14ac:dyDescent="0.25">
      <c r="A21" s="4">
        <v>66</v>
      </c>
      <c r="B21" s="5" t="str">
        <f>IF(TOTALES!K21="","",TOTALES!K21)</f>
        <v/>
      </c>
    </row>
    <row r="22" spans="1:2" ht="19.5" x14ac:dyDescent="0.3">
      <c r="A22" s="7"/>
      <c r="B22" s="8" t="str">
        <f>IF(SUM(B4:B21)=0,"",SUM(B4:B21))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12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IF(TOTALES!N4="","",TOTALES!N4)</f>
        <v/>
      </c>
    </row>
    <row r="5" spans="1:2" x14ac:dyDescent="0.25">
      <c r="A5" s="4" t="s">
        <v>8</v>
      </c>
      <c r="B5" s="5" t="str">
        <f>IF(TOTALES!N5="","",TOTALES!N5)</f>
        <v/>
      </c>
    </row>
    <row r="6" spans="1:2" x14ac:dyDescent="0.25">
      <c r="A6" s="4" t="s">
        <v>5</v>
      </c>
      <c r="B6" s="5" t="str">
        <f>IF(TOTALES!N6="","",TOTALES!N6)</f>
        <v/>
      </c>
    </row>
    <row r="7" spans="1:2" x14ac:dyDescent="0.25">
      <c r="A7" s="4" t="s">
        <v>4</v>
      </c>
      <c r="B7" s="5" t="str">
        <f>IF(TOTALES!N7="","",TOTALES!N7)</f>
        <v/>
      </c>
    </row>
    <row r="8" spans="1:2" x14ac:dyDescent="0.25">
      <c r="A8" s="4" t="s">
        <v>2</v>
      </c>
      <c r="B8" s="5" t="str">
        <f>IF(TOTALES!N8="","",TOTALES!N8)</f>
        <v/>
      </c>
    </row>
    <row r="9" spans="1:2" x14ac:dyDescent="0.25">
      <c r="A9" s="4" t="s">
        <v>1</v>
      </c>
      <c r="B9" s="5" t="str">
        <f>IF(TOTALES!N9="","",TOTALES!N9)</f>
        <v/>
      </c>
    </row>
    <row r="10" spans="1:2" x14ac:dyDescent="0.25">
      <c r="A10" s="4" t="s">
        <v>3</v>
      </c>
      <c r="B10" s="5" t="str">
        <f>IF(TOTALES!N10="","",TOTALES!N10)</f>
        <v/>
      </c>
    </row>
    <row r="11" spans="1:2" x14ac:dyDescent="0.25">
      <c r="A11" s="4" t="s">
        <v>6</v>
      </c>
      <c r="B11" s="5" t="str">
        <f>IF(TOTALES!N11="","",TOTALES!N11)</f>
        <v/>
      </c>
    </row>
    <row r="12" spans="1:2" x14ac:dyDescent="0.25">
      <c r="A12" s="4" t="s">
        <v>7</v>
      </c>
      <c r="B12" s="5" t="str">
        <f>IF(TOTALES!N12="","",TOTALES!N12)</f>
        <v/>
      </c>
    </row>
    <row r="13" spans="1:2" x14ac:dyDescent="0.25">
      <c r="A13" s="4" t="s">
        <v>19</v>
      </c>
      <c r="B13" s="5" t="str">
        <f>IF(TOTALES!N13="","",TOTALES!N13)</f>
        <v/>
      </c>
    </row>
    <row r="14" spans="1:2" x14ac:dyDescent="0.25">
      <c r="A14" s="4" t="s">
        <v>20</v>
      </c>
      <c r="B14" s="5" t="str">
        <f>IF(TOTALES!N14="","",TOTALES!N14)</f>
        <v/>
      </c>
    </row>
    <row r="15" spans="1:2" x14ac:dyDescent="0.25">
      <c r="A15" s="4" t="s">
        <v>22</v>
      </c>
      <c r="B15" s="5" t="str">
        <f>IF(TOTALES!N15="","",TOTALES!N15)</f>
        <v/>
      </c>
    </row>
    <row r="16" spans="1:2" ht="19.5" x14ac:dyDescent="0.3">
      <c r="A16" s="6"/>
      <c r="B16" s="8" t="str">
        <f>IF(SUM(B4:B15)=0,"",SUM(B4:B15))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13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 t="s">
        <v>21</v>
      </c>
      <c r="B4" s="5" t="str">
        <f>IF(TOTALES!Q4="","",TOTALES!Q4)</f>
        <v/>
      </c>
    </row>
    <row r="5" spans="1:2" x14ac:dyDescent="0.25">
      <c r="A5" s="4" t="s">
        <v>8</v>
      </c>
      <c r="B5" s="5" t="str">
        <f>IF(TOTALES!Q5="","",TOTALES!Q5)</f>
        <v/>
      </c>
    </row>
    <row r="6" spans="1:2" x14ac:dyDescent="0.25">
      <c r="A6" s="4" t="s">
        <v>5</v>
      </c>
      <c r="B6" s="5" t="str">
        <f>IF(TOTALES!Q6="","",TOTALES!Q6)</f>
        <v/>
      </c>
    </row>
    <row r="7" spans="1:2" x14ac:dyDescent="0.25">
      <c r="A7" s="4" t="s">
        <v>4</v>
      </c>
      <c r="B7" s="5" t="str">
        <f>IF(TOTALES!Q7="","",TOTALES!Q7)</f>
        <v/>
      </c>
    </row>
    <row r="8" spans="1:2" x14ac:dyDescent="0.25">
      <c r="A8" s="4" t="s">
        <v>2</v>
      </c>
      <c r="B8" s="5" t="str">
        <f>IF(TOTALES!Q8="","",TOTALES!Q8)</f>
        <v/>
      </c>
    </row>
    <row r="9" spans="1:2" x14ac:dyDescent="0.25">
      <c r="A9" s="4" t="s">
        <v>1</v>
      </c>
      <c r="B9" s="5" t="str">
        <f>IF(TOTALES!Q9="","",TOTALES!Q9)</f>
        <v/>
      </c>
    </row>
    <row r="10" spans="1:2" x14ac:dyDescent="0.25">
      <c r="A10" s="4" t="s">
        <v>3</v>
      </c>
      <c r="B10" s="5" t="str">
        <f>IF(TOTALES!Q10="","",TOTALES!Q10)</f>
        <v/>
      </c>
    </row>
    <row r="11" spans="1:2" x14ac:dyDescent="0.25">
      <c r="A11" s="4" t="s">
        <v>6</v>
      </c>
      <c r="B11" s="5" t="str">
        <f>IF(TOTALES!Q11="","",TOTALES!Q11)</f>
        <v/>
      </c>
    </row>
    <row r="12" spans="1:2" x14ac:dyDescent="0.25">
      <c r="A12" s="4" t="s">
        <v>7</v>
      </c>
      <c r="B12" s="5" t="str">
        <f>IF(TOTALES!Q12="","",TOTALES!Q12)</f>
        <v/>
      </c>
    </row>
    <row r="13" spans="1:2" x14ac:dyDescent="0.25">
      <c r="A13" s="4" t="s">
        <v>19</v>
      </c>
      <c r="B13" s="5" t="str">
        <f>IF(TOTALES!Q13="","",TOTALES!Q13)</f>
        <v/>
      </c>
    </row>
    <row r="14" spans="1:2" x14ac:dyDescent="0.25">
      <c r="A14" s="4" t="s">
        <v>20</v>
      </c>
      <c r="B14" s="5" t="str">
        <f>IF(TOTALES!Q14="","",TOTALES!Q14)</f>
        <v/>
      </c>
    </row>
    <row r="15" spans="1:2" x14ac:dyDescent="0.25">
      <c r="A15" s="4" t="s">
        <v>22</v>
      </c>
      <c r="B15" s="5" t="str">
        <f>IF(TOTALES!Q15="","",TOTALES!Q15)</f>
        <v/>
      </c>
    </row>
    <row r="16" spans="1:2" ht="19.5" x14ac:dyDescent="0.3">
      <c r="A16" s="7"/>
      <c r="B16" s="8" t="str">
        <f>IF(SUM(B4:B15)=0,"",SUM(B4:B15))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topLeftCell="A13"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4" t="s">
        <v>9</v>
      </c>
      <c r="B2" s="35"/>
    </row>
    <row r="3" spans="1:2" x14ac:dyDescent="0.25">
      <c r="A3" s="2" t="s">
        <v>23</v>
      </c>
      <c r="B3" s="3" t="s">
        <v>24</v>
      </c>
    </row>
    <row r="4" spans="1:2" x14ac:dyDescent="0.25">
      <c r="A4" s="4">
        <v>30</v>
      </c>
      <c r="B4" s="5" t="str">
        <f>IF(TOTALES!T4="","",TOTALES!T4)</f>
        <v/>
      </c>
    </row>
    <row r="5" spans="1:2" x14ac:dyDescent="0.25">
      <c r="A5" s="4">
        <v>31</v>
      </c>
      <c r="B5" s="5" t="str">
        <f>IF(TOTALES!T5="","",TOTALES!T5)</f>
        <v/>
      </c>
    </row>
    <row r="6" spans="1:2" x14ac:dyDescent="0.25">
      <c r="A6" s="4">
        <v>32</v>
      </c>
      <c r="B6" s="5" t="str">
        <f>IF(TOTALES!T6="","",TOTALES!T6)</f>
        <v/>
      </c>
    </row>
    <row r="7" spans="1:2" x14ac:dyDescent="0.25">
      <c r="A7" s="4">
        <v>33</v>
      </c>
      <c r="B7" s="5" t="str">
        <f>IF(TOTALES!T7="","",TOTALES!T7)</f>
        <v/>
      </c>
    </row>
    <row r="8" spans="1:2" x14ac:dyDescent="0.25">
      <c r="A8" s="4">
        <v>34</v>
      </c>
      <c r="B8" s="5" t="str">
        <f>IF(TOTALES!T8="","",TOTALES!T8)</f>
        <v/>
      </c>
    </row>
    <row r="9" spans="1:2" x14ac:dyDescent="0.25">
      <c r="A9" s="4">
        <v>35</v>
      </c>
      <c r="B9" s="5" t="str">
        <f>IF(TOTALES!T9="","",TOTALES!T9)</f>
        <v/>
      </c>
    </row>
    <row r="10" spans="1:2" x14ac:dyDescent="0.25">
      <c r="A10" s="4">
        <v>36</v>
      </c>
      <c r="B10" s="5" t="str">
        <f>IF(TOTALES!T10="","",TOTALES!T10)</f>
        <v/>
      </c>
    </row>
    <row r="11" spans="1:2" x14ac:dyDescent="0.25">
      <c r="A11" s="4">
        <v>37</v>
      </c>
      <c r="B11" s="5" t="str">
        <f>IF(TOTALES!T11="","",TOTALES!T11)</f>
        <v/>
      </c>
    </row>
    <row r="12" spans="1:2" x14ac:dyDescent="0.25">
      <c r="A12" s="4">
        <v>38</v>
      </c>
      <c r="B12" s="5" t="str">
        <f>IF(TOTALES!T12="","",TOTALES!T12)</f>
        <v/>
      </c>
    </row>
    <row r="13" spans="1:2" x14ac:dyDescent="0.25">
      <c r="A13" s="4">
        <v>39</v>
      </c>
      <c r="B13" s="5" t="str">
        <f>IF(TOTALES!T13="","",TOTALES!T13)</f>
        <v/>
      </c>
    </row>
    <row r="14" spans="1:2" x14ac:dyDescent="0.25">
      <c r="A14" s="4">
        <v>40</v>
      </c>
      <c r="B14" s="5" t="str">
        <f>IF(TOTALES!T14="","",TOTALES!T14)</f>
        <v/>
      </c>
    </row>
    <row r="15" spans="1:2" x14ac:dyDescent="0.25">
      <c r="A15" s="4">
        <v>41</v>
      </c>
      <c r="B15" s="5" t="str">
        <f>IF(TOTALES!T15="","",TOTALES!T15)</f>
        <v/>
      </c>
    </row>
    <row r="16" spans="1:2" x14ac:dyDescent="0.25">
      <c r="A16" s="4">
        <v>42</v>
      </c>
      <c r="B16" s="5" t="str">
        <f>IF(TOTALES!T16="","",TOTALES!T16)</f>
        <v/>
      </c>
    </row>
    <row r="17" spans="1:2" x14ac:dyDescent="0.25">
      <c r="A17" s="4">
        <v>43</v>
      </c>
      <c r="B17" s="5" t="str">
        <f>IF(TOTALES!T17="","",TOTALES!T17)</f>
        <v/>
      </c>
    </row>
    <row r="18" spans="1:2" x14ac:dyDescent="0.25">
      <c r="A18" s="4">
        <v>44</v>
      </c>
      <c r="B18" s="5" t="str">
        <f>IF(TOTALES!T18="","",TOTALES!T18)</f>
        <v/>
      </c>
    </row>
    <row r="19" spans="1:2" x14ac:dyDescent="0.25">
      <c r="A19" s="4">
        <v>45</v>
      </c>
      <c r="B19" s="5" t="str">
        <f>IF(TOTALES!T19="","",TOTALES!T19)</f>
        <v/>
      </c>
    </row>
    <row r="20" spans="1:2" x14ac:dyDescent="0.25">
      <c r="A20" s="4">
        <v>46</v>
      </c>
      <c r="B20" s="5" t="str">
        <f>IF(TOTALES!T20="","",TOTALES!T20)</f>
        <v/>
      </c>
    </row>
    <row r="21" spans="1:2" x14ac:dyDescent="0.25">
      <c r="A21" s="4">
        <v>47</v>
      </c>
      <c r="B21" s="5" t="str">
        <f>IF(TOTALES!T21="","",TOTALES!T21)</f>
        <v/>
      </c>
    </row>
    <row r="22" spans="1:2" x14ac:dyDescent="0.25">
      <c r="A22" s="4">
        <v>48</v>
      </c>
      <c r="B22" s="5" t="str">
        <f>IF(TOTALES!T22="","",TOTALES!T22)</f>
        <v/>
      </c>
    </row>
    <row r="23" spans="1:2" x14ac:dyDescent="0.25">
      <c r="A23" s="4">
        <v>49</v>
      </c>
      <c r="B23" s="5" t="str">
        <f>IF(TOTALES!T23="","",TOTALES!T23)</f>
        <v/>
      </c>
    </row>
    <row r="24" spans="1:2" x14ac:dyDescent="0.25">
      <c r="A24" s="4">
        <v>50</v>
      </c>
      <c r="B24" s="5" t="str">
        <f>IF(TOTALES!T24="","",TOTALES!T24)</f>
        <v/>
      </c>
    </row>
    <row r="25" spans="1:2" x14ac:dyDescent="0.25">
      <c r="A25" s="4">
        <v>51</v>
      </c>
      <c r="B25" s="5" t="str">
        <f>IF(TOTALES!T25="","",TOTALES!T25)</f>
        <v/>
      </c>
    </row>
    <row r="26" spans="1:2" x14ac:dyDescent="0.25">
      <c r="A26" s="4">
        <v>52</v>
      </c>
      <c r="B26" s="5" t="str">
        <f>IF(TOTALES!T26="","",TOTALES!T26)</f>
        <v/>
      </c>
    </row>
    <row r="27" spans="1:2" x14ac:dyDescent="0.25">
      <c r="A27" s="4">
        <v>53</v>
      </c>
      <c r="B27" s="5" t="str">
        <f>IF(TOTALES!T27="","",TOTALES!T27)</f>
        <v/>
      </c>
    </row>
    <row r="28" spans="1:2" x14ac:dyDescent="0.25">
      <c r="A28" s="4">
        <v>54</v>
      </c>
      <c r="B28" s="5" t="str">
        <f>IF(TOTALES!T28="","",TOTALES!T28)</f>
        <v/>
      </c>
    </row>
    <row r="29" spans="1:2" x14ac:dyDescent="0.25">
      <c r="A29" s="4">
        <v>55</v>
      </c>
      <c r="B29" s="5" t="str">
        <f>IF(TOTALES!T29="","",TOTALES!T29)</f>
        <v/>
      </c>
    </row>
    <row r="30" spans="1:2" ht="19.5" x14ac:dyDescent="0.3">
      <c r="A30" s="7"/>
      <c r="B30" s="8" t="str">
        <f>IF(SUM(B4:B29)=0,"",SUM(B4:B29))</f>
        <v/>
      </c>
    </row>
  </sheetData>
  <sheetProtection password="C68E" sheet="1" objects="1" scenarios="1"/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2023-05-05T16:16:56Z</cp:lastPrinted>
  <dcterms:created xsi:type="dcterms:W3CDTF">2023-04-19T16:42:15Z</dcterms:created>
  <dcterms:modified xsi:type="dcterms:W3CDTF">2023-05-05T17:06:26Z</dcterms:modified>
</cp:coreProperties>
</file>