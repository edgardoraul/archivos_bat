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archivos_bat\archivos_bat\"/>
    </mc:Choice>
  </mc:AlternateContent>
  <bookViews>
    <workbookView xWindow="0" yWindow="0" windowWidth="20490" windowHeight="7095" activeTab="1"/>
  </bookViews>
  <sheets>
    <sheet name="PLANILLA" sheetId="11" r:id="rId1"/>
    <sheet name="TOTALES" sheetId="2" r:id="rId2"/>
    <sheet name="CAMISA" sheetId="4" r:id="rId3"/>
    <sheet name="CAMPERA" sheetId="5" r:id="rId4"/>
    <sheet name="GORRA" sheetId="6" r:id="rId5"/>
    <sheet name="PANTALON" sheetId="7" r:id="rId6"/>
    <sheet name="REMERA" sheetId="8" r:id="rId7"/>
    <sheet name="TRICOTA" sheetId="9" r:id="rId8"/>
    <sheet name="ZAPATOS" sheetId="10" r:id="rId9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2" l="1"/>
  <c r="T29" i="2" l="1"/>
  <c r="T28" i="2"/>
  <c r="T27" i="2"/>
  <c r="T26" i="2"/>
  <c r="T25" i="2"/>
  <c r="T24" i="2"/>
  <c r="T23" i="2"/>
  <c r="T22" i="2"/>
  <c r="T21" i="2"/>
  <c r="K21" i="2"/>
  <c r="B21" i="2"/>
  <c r="T20" i="2"/>
  <c r="K20" i="2"/>
  <c r="B20" i="2"/>
  <c r="T19" i="2"/>
  <c r="K19" i="2"/>
  <c r="H19" i="2"/>
  <c r="B19" i="2"/>
  <c r="T18" i="2"/>
  <c r="K18" i="2"/>
  <c r="H18" i="2"/>
  <c r="B18" i="2"/>
  <c r="T17" i="2"/>
  <c r="K17" i="2"/>
  <c r="H17" i="2"/>
  <c r="B17" i="2"/>
  <c r="T16" i="2"/>
  <c r="K16" i="2"/>
  <c r="H16" i="2"/>
  <c r="B16" i="2"/>
  <c r="T15" i="2"/>
  <c r="Q15" i="2"/>
  <c r="N15" i="2"/>
  <c r="K15" i="2"/>
  <c r="H15" i="2"/>
  <c r="E15" i="2"/>
  <c r="B15" i="2"/>
  <c r="T14" i="2"/>
  <c r="Q14" i="2"/>
  <c r="N14" i="2"/>
  <c r="K14" i="2"/>
  <c r="H14" i="2"/>
  <c r="E14" i="2"/>
  <c r="B14" i="2"/>
  <c r="T13" i="2"/>
  <c r="Q13" i="2"/>
  <c r="N13" i="2"/>
  <c r="K13" i="2"/>
  <c r="H13" i="2"/>
  <c r="E13" i="2"/>
  <c r="B13" i="2"/>
  <c r="T12" i="2"/>
  <c r="Q12" i="2"/>
  <c r="N12" i="2"/>
  <c r="K12" i="2"/>
  <c r="H12" i="2"/>
  <c r="E12" i="2"/>
  <c r="B12" i="2"/>
  <c r="T11" i="2"/>
  <c r="Q11" i="2"/>
  <c r="N11" i="2"/>
  <c r="K11" i="2"/>
  <c r="H11" i="2"/>
  <c r="E11" i="2"/>
  <c r="B11" i="2"/>
  <c r="T10" i="2"/>
  <c r="Q10" i="2"/>
  <c r="N10" i="2"/>
  <c r="K10" i="2"/>
  <c r="H10" i="2"/>
  <c r="E10" i="2"/>
  <c r="B10" i="2"/>
  <c r="T9" i="2"/>
  <c r="Q9" i="2"/>
  <c r="N9" i="2"/>
  <c r="K9" i="2"/>
  <c r="H9" i="2"/>
  <c r="E9" i="2"/>
  <c r="B9" i="2"/>
  <c r="T8" i="2"/>
  <c r="Q8" i="2"/>
  <c r="N8" i="2"/>
  <c r="K8" i="2"/>
  <c r="H8" i="2"/>
  <c r="E8" i="2"/>
  <c r="B8" i="2"/>
  <c r="T7" i="2"/>
  <c r="Q7" i="2"/>
  <c r="N7" i="2"/>
  <c r="K7" i="2"/>
  <c r="H7" i="2"/>
  <c r="E7" i="2"/>
  <c r="B7" i="2"/>
  <c r="T6" i="2"/>
  <c r="Q6" i="2"/>
  <c r="N6" i="2"/>
  <c r="K6" i="2"/>
  <c r="H6" i="2"/>
  <c r="E6" i="2"/>
  <c r="B6" i="2"/>
  <c r="T5" i="2"/>
  <c r="Q5" i="2"/>
  <c r="N5" i="2"/>
  <c r="K5" i="2"/>
  <c r="H5" i="2"/>
  <c r="E5" i="2"/>
  <c r="B5" i="2"/>
  <c r="T4" i="2"/>
  <c r="Q4" i="2"/>
  <c r="N4" i="2"/>
  <c r="K4" i="2"/>
  <c r="H4" i="2"/>
  <c r="E4" i="2"/>
  <c r="B5" i="10" l="1"/>
  <c r="B6" i="10"/>
  <c r="B7" i="10"/>
  <c r="B8" i="10"/>
  <c r="B9" i="10"/>
  <c r="B10" i="10"/>
  <c r="B11" i="10"/>
  <c r="B12" i="10"/>
  <c r="B13" i="10"/>
  <c r="B14" i="10"/>
  <c r="B15" i="10"/>
  <c r="B16" i="10"/>
  <c r="B17" i="10"/>
  <c r="B18" i="10"/>
  <c r="B19" i="10"/>
  <c r="B20" i="10"/>
  <c r="B21" i="10"/>
  <c r="B22" i="10"/>
  <c r="B23" i="10"/>
  <c r="B24" i="10"/>
  <c r="B25" i="10"/>
  <c r="B26" i="10"/>
  <c r="B27" i="10"/>
  <c r="B28" i="10"/>
  <c r="B29" i="10"/>
  <c r="B4" i="10"/>
  <c r="B30" i="10" l="1"/>
  <c r="B12" i="5"/>
  <c r="B11" i="6"/>
  <c r="B5" i="9"/>
  <c r="B6" i="9"/>
  <c r="B7" i="9"/>
  <c r="B8" i="9"/>
  <c r="B9" i="9"/>
  <c r="B10" i="9"/>
  <c r="B11" i="9"/>
  <c r="B12" i="9"/>
  <c r="B13" i="9"/>
  <c r="B14" i="9"/>
  <c r="B15" i="9"/>
  <c r="B4" i="9"/>
  <c r="B5" i="8"/>
  <c r="B6" i="8"/>
  <c r="B7" i="8"/>
  <c r="B8" i="8"/>
  <c r="B9" i="8"/>
  <c r="B10" i="8"/>
  <c r="B11" i="8"/>
  <c r="B12" i="8"/>
  <c r="B13" i="8"/>
  <c r="B14" i="8"/>
  <c r="B15" i="8"/>
  <c r="B4" i="8"/>
  <c r="B5" i="7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4" i="7"/>
  <c r="B5" i="6"/>
  <c r="B6" i="6"/>
  <c r="B7" i="6"/>
  <c r="B8" i="6"/>
  <c r="B9" i="6"/>
  <c r="B10" i="6"/>
  <c r="B12" i="6"/>
  <c r="B13" i="6"/>
  <c r="B14" i="6"/>
  <c r="B15" i="6"/>
  <c r="B16" i="6"/>
  <c r="B17" i="6"/>
  <c r="B18" i="6"/>
  <c r="B19" i="6"/>
  <c r="B4" i="6"/>
  <c r="B5" i="5"/>
  <c r="B6" i="5"/>
  <c r="B7" i="5"/>
  <c r="B8" i="5"/>
  <c r="B9" i="5"/>
  <c r="B10" i="5"/>
  <c r="B11" i="5"/>
  <c r="B13" i="5"/>
  <c r="B14" i="5"/>
  <c r="B15" i="5"/>
  <c r="B4" i="5"/>
  <c r="B5" i="4"/>
  <c r="B6" i="4"/>
  <c r="B7" i="4"/>
  <c r="B8" i="4"/>
  <c r="B10" i="4"/>
  <c r="B11" i="4"/>
  <c r="B12" i="4"/>
  <c r="B13" i="4"/>
  <c r="B14" i="4"/>
  <c r="B15" i="4"/>
  <c r="B16" i="4"/>
  <c r="B17" i="4"/>
  <c r="B18" i="4"/>
  <c r="B19" i="4"/>
  <c r="B20" i="4"/>
  <c r="B21" i="4"/>
  <c r="B4" i="4"/>
  <c r="B16" i="9" l="1"/>
  <c r="B16" i="8"/>
  <c r="B22" i="7"/>
  <c r="B20" i="6"/>
  <c r="B16" i="5"/>
  <c r="K22" i="2"/>
  <c r="T30" i="2"/>
  <c r="Q16" i="2"/>
  <c r="N16" i="2"/>
  <c r="H20" i="2"/>
  <c r="E16" i="2"/>
  <c r="B22" i="2"/>
  <c r="B9" i="4"/>
  <c r="B22" i="4" s="1"/>
</calcChain>
</file>

<file path=xl/comments1.xml><?xml version="1.0" encoding="utf-8"?>
<comments xmlns="http://schemas.openxmlformats.org/spreadsheetml/2006/main">
  <authors>
    <author>electronica</author>
  </authors>
  <commentList>
    <comment ref="L2" authorId="0" shapeId="0">
      <text>
        <r>
          <rPr>
            <b/>
            <sz val="9"/>
            <color indexed="81"/>
            <rFont val="Tahoma"/>
            <family val="2"/>
          </rPr>
          <t>Ctrol + May + m
Se usa para marcas las celdas</t>
        </r>
      </text>
    </comment>
  </commentList>
</comments>
</file>

<file path=xl/sharedStrings.xml><?xml version="1.0" encoding="utf-8"?>
<sst xmlns="http://schemas.openxmlformats.org/spreadsheetml/2006/main" count="147" uniqueCount="35">
  <si>
    <t>GORRA</t>
  </si>
  <si>
    <t>L</t>
  </si>
  <si>
    <t>M</t>
  </si>
  <si>
    <t>XL</t>
  </si>
  <si>
    <t>S</t>
  </si>
  <si>
    <t>XS</t>
  </si>
  <si>
    <t>XXL</t>
  </si>
  <si>
    <t>3XL</t>
  </si>
  <si>
    <t>XXS</t>
  </si>
  <si>
    <t>ZAPATOS</t>
  </si>
  <si>
    <t>PANTALON</t>
  </si>
  <si>
    <t>CAMPERA</t>
  </si>
  <si>
    <t>REMERA</t>
  </si>
  <si>
    <t>TRICOTA</t>
  </si>
  <si>
    <t>CAMISA</t>
  </si>
  <si>
    <t>APELLIDOS</t>
  </si>
  <si>
    <t>NOMBRES</t>
  </si>
  <si>
    <t>D.N.I.</t>
  </si>
  <si>
    <t>PIN</t>
  </si>
  <si>
    <t>4XL</t>
  </si>
  <si>
    <t>5XL</t>
  </si>
  <si>
    <t>3XS</t>
  </si>
  <si>
    <t>6XL</t>
  </si>
  <si>
    <t>TALLES</t>
  </si>
  <si>
    <t>TOTALES</t>
  </si>
  <si>
    <t>N°</t>
  </si>
  <si>
    <t>RERDA</t>
  </si>
  <si>
    <t>MICA</t>
  </si>
  <si>
    <t>RERDAZA</t>
  </si>
  <si>
    <t>MICAELAZA</t>
  </si>
  <si>
    <t>RERDITA</t>
  </si>
  <si>
    <t>MICAELITA</t>
  </si>
  <si>
    <t>NOMBRE O TITULO DESCRIPTIVO</t>
  </si>
  <si>
    <t>RERDOTA</t>
  </si>
  <si>
    <t>MICAELOTA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</si>
</sst>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indexed="23"/>
      <name val="Calibri"/>
      <family val="2"/>
      <scheme val="minor"/>
    </font>
    <font>
      <b/>
      <sz val="9"/>
      <color indexed="81"/>
      <name val="Tahoma"/>
      <family val="2"/>
    </font>
    <font>
      <b/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5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2" fillId="0" borderId="0"/>
  </cellStyleXfs>
  <cellXfs count="35">
    <xf numFmtId="0" fontId="0" fillId="0" borderId="0" xfId="0"/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1" fillId="0" borderId="1" xfId="0" applyFont="1" applyBorder="1" applyAlignment="1" applyProtection="1">
      <alignment horizontal="center"/>
    </xf>
    <xf numFmtId="0" fontId="1" fillId="0" borderId="1" xfId="1" applyFont="1" applyFill="1" applyBorder="1" applyAlignment="1" applyProtection="1">
      <alignment horizontal="center"/>
    </xf>
    <xf numFmtId="0" fontId="0" fillId="0" borderId="1" xfId="0" applyBorder="1" applyAlignment="1" applyProtection="1">
      <alignment horizontal="center"/>
    </xf>
    <xf numFmtId="0" fontId="1" fillId="0" borderId="1" xfId="0" applyFont="1" applyBorder="1" applyAlignment="1" applyProtection="1"/>
    <xf numFmtId="0" fontId="0" fillId="0" borderId="0" xfId="0" applyAlignment="1" applyProtection="1">
      <alignment horizontal="center"/>
    </xf>
    <xf numFmtId="0" fontId="0" fillId="0" borderId="0" xfId="0" applyProtection="1"/>
    <xf numFmtId="0" fontId="3" fillId="0" borderId="0" xfId="0" applyFont="1" applyAlignment="1" applyProtection="1"/>
    <xf numFmtId="0" fontId="1" fillId="0" borderId="5" xfId="1" applyFont="1" applyBorder="1" applyAlignment="1" applyProtection="1">
      <alignment horizontal="center"/>
    </xf>
    <xf numFmtId="0" fontId="0" fillId="0" borderId="4" xfId="1" applyFont="1" applyBorder="1" applyProtection="1">
      <protection locked="0"/>
    </xf>
    <xf numFmtId="0" fontId="1" fillId="0" borderId="6" xfId="1" applyFont="1" applyBorder="1" applyAlignment="1" applyProtection="1">
      <alignment horizontal="center"/>
    </xf>
    <xf numFmtId="0" fontId="1" fillId="0" borderId="7" xfId="1" applyFont="1" applyBorder="1" applyAlignment="1" applyProtection="1">
      <alignment horizontal="center"/>
    </xf>
    <xf numFmtId="0" fontId="4" fillId="0" borderId="0" xfId="0" applyFont="1" applyProtection="1">
      <protection locked="0"/>
    </xf>
    <xf numFmtId="0" fontId="2" fillId="0" borderId="3" xfId="1" applyBorder="1" applyAlignment="1" applyProtection="1">
      <protection locked="0"/>
    </xf>
    <xf numFmtId="0" fontId="0" fillId="0" borderId="0" xfId="0" applyAlignment="1" applyProtection="1">
      <protection locked="0"/>
    </xf>
    <xf numFmtId="0" fontId="2" fillId="0" borderId="1" xfId="1" applyBorder="1" applyAlignment="1" applyProtection="1">
      <protection locked="0"/>
    </xf>
    <xf numFmtId="0" fontId="5" fillId="0" borderId="0" xfId="0" applyFont="1" applyProtection="1">
      <protection locked="0"/>
    </xf>
    <xf numFmtId="0" fontId="5" fillId="0" borderId="1" xfId="0" applyFont="1" applyBorder="1" applyProtection="1">
      <protection locked="0"/>
    </xf>
    <xf numFmtId="0" fontId="2" fillId="2" borderId="1" xfId="1" applyFill="1" applyBorder="1" applyAlignment="1" applyProtection="1">
      <alignment horizontal="center"/>
      <protection locked="0"/>
    </xf>
    <xf numFmtId="0" fontId="2" fillId="0" borderId="1" xfId="1" applyFill="1" applyBorder="1" applyAlignment="1" applyProtection="1">
      <alignment horizontal="center"/>
      <protection locked="0"/>
    </xf>
    <xf numFmtId="0" fontId="0" fillId="0" borderId="1" xfId="1" applyFont="1" applyFill="1" applyBorder="1" applyAlignment="1" applyProtection="1">
      <alignment horizontal="center"/>
      <protection locked="0"/>
    </xf>
    <xf numFmtId="0" fontId="0" fillId="0" borderId="1" xfId="1" applyFont="1" applyBorder="1" applyProtection="1">
      <protection locked="0"/>
    </xf>
    <xf numFmtId="0" fontId="7" fillId="0" borderId="2" xfId="1" applyFont="1" applyBorder="1" applyAlignment="1" applyProtection="1">
      <alignment horizontal="center"/>
      <protection locked="0"/>
    </xf>
    <xf numFmtId="0" fontId="7" fillId="0" borderId="0" xfId="0" applyFont="1" applyAlignment="1" applyProtection="1">
      <alignment horizontal="center"/>
    </xf>
    <xf numFmtId="0" fontId="1" fillId="0" borderId="3" xfId="1" applyFont="1" applyFill="1" applyBorder="1" applyAlignment="1" applyProtection="1">
      <alignment horizontal="center"/>
    </xf>
    <xf numFmtId="0" fontId="1" fillId="0" borderId="4" xfId="1" applyFont="1" applyFill="1" applyBorder="1" applyAlignment="1" applyProtection="1">
      <alignment horizontal="center"/>
    </xf>
    <xf numFmtId="0" fontId="0" fillId="3" borderId="1" xfId="1" applyFont="1" applyFill="1" applyBorder="1" applyAlignment="1" applyProtection="1">
      <alignment horizontal="center"/>
      <protection locked="0"/>
    </xf>
    <xf numFmtId="0" fontId="2" fillId="3" borderId="1" xfId="1" applyFill="1" applyBorder="1" applyAlignment="1" applyProtection="1">
      <alignment horizontal="center"/>
      <protection locked="0"/>
    </xf>
    <xf numFmtId="0" fontId="2" fillId="3" borderId="1" xfId="1" applyFont="1" applyFill="1" applyBorder="1" applyAlignment="1" applyProtection="1">
      <alignment horizontal="center"/>
      <protection locked="0"/>
    </xf>
    <xf numFmtId="0" fontId="1" fillId="0" borderId="0" xfId="0" applyFont="1" applyAlignment="1" applyProtection="1"/>
    <xf numFmtId="0" fontId="1" fillId="0" borderId="1" xfId="0" applyFont="1" applyFill="1" applyBorder="1" applyAlignment="1" applyProtection="1"/>
    <xf numFmtId="0" fontId="1" fillId="0" borderId="0" xfId="0" applyFont="1" applyFill="1" applyAlignment="1" applyProtection="1"/>
    <xf numFmtId="0" fontId="0" fillId="0" borderId="0" xfId="0" applyFill="1" applyProtection="1"/>
  </cellXfs>
  <cellStyles count="2">
    <cellStyle name="Normal" xfId="0" builtinId="0"/>
    <cellStyle name="Normal 5" xfId="1"/>
  </cellStyles>
  <dxfs count="2">
    <dxf>
      <fill>
        <patternFill>
          <bgColor theme="0" tint="-0.49998474074526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L6"/>
  <sheetViews>
    <sheetView topLeftCell="E1" zoomScaleNormal="100" workbookViewId="0">
      <selection activeCell="F3" sqref="F3"/>
    </sheetView>
  </sheetViews>
  <sheetFormatPr baseColWidth="10" defaultRowHeight="15" x14ac:dyDescent="0.25"/>
  <cols>
    <col min="1" max="1" width="6.140625" style="14" customWidth="1"/>
    <col min="2" max="2" width="7.85546875" style="16" customWidth="1"/>
    <col min="3" max="3" width="11.85546875" style="16" customWidth="1"/>
    <col min="4" max="4" width="28.5703125" style="1" customWidth="1"/>
    <col min="5" max="5" width="32.28515625" style="1" customWidth="1"/>
    <col min="6" max="6" width="8.140625" style="1" customWidth="1"/>
    <col min="7" max="7" width="9.85546875" style="1" customWidth="1"/>
    <col min="8" max="8" width="7.42578125" style="1" customWidth="1"/>
    <col min="9" max="9" width="10.85546875" style="1" customWidth="1"/>
    <col min="10" max="10" width="8.42578125" style="1" customWidth="1"/>
    <col min="11" max="11" width="8.5703125" style="1" customWidth="1"/>
    <col min="12" max="12" width="9.140625" style="1" customWidth="1"/>
    <col min="13" max="16384" width="11.42578125" style="1"/>
  </cols>
  <sheetData>
    <row r="1" spans="1:12" ht="18.75" x14ac:dyDescent="0.3">
      <c r="A1" s="24" t="s">
        <v>32</v>
      </c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</row>
    <row r="2" spans="1:12" x14ac:dyDescent="0.25">
      <c r="A2" s="12" t="s">
        <v>25</v>
      </c>
      <c r="B2" s="12" t="s">
        <v>18</v>
      </c>
      <c r="C2" s="10" t="s">
        <v>17</v>
      </c>
      <c r="D2" s="13" t="s">
        <v>15</v>
      </c>
      <c r="E2" s="10" t="s">
        <v>16</v>
      </c>
      <c r="F2" s="10" t="s">
        <v>14</v>
      </c>
      <c r="G2" s="10" t="s">
        <v>11</v>
      </c>
      <c r="H2" s="10" t="s">
        <v>0</v>
      </c>
      <c r="I2" s="10" t="s">
        <v>10</v>
      </c>
      <c r="J2" s="10" t="s">
        <v>12</v>
      </c>
      <c r="K2" s="10" t="s">
        <v>13</v>
      </c>
      <c r="L2" s="10" t="s">
        <v>9</v>
      </c>
    </row>
    <row r="3" spans="1:12" x14ac:dyDescent="0.25">
      <c r="A3" s="19">
        <v>1</v>
      </c>
      <c r="B3" s="15">
        <v>1234</v>
      </c>
      <c r="C3" s="17">
        <v>37137843</v>
      </c>
      <c r="D3" s="11" t="s">
        <v>26</v>
      </c>
      <c r="E3" s="23" t="s">
        <v>27</v>
      </c>
      <c r="F3" s="30">
        <v>32</v>
      </c>
      <c r="G3" s="28" t="s">
        <v>8</v>
      </c>
      <c r="H3" s="21">
        <v>65</v>
      </c>
      <c r="I3" s="21">
        <v>44</v>
      </c>
      <c r="J3" s="29" t="s">
        <v>21</v>
      </c>
      <c r="K3" s="29" t="s">
        <v>4</v>
      </c>
      <c r="L3" s="21">
        <v>41</v>
      </c>
    </row>
    <row r="4" spans="1:12" x14ac:dyDescent="0.25">
      <c r="A4" s="18">
        <v>2</v>
      </c>
      <c r="B4" s="16">
        <v>1235</v>
      </c>
      <c r="C4" s="16">
        <v>32456987</v>
      </c>
      <c r="D4" s="1" t="s">
        <v>28</v>
      </c>
      <c r="E4" s="1" t="s">
        <v>29</v>
      </c>
      <c r="F4" s="21">
        <v>40</v>
      </c>
      <c r="G4" s="28" t="s">
        <v>4</v>
      </c>
      <c r="H4" s="21">
        <v>50</v>
      </c>
      <c r="I4" s="29">
        <v>38</v>
      </c>
      <c r="J4" s="29" t="s">
        <v>21</v>
      </c>
      <c r="K4" s="21" t="s">
        <v>5</v>
      </c>
      <c r="L4" s="29">
        <v>37</v>
      </c>
    </row>
    <row r="5" spans="1:12" x14ac:dyDescent="0.25">
      <c r="A5" s="18">
        <v>3</v>
      </c>
      <c r="B5" s="16">
        <v>1236</v>
      </c>
      <c r="C5" s="16">
        <v>45123987</v>
      </c>
      <c r="D5" s="1" t="s">
        <v>30</v>
      </c>
      <c r="E5" s="1" t="s">
        <v>31</v>
      </c>
      <c r="F5" s="29">
        <v>32</v>
      </c>
      <c r="G5" s="22" t="s">
        <v>2</v>
      </c>
      <c r="H5" s="29">
        <v>55</v>
      </c>
      <c r="I5" s="20">
        <v>42</v>
      </c>
      <c r="J5" s="29" t="s">
        <v>8</v>
      </c>
      <c r="K5" s="29" t="s">
        <v>2</v>
      </c>
      <c r="L5" s="20">
        <v>39</v>
      </c>
    </row>
    <row r="6" spans="1:12" x14ac:dyDescent="0.25">
      <c r="A6" s="18">
        <v>4</v>
      </c>
      <c r="B6" s="16">
        <v>1237</v>
      </c>
      <c r="C6" s="16">
        <v>987654</v>
      </c>
      <c r="D6" s="1" t="s">
        <v>33</v>
      </c>
      <c r="E6" s="1" t="s">
        <v>34</v>
      </c>
      <c r="F6" s="29">
        <v>44</v>
      </c>
      <c r="G6" s="28" t="s">
        <v>8</v>
      </c>
      <c r="H6" s="29">
        <v>50</v>
      </c>
      <c r="I6" s="21">
        <v>38</v>
      </c>
      <c r="J6" s="29" t="s">
        <v>21</v>
      </c>
      <c r="K6" s="21" t="s">
        <v>5</v>
      </c>
      <c r="L6" s="29">
        <v>39</v>
      </c>
    </row>
  </sheetData>
  <mergeCells count="1">
    <mergeCell ref="A1:L1"/>
  </mergeCells>
  <conditionalFormatting sqref="A3:L10000">
    <cfRule type="expression" dxfId="1" priority="4">
      <formula>$B3&lt;&gt;""</formula>
    </cfRule>
  </conditionalFormatting>
  <conditionalFormatting sqref="B10000">
    <cfRule type="expression" dxfId="0" priority="2">
      <formula>"$a3&lt;&gt;"""""</formula>
    </cfRule>
  </conditionalFormatting>
  <pageMargins left="0.25" right="0.25" top="0.75" bottom="0.75" header="0.3" footer="0.3"/>
  <pageSetup paperSize="9" scale="95" orientation="landscape" horizontalDpi="0" verticalDpi="0" r:id="rId1"/>
  <headerFooter>
    <oddHeader>&amp;C&amp;"-,Negrita"&amp;14&amp;F</oddHeader>
    <oddFooter>&amp;C&amp;"-,Negrita"&amp;14&amp;P</oddFoot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promptTitle="Talle de Zapatos" prompt="Del 20 al 50">
          <x14:formula1>
            <xm:f>TOTALES!$S$4:$S$29</xm:f>
          </x14:formula1>
          <xm:sqref>L3:L6</xm:sqref>
        </x14:dataValidation>
        <x14:dataValidation type="list" allowBlank="1" showInputMessage="1" showErrorMessage="1" promptTitle="Talles de Tricotas" prompt="Del 3XS al 6XL">
          <x14:formula1>
            <xm:f>TOTALES!$P$4:$P$15</xm:f>
          </x14:formula1>
          <xm:sqref>K3:K6</xm:sqref>
        </x14:dataValidation>
        <x14:dataValidation type="list" allowBlank="1" showInputMessage="1" showErrorMessage="1" promptTitle="Talles de Remeras" prompt="Del 3XS al 6XL">
          <x14:formula1>
            <xm:f>TOTALES!$M$4:$M$15</xm:f>
          </x14:formula1>
          <xm:sqref>J3:J6</xm:sqref>
        </x14:dataValidation>
        <x14:dataValidation type="list" allowBlank="1" showInputMessage="1" showErrorMessage="1" promptTitle="Talle de Pantalón" prompt="Del 32 al 66">
          <x14:formula1>
            <xm:f>TOTALES!$J$4:$J$21</xm:f>
          </x14:formula1>
          <xm:sqref>I3:I6</xm:sqref>
        </x14:dataValidation>
        <x14:dataValidation type="list" allowBlank="1" showInputMessage="1" showErrorMessage="1" promptTitle="Talle de Casquete/Quepi/Boina" prompt="Del 50 al 65">
          <x14:formula1>
            <xm:f>TOTALES!$G$4:$G$19</xm:f>
          </x14:formula1>
          <xm:sqref>H3:H6</xm:sqref>
        </x14:dataValidation>
        <x14:dataValidation type="list" allowBlank="1" showInputMessage="1" showErrorMessage="1" promptTitle="Talles de Camperas" prompt="Del 3XS al 6XL">
          <x14:formula1>
            <xm:f>TOTALES!$D$4:$D$15</xm:f>
          </x14:formula1>
          <xm:sqref>G3:G6</xm:sqref>
        </x14:dataValidation>
        <x14:dataValidation type="list" allowBlank="1" showInputMessage="1" showErrorMessage="1" promptTitle="Talle de Camisas" prompt="Del 32 al 66">
          <x14:formula1>
            <xm:f>TOTALES!$A$4:$A$21</xm:f>
          </x14:formula1>
          <xm:sqref>F3:F6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T30"/>
  <sheetViews>
    <sheetView tabSelected="1" zoomScaleNormal="100" workbookViewId="0">
      <selection activeCell="B4" sqref="B4"/>
    </sheetView>
  </sheetViews>
  <sheetFormatPr baseColWidth="10" defaultRowHeight="15" x14ac:dyDescent="0.25"/>
  <cols>
    <col min="1" max="1" width="7" style="2" bestFit="1" customWidth="1"/>
    <col min="2" max="2" width="8.5703125" style="2" bestFit="1" customWidth="1"/>
    <col min="3" max="3" width="2.42578125" style="2" customWidth="1"/>
    <col min="4" max="4" width="7" style="2" bestFit="1" customWidth="1"/>
    <col min="5" max="5" width="8.5703125" style="2" bestFit="1" customWidth="1"/>
    <col min="6" max="6" width="2.42578125" style="2" customWidth="1"/>
    <col min="7" max="7" width="7" style="2" bestFit="1" customWidth="1"/>
    <col min="8" max="8" width="8.5703125" style="2" bestFit="1" customWidth="1"/>
    <col min="9" max="9" width="2.42578125" style="2" customWidth="1"/>
    <col min="10" max="10" width="7" style="1" bestFit="1" customWidth="1"/>
    <col min="11" max="11" width="8.5703125" style="1" bestFit="1" customWidth="1"/>
    <col min="12" max="12" width="2.42578125" style="2" customWidth="1"/>
    <col min="13" max="13" width="7" style="2" bestFit="1" customWidth="1"/>
    <col min="14" max="14" width="8.5703125" style="2" bestFit="1" customWidth="1"/>
    <col min="15" max="15" width="2.42578125" style="2" customWidth="1"/>
    <col min="16" max="16" width="7" style="1" bestFit="1" customWidth="1"/>
    <col min="17" max="17" width="8.5703125" style="1" bestFit="1" customWidth="1"/>
    <col min="18" max="18" width="2.42578125" style="2" customWidth="1"/>
    <col min="19" max="19" width="7" style="1" bestFit="1" customWidth="1"/>
    <col min="20" max="20" width="8.5703125" style="1" bestFit="1" customWidth="1"/>
    <col min="21" max="16384" width="11.42578125" style="1"/>
  </cols>
  <sheetData>
    <row r="1" spans="1:20" ht="18.75" x14ac:dyDescent="0.3">
      <c r="A1" s="25" t="str">
        <f>PLANILLA!A1</f>
        <v>NOMBRE O TITULO DESCRIPTIVO</v>
      </c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</row>
    <row r="2" spans="1:20" x14ac:dyDescent="0.25">
      <c r="A2" s="26" t="s">
        <v>14</v>
      </c>
      <c r="B2" s="27"/>
      <c r="C2" s="7"/>
      <c r="D2" s="26" t="s">
        <v>11</v>
      </c>
      <c r="E2" s="27"/>
      <c r="F2" s="7"/>
      <c r="G2" s="26" t="s">
        <v>0</v>
      </c>
      <c r="H2" s="27"/>
      <c r="I2" s="7"/>
      <c r="J2" s="26" t="s">
        <v>10</v>
      </c>
      <c r="K2" s="27"/>
      <c r="L2" s="7"/>
      <c r="M2" s="26" t="s">
        <v>12</v>
      </c>
      <c r="N2" s="27"/>
      <c r="O2" s="7"/>
      <c r="P2" s="26" t="s">
        <v>13</v>
      </c>
      <c r="Q2" s="27"/>
      <c r="R2" s="7"/>
      <c r="S2" s="26" t="s">
        <v>9</v>
      </c>
      <c r="T2" s="27"/>
    </row>
    <row r="3" spans="1:20" x14ac:dyDescent="0.25">
      <c r="A3" s="3" t="s">
        <v>23</v>
      </c>
      <c r="B3" s="4" t="s">
        <v>24</v>
      </c>
      <c r="C3" s="7"/>
      <c r="D3" s="3" t="s">
        <v>23</v>
      </c>
      <c r="E3" s="4" t="s">
        <v>24</v>
      </c>
      <c r="F3" s="7"/>
      <c r="G3" s="3" t="s">
        <v>23</v>
      </c>
      <c r="H3" s="4" t="s">
        <v>24</v>
      </c>
      <c r="I3" s="7"/>
      <c r="J3" s="3" t="s">
        <v>23</v>
      </c>
      <c r="K3" s="4" t="s">
        <v>24</v>
      </c>
      <c r="L3" s="7"/>
      <c r="M3" s="3" t="s">
        <v>23</v>
      </c>
      <c r="N3" s="4" t="s">
        <v>24</v>
      </c>
      <c r="O3" s="7"/>
      <c r="P3" s="3" t="s">
        <v>23</v>
      </c>
      <c r="Q3" s="4" t="s">
        <v>24</v>
      </c>
      <c r="R3" s="7"/>
      <c r="S3" s="3" t="s">
        <v>23</v>
      </c>
      <c r="T3" s="4" t="s">
        <v>24</v>
      </c>
    </row>
    <row r="4" spans="1:20" x14ac:dyDescent="0.25">
      <c r="A4" s="5">
        <v>32</v>
      </c>
      <c r="B4" s="32">
        <v>1</v>
      </c>
      <c r="C4" s="7"/>
      <c r="D4" s="5" t="s">
        <v>21</v>
      </c>
      <c r="E4" s="32" t="str">
        <f>IF(COUNTIF(PLANILLA!G$3:G$10000,D4)=0,"",COUNTIF(PLANILLA!G$3:G$10000,D4))</f>
        <v/>
      </c>
      <c r="F4" s="7"/>
      <c r="G4" s="5">
        <v>50</v>
      </c>
      <c r="H4" s="32">
        <f>IF(COUNTIF(PLANILLA!H$3:H$10000,G4)=0,"",COUNTIF(PLANILLA!H$3:H$10000,G4))</f>
        <v>2</v>
      </c>
      <c r="I4" s="7"/>
      <c r="J4" s="5">
        <v>32</v>
      </c>
      <c r="K4" s="32" t="str">
        <f>IF(COUNTIF(PLANILLA!I$3:I$10000,J4)=0,"",COUNTIF(PLANILLA!I$3:I$10000,J4))</f>
        <v/>
      </c>
      <c r="L4" s="7"/>
      <c r="M4" s="5" t="s">
        <v>21</v>
      </c>
      <c r="N4" s="32">
        <f>IF(COUNTIF(PLANILLA!J$3:J$10000,M4)=0,"",COUNTIF(PLANILLA!J$3:J$10000,M4))</f>
        <v>3</v>
      </c>
      <c r="O4" s="7"/>
      <c r="P4" s="5" t="s">
        <v>21</v>
      </c>
      <c r="Q4" s="32" t="str">
        <f>IF(COUNTIF(PLANILLA!K$3:K$10000,P4)=0,"",COUNTIF(PLANILLA!K$3:K$10000,P4))</f>
        <v/>
      </c>
      <c r="R4" s="7"/>
      <c r="S4" s="5">
        <v>30</v>
      </c>
      <c r="T4" s="32" t="str">
        <f>IF(COUNTIF(PLANILLA!L$3:L$10000,S4)=0,"",COUNTIF(PLANILLA!L$3:L$10000,S4))</f>
        <v/>
      </c>
    </row>
    <row r="5" spans="1:20" x14ac:dyDescent="0.25">
      <c r="A5" s="5">
        <v>34</v>
      </c>
      <c r="B5" s="32" t="str">
        <f>IF(COUNTIF(PLANILLA!F$3:F$10000,A5)=0,"",COUNTIF(PLANILLA!F$3:F$10000,A5))</f>
        <v/>
      </c>
      <c r="C5" s="7"/>
      <c r="D5" s="5" t="s">
        <v>8</v>
      </c>
      <c r="E5" s="32">
        <f>IF(COUNTIF(PLANILLA!G$3:G$10000,D5)=0,"",COUNTIF(PLANILLA!G$3:G$10000,D5))</f>
        <v>2</v>
      </c>
      <c r="F5" s="7"/>
      <c r="G5" s="5">
        <v>51</v>
      </c>
      <c r="H5" s="32" t="str">
        <f>IF(COUNTIF(PLANILLA!H$3:H$10000,G5)=0,"",COUNTIF(PLANILLA!H$3:H$10000,G5))</f>
        <v/>
      </c>
      <c r="I5" s="7"/>
      <c r="J5" s="5">
        <v>34</v>
      </c>
      <c r="K5" s="32" t="str">
        <f>IF(COUNTIF(PLANILLA!I$3:I$10000,J5)=0,"",COUNTIF(PLANILLA!I$3:I$10000,J5))</f>
        <v/>
      </c>
      <c r="L5" s="7"/>
      <c r="M5" s="5" t="s">
        <v>8</v>
      </c>
      <c r="N5" s="32">
        <f>IF(COUNTIF(PLANILLA!J$3:J$10000,M5)=0,"",COUNTIF(PLANILLA!J$3:J$10000,M5))</f>
        <v>1</v>
      </c>
      <c r="O5" s="7"/>
      <c r="P5" s="5" t="s">
        <v>8</v>
      </c>
      <c r="Q5" s="32" t="str">
        <f>IF(COUNTIF(PLANILLA!K$3:K$10000,P5)=0,"",COUNTIF(PLANILLA!K$3:K$10000,P5))</f>
        <v/>
      </c>
      <c r="R5" s="7"/>
      <c r="S5" s="5">
        <v>31</v>
      </c>
      <c r="T5" s="32" t="str">
        <f>IF(COUNTIF(PLANILLA!L$3:L$10000,S5)=0,"",COUNTIF(PLANILLA!L$3:L$10000,S5))</f>
        <v/>
      </c>
    </row>
    <row r="6" spans="1:20" x14ac:dyDescent="0.25">
      <c r="A6" s="5">
        <v>36</v>
      </c>
      <c r="B6" s="32" t="str">
        <f>IF(COUNTIF(PLANILLA!F$3:F$10000,A6)=0,"",COUNTIF(PLANILLA!F$3:F$10000,A6))</f>
        <v/>
      </c>
      <c r="C6" s="7"/>
      <c r="D6" s="5" t="s">
        <v>5</v>
      </c>
      <c r="E6" s="32" t="str">
        <f>IF(COUNTIF(PLANILLA!G$3:G$10000,D6)=0,"",COUNTIF(PLANILLA!G$3:G$10000,D6))</f>
        <v/>
      </c>
      <c r="F6" s="7"/>
      <c r="G6" s="5">
        <v>52</v>
      </c>
      <c r="H6" s="32" t="str">
        <f>IF(COUNTIF(PLANILLA!H$3:H$10000,G6)=0,"",COUNTIF(PLANILLA!H$3:H$10000,G6))</f>
        <v/>
      </c>
      <c r="I6" s="7"/>
      <c r="J6" s="5">
        <v>36</v>
      </c>
      <c r="K6" s="32" t="str">
        <f>IF(COUNTIF(PLANILLA!I$3:I$10000,J6)=0,"",COUNTIF(PLANILLA!I$3:I$10000,J6))</f>
        <v/>
      </c>
      <c r="L6" s="7"/>
      <c r="M6" s="5" t="s">
        <v>5</v>
      </c>
      <c r="N6" s="32" t="str">
        <f>IF(COUNTIF(PLANILLA!J$3:J$10000,M6)=0,"",COUNTIF(PLANILLA!J$3:J$10000,M6))</f>
        <v/>
      </c>
      <c r="O6" s="7"/>
      <c r="P6" s="5" t="s">
        <v>5</v>
      </c>
      <c r="Q6" s="32">
        <f>IF(COUNTIF(PLANILLA!K$3:K$10000,P6)=0,"",COUNTIF(PLANILLA!K$3:K$10000,P6))</f>
        <v>2</v>
      </c>
      <c r="R6" s="7"/>
      <c r="S6" s="5">
        <v>32</v>
      </c>
      <c r="T6" s="32" t="str">
        <f>IF(COUNTIF(PLANILLA!L$3:L$10000,S6)=0,"",COUNTIF(PLANILLA!L$3:L$10000,S6))</f>
        <v/>
      </c>
    </row>
    <row r="7" spans="1:20" x14ac:dyDescent="0.25">
      <c r="A7" s="5">
        <v>38</v>
      </c>
      <c r="B7" s="32" t="str">
        <f>IF(COUNTIF(PLANILLA!F$3:F$10000,A7)=0,"",COUNTIF(PLANILLA!F$3:F$10000,A7))</f>
        <v/>
      </c>
      <c r="C7" s="7"/>
      <c r="D7" s="5" t="s">
        <v>4</v>
      </c>
      <c r="E7" s="32">
        <f>IF(COUNTIF(PLANILLA!G$3:G$10000,D7)=0,"",COUNTIF(PLANILLA!G$3:G$10000,D7))</f>
        <v>1</v>
      </c>
      <c r="F7" s="7"/>
      <c r="G7" s="5">
        <v>53</v>
      </c>
      <c r="H7" s="32" t="str">
        <f>IF(COUNTIF(PLANILLA!H$3:H$10000,G7)=0,"",COUNTIF(PLANILLA!H$3:H$10000,G7))</f>
        <v/>
      </c>
      <c r="I7" s="7"/>
      <c r="J7" s="5">
        <v>38</v>
      </c>
      <c r="K7" s="32">
        <f>IF(COUNTIF(PLANILLA!I$3:I$10000,J7)=0,"",COUNTIF(PLANILLA!I$3:I$10000,J7))</f>
        <v>2</v>
      </c>
      <c r="L7" s="7"/>
      <c r="M7" s="5" t="s">
        <v>4</v>
      </c>
      <c r="N7" s="32" t="str">
        <f>IF(COUNTIF(PLANILLA!J$3:J$10000,M7)=0,"",COUNTIF(PLANILLA!J$3:J$10000,M7))</f>
        <v/>
      </c>
      <c r="O7" s="7"/>
      <c r="P7" s="5" t="s">
        <v>4</v>
      </c>
      <c r="Q7" s="32">
        <f>IF(COUNTIF(PLANILLA!K$3:K$10000,P7)=0,"",COUNTIF(PLANILLA!K$3:K$10000,P7))</f>
        <v>1</v>
      </c>
      <c r="R7" s="7"/>
      <c r="S7" s="5">
        <v>33</v>
      </c>
      <c r="T7" s="32" t="str">
        <f>IF(COUNTIF(PLANILLA!L$3:L$10000,S7)=0,"",COUNTIF(PLANILLA!L$3:L$10000,S7))</f>
        <v/>
      </c>
    </row>
    <row r="8" spans="1:20" x14ac:dyDescent="0.25">
      <c r="A8" s="5">
        <v>40</v>
      </c>
      <c r="B8" s="32">
        <f>IF(COUNTIF(PLANILLA!F$3:F$10000,A8)=0,"",COUNTIF(PLANILLA!F$3:F$10000,A8))</f>
        <v>1</v>
      </c>
      <c r="C8" s="7"/>
      <c r="D8" s="5" t="s">
        <v>2</v>
      </c>
      <c r="E8" s="32">
        <f>IF(COUNTIF(PLANILLA!G$3:G$10000,D8)=0,"",COUNTIF(PLANILLA!G$3:G$10000,D8))</f>
        <v>1</v>
      </c>
      <c r="F8" s="7"/>
      <c r="G8" s="5">
        <v>54</v>
      </c>
      <c r="H8" s="32" t="str">
        <f>IF(COUNTIF(PLANILLA!H$3:H$10000,G8)=0,"",COUNTIF(PLANILLA!H$3:H$10000,G8))</f>
        <v/>
      </c>
      <c r="I8" s="7"/>
      <c r="J8" s="5">
        <v>40</v>
      </c>
      <c r="K8" s="32" t="str">
        <f>IF(COUNTIF(PLANILLA!I$3:I$10000,J8)=0,"",COUNTIF(PLANILLA!I$3:I$10000,J8))</f>
        <v/>
      </c>
      <c r="L8" s="7"/>
      <c r="M8" s="5" t="s">
        <v>2</v>
      </c>
      <c r="N8" s="32" t="str">
        <f>IF(COUNTIF(PLANILLA!J$3:J$10000,M8)=0,"",COUNTIF(PLANILLA!J$3:J$10000,M8))</f>
        <v/>
      </c>
      <c r="O8" s="7"/>
      <c r="P8" s="5" t="s">
        <v>2</v>
      </c>
      <c r="Q8" s="32">
        <f>IF(COUNTIF(PLANILLA!K$3:K$10000,P8)=0,"",COUNTIF(PLANILLA!K$3:K$10000,P8))</f>
        <v>1</v>
      </c>
      <c r="R8" s="7"/>
      <c r="S8" s="5">
        <v>34</v>
      </c>
      <c r="T8" s="32" t="str">
        <f>IF(COUNTIF(PLANILLA!L$3:L$10000,S8)=0,"",COUNTIF(PLANILLA!L$3:L$10000,S8))</f>
        <v/>
      </c>
    </row>
    <row r="9" spans="1:20" x14ac:dyDescent="0.25">
      <c r="A9" s="5">
        <v>42</v>
      </c>
      <c r="B9" s="32" t="str">
        <f>IF(COUNTIF(PLANILLA!F$3:F$10000,A9)=0,"",COUNTIF(PLANILLA!F$3:F$10000,A9))</f>
        <v/>
      </c>
      <c r="C9" s="7"/>
      <c r="D9" s="5" t="s">
        <v>1</v>
      </c>
      <c r="E9" s="32" t="str">
        <f>IF(COUNTIF(PLANILLA!G$3:G$10000,D9)=0,"",COUNTIF(PLANILLA!G$3:G$10000,D9))</f>
        <v/>
      </c>
      <c r="F9" s="7"/>
      <c r="G9" s="5">
        <v>55</v>
      </c>
      <c r="H9" s="32">
        <f>IF(COUNTIF(PLANILLA!H$3:H$10000,G9)=0,"",COUNTIF(PLANILLA!H$3:H$10000,G9))</f>
        <v>1</v>
      </c>
      <c r="I9" s="7"/>
      <c r="J9" s="5">
        <v>42</v>
      </c>
      <c r="K9" s="32">
        <f>IF(COUNTIF(PLANILLA!I$3:I$10000,J9)=0,"",COUNTIF(PLANILLA!I$3:I$10000,J9))</f>
        <v>1</v>
      </c>
      <c r="L9" s="7"/>
      <c r="M9" s="5" t="s">
        <v>1</v>
      </c>
      <c r="N9" s="32" t="str">
        <f>IF(COUNTIF(PLANILLA!J$3:J$10000,M9)=0,"",COUNTIF(PLANILLA!J$3:J$10000,M9))</f>
        <v/>
      </c>
      <c r="O9" s="7"/>
      <c r="P9" s="5" t="s">
        <v>1</v>
      </c>
      <c r="Q9" s="32" t="str">
        <f>IF(COUNTIF(PLANILLA!K$3:K$10000,P9)=0,"",COUNTIF(PLANILLA!K$3:K$10000,P9))</f>
        <v/>
      </c>
      <c r="R9" s="7"/>
      <c r="S9" s="5">
        <v>35</v>
      </c>
      <c r="T9" s="32" t="str">
        <f>IF(COUNTIF(PLANILLA!L$3:L$10000,S9)=0,"",COUNTIF(PLANILLA!L$3:L$10000,S9))</f>
        <v/>
      </c>
    </row>
    <row r="10" spans="1:20" x14ac:dyDescent="0.25">
      <c r="A10" s="5">
        <v>44</v>
      </c>
      <c r="B10" s="32">
        <f>IF(COUNTIF(PLANILLA!F$3:F$10000,A10)=0,"",COUNTIF(PLANILLA!F$3:F$10000,A10))</f>
        <v>1</v>
      </c>
      <c r="C10" s="7"/>
      <c r="D10" s="5" t="s">
        <v>3</v>
      </c>
      <c r="E10" s="32" t="str">
        <f>IF(COUNTIF(PLANILLA!G$3:G$10000,D10)=0,"",COUNTIF(PLANILLA!G$3:G$10000,D10))</f>
        <v/>
      </c>
      <c r="F10" s="7"/>
      <c r="G10" s="5">
        <v>56</v>
      </c>
      <c r="H10" s="32" t="str">
        <f>IF(COUNTIF(PLANILLA!H$3:H$10000,G10)=0,"",COUNTIF(PLANILLA!H$3:H$10000,G10))</f>
        <v/>
      </c>
      <c r="I10" s="7"/>
      <c r="J10" s="5">
        <v>44</v>
      </c>
      <c r="K10" s="32">
        <f>IF(COUNTIF(PLANILLA!I$3:I$10000,J10)=0,"",COUNTIF(PLANILLA!I$3:I$10000,J10))</f>
        <v>1</v>
      </c>
      <c r="L10" s="7"/>
      <c r="M10" s="5" t="s">
        <v>3</v>
      </c>
      <c r="N10" s="32" t="str">
        <f>IF(COUNTIF(PLANILLA!J$3:J$10000,M10)=0,"",COUNTIF(PLANILLA!J$3:J$10000,M10))</f>
        <v/>
      </c>
      <c r="O10" s="7"/>
      <c r="P10" s="5" t="s">
        <v>3</v>
      </c>
      <c r="Q10" s="32" t="str">
        <f>IF(COUNTIF(PLANILLA!K$3:K$10000,P10)=0,"",COUNTIF(PLANILLA!K$3:K$10000,P10))</f>
        <v/>
      </c>
      <c r="R10" s="7"/>
      <c r="S10" s="5">
        <v>36</v>
      </c>
      <c r="T10" s="32" t="str">
        <f>IF(COUNTIF(PLANILLA!L$3:L$10000,S10)=0,"",COUNTIF(PLANILLA!L$3:L$10000,S10))</f>
        <v/>
      </c>
    </row>
    <row r="11" spans="1:20" x14ac:dyDescent="0.25">
      <c r="A11" s="5">
        <v>46</v>
      </c>
      <c r="B11" s="32" t="str">
        <f>IF(COUNTIF(PLANILLA!F$3:F$10000,A11)=0,"",COUNTIF(PLANILLA!F$3:F$10000,A11))</f>
        <v/>
      </c>
      <c r="C11" s="7"/>
      <c r="D11" s="5" t="s">
        <v>6</v>
      </c>
      <c r="E11" s="32" t="str">
        <f>IF(COUNTIF(PLANILLA!G$3:G$10000,D11)=0,"",COUNTIF(PLANILLA!G$3:G$10000,D11))</f>
        <v/>
      </c>
      <c r="F11" s="7"/>
      <c r="G11" s="5">
        <v>57</v>
      </c>
      <c r="H11" s="32" t="str">
        <f>IF(COUNTIF(PLANILLA!H$3:H$10000,G11)=0,"",COUNTIF(PLANILLA!H$3:H$10000,G11))</f>
        <v/>
      </c>
      <c r="I11" s="7"/>
      <c r="J11" s="5">
        <v>46</v>
      </c>
      <c r="K11" s="32" t="str">
        <f>IF(COUNTIF(PLANILLA!I$3:I$10000,J11)=0,"",COUNTIF(PLANILLA!I$3:I$10000,J11))</f>
        <v/>
      </c>
      <c r="L11" s="7"/>
      <c r="M11" s="5" t="s">
        <v>6</v>
      </c>
      <c r="N11" s="32" t="str">
        <f>IF(COUNTIF(PLANILLA!J$3:J$10000,M11)=0,"",COUNTIF(PLANILLA!J$3:J$10000,M11))</f>
        <v/>
      </c>
      <c r="O11" s="7"/>
      <c r="P11" s="5" t="s">
        <v>6</v>
      </c>
      <c r="Q11" s="32" t="str">
        <f>IF(COUNTIF(PLANILLA!K$3:K$10000,P11)=0,"",COUNTIF(PLANILLA!K$3:K$10000,P11))</f>
        <v/>
      </c>
      <c r="R11" s="7"/>
      <c r="S11" s="5">
        <v>37</v>
      </c>
      <c r="T11" s="32">
        <f>IF(COUNTIF(PLANILLA!L$3:L$10000,S11)=0,"",COUNTIF(PLANILLA!L$3:L$10000,S11))</f>
        <v>1</v>
      </c>
    </row>
    <row r="12" spans="1:20" x14ac:dyDescent="0.25">
      <c r="A12" s="5">
        <v>48</v>
      </c>
      <c r="B12" s="32" t="str">
        <f>IF(COUNTIF(PLANILLA!F$3:F$10000,A12)=0,"",COUNTIF(PLANILLA!F$3:F$10000,A12))</f>
        <v/>
      </c>
      <c r="C12" s="7"/>
      <c r="D12" s="5" t="s">
        <v>7</v>
      </c>
      <c r="E12" s="32" t="str">
        <f>IF(COUNTIF(PLANILLA!G$3:G$10000,D12)=0,"",COUNTIF(PLANILLA!G$3:G$10000,D12))</f>
        <v/>
      </c>
      <c r="F12" s="7"/>
      <c r="G12" s="5">
        <v>58</v>
      </c>
      <c r="H12" s="32" t="str">
        <f>IF(COUNTIF(PLANILLA!H$3:H$10000,G12)=0,"",COUNTIF(PLANILLA!H$3:H$10000,G12))</f>
        <v/>
      </c>
      <c r="I12" s="7"/>
      <c r="J12" s="5">
        <v>48</v>
      </c>
      <c r="K12" s="32" t="str">
        <f>IF(COUNTIF(PLANILLA!I$3:I$10000,J12)=0,"",COUNTIF(PLANILLA!I$3:I$10000,J12))</f>
        <v/>
      </c>
      <c r="L12" s="7"/>
      <c r="M12" s="5" t="s">
        <v>7</v>
      </c>
      <c r="N12" s="32" t="str">
        <f>IF(COUNTIF(PLANILLA!J$3:J$10000,M12)=0,"",COUNTIF(PLANILLA!J$3:J$10000,M12))</f>
        <v/>
      </c>
      <c r="O12" s="7"/>
      <c r="P12" s="5" t="s">
        <v>7</v>
      </c>
      <c r="Q12" s="32" t="str">
        <f>IF(COUNTIF(PLANILLA!K$3:K$10000,P12)=0,"",COUNTIF(PLANILLA!K$3:K$10000,P12))</f>
        <v/>
      </c>
      <c r="R12" s="7"/>
      <c r="S12" s="5">
        <v>38</v>
      </c>
      <c r="T12" s="32" t="str">
        <f>IF(COUNTIF(PLANILLA!L$3:L$10000,S12)=0,"",COUNTIF(PLANILLA!L$3:L$10000,S12))</f>
        <v/>
      </c>
    </row>
    <row r="13" spans="1:20" x14ac:dyDescent="0.25">
      <c r="A13" s="5">
        <v>50</v>
      </c>
      <c r="B13" s="32" t="str">
        <f>IF(COUNTIF(PLANILLA!F$3:F$10000,A13)=0,"",COUNTIF(PLANILLA!F$3:F$10000,A13))</f>
        <v/>
      </c>
      <c r="C13" s="7"/>
      <c r="D13" s="5" t="s">
        <v>19</v>
      </c>
      <c r="E13" s="32" t="str">
        <f>IF(COUNTIF(PLANILLA!G$3:G$10000,D13)=0,"",COUNTIF(PLANILLA!G$3:G$10000,D13))</f>
        <v/>
      </c>
      <c r="F13" s="7"/>
      <c r="G13" s="5">
        <v>59</v>
      </c>
      <c r="H13" s="32" t="str">
        <f>IF(COUNTIF(PLANILLA!H$3:H$10000,G13)=0,"",COUNTIF(PLANILLA!H$3:H$10000,G13))</f>
        <v/>
      </c>
      <c r="I13" s="7"/>
      <c r="J13" s="5">
        <v>50</v>
      </c>
      <c r="K13" s="32" t="str">
        <f>IF(COUNTIF(PLANILLA!I$3:I$10000,J13)=0,"",COUNTIF(PLANILLA!I$3:I$10000,J13))</f>
        <v/>
      </c>
      <c r="L13" s="7"/>
      <c r="M13" s="5" t="s">
        <v>19</v>
      </c>
      <c r="N13" s="32" t="str">
        <f>IF(COUNTIF(PLANILLA!J$3:J$10000,M13)=0,"",COUNTIF(PLANILLA!J$3:J$10000,M13))</f>
        <v/>
      </c>
      <c r="O13" s="7"/>
      <c r="P13" s="5" t="s">
        <v>19</v>
      </c>
      <c r="Q13" s="32" t="str">
        <f>IF(COUNTIF(PLANILLA!K$3:K$10000,P13)=0,"",COUNTIF(PLANILLA!K$3:K$10000,P13))</f>
        <v/>
      </c>
      <c r="R13" s="7"/>
      <c r="S13" s="5">
        <v>39</v>
      </c>
      <c r="T13" s="32">
        <f>IF(COUNTIF(PLANILLA!L$3:L$10000,S13)=0,"",COUNTIF(PLANILLA!L$3:L$10000,S13))</f>
        <v>2</v>
      </c>
    </row>
    <row r="14" spans="1:20" x14ac:dyDescent="0.25">
      <c r="A14" s="5">
        <v>52</v>
      </c>
      <c r="B14" s="32" t="str">
        <f>IF(COUNTIF(PLANILLA!F$3:F$10000,A14)=0,"",COUNTIF(PLANILLA!F$3:F$10000,A14))</f>
        <v/>
      </c>
      <c r="C14" s="7"/>
      <c r="D14" s="5" t="s">
        <v>20</v>
      </c>
      <c r="E14" s="32" t="str">
        <f>IF(COUNTIF(PLANILLA!G$3:G$10000,D14)=0,"",COUNTIF(PLANILLA!G$3:G$10000,D14))</f>
        <v/>
      </c>
      <c r="F14" s="7"/>
      <c r="G14" s="5">
        <v>60</v>
      </c>
      <c r="H14" s="32" t="str">
        <f>IF(COUNTIF(PLANILLA!H$3:H$10000,G14)=0,"",COUNTIF(PLANILLA!H$3:H$10000,G14))</f>
        <v/>
      </c>
      <c r="I14" s="7"/>
      <c r="J14" s="5">
        <v>52</v>
      </c>
      <c r="K14" s="32" t="str">
        <f>IF(COUNTIF(PLANILLA!I$3:I$10000,J14)=0,"",COUNTIF(PLANILLA!I$3:I$10000,J14))</f>
        <v/>
      </c>
      <c r="L14" s="7"/>
      <c r="M14" s="5" t="s">
        <v>20</v>
      </c>
      <c r="N14" s="32" t="str">
        <f>IF(COUNTIF(PLANILLA!J$3:J$10000,M14)=0,"",COUNTIF(PLANILLA!J$3:J$10000,M14))</f>
        <v/>
      </c>
      <c r="O14" s="7"/>
      <c r="P14" s="5" t="s">
        <v>20</v>
      </c>
      <c r="Q14" s="32" t="str">
        <f>IF(COUNTIF(PLANILLA!K$3:K$10000,P14)=0,"",COUNTIF(PLANILLA!K$3:K$10000,P14))</f>
        <v/>
      </c>
      <c r="R14" s="7"/>
      <c r="S14" s="5">
        <v>40</v>
      </c>
      <c r="T14" s="32" t="str">
        <f>IF(COUNTIF(PLANILLA!L$3:L$10000,S14)=0,"",COUNTIF(PLANILLA!L$3:L$10000,S14))</f>
        <v/>
      </c>
    </row>
    <row r="15" spans="1:20" x14ac:dyDescent="0.25">
      <c r="A15" s="5">
        <v>54</v>
      </c>
      <c r="B15" s="32" t="str">
        <f>IF(COUNTIF(PLANILLA!F$3:F$10000,A15)=0,"",COUNTIF(PLANILLA!F$3:F$10000,A15))</f>
        <v/>
      </c>
      <c r="C15" s="7"/>
      <c r="D15" s="5" t="s">
        <v>22</v>
      </c>
      <c r="E15" s="32" t="str">
        <f>IF(COUNTIF(PLANILLA!G$3:G$10000,D15)=0,"",COUNTIF(PLANILLA!G$3:G$10000,D15))</f>
        <v/>
      </c>
      <c r="F15" s="7"/>
      <c r="G15" s="5">
        <v>61</v>
      </c>
      <c r="H15" s="32" t="str">
        <f>IF(COUNTIF(PLANILLA!H$3:H$10000,G15)=0,"",COUNTIF(PLANILLA!H$3:H$10000,G15))</f>
        <v/>
      </c>
      <c r="I15" s="7"/>
      <c r="J15" s="5">
        <v>54</v>
      </c>
      <c r="K15" s="32" t="str">
        <f>IF(COUNTIF(PLANILLA!I$3:I$10000,J15)=0,"",COUNTIF(PLANILLA!I$3:I$10000,J15))</f>
        <v/>
      </c>
      <c r="L15" s="7"/>
      <c r="M15" s="5" t="s">
        <v>22</v>
      </c>
      <c r="N15" s="32" t="str">
        <f>IF(COUNTIF(PLANILLA!J$3:J$10000,M15)=0,"",COUNTIF(PLANILLA!J$3:J$10000,M15))</f>
        <v/>
      </c>
      <c r="O15" s="7"/>
      <c r="P15" s="5" t="s">
        <v>22</v>
      </c>
      <c r="Q15" s="32" t="str">
        <f>IF(COUNTIF(PLANILLA!K$3:K$10000,P15)=0,"",COUNTIF(PLANILLA!K$3:K$10000,P15))</f>
        <v/>
      </c>
      <c r="R15" s="7"/>
      <c r="S15" s="5">
        <v>41</v>
      </c>
      <c r="T15" s="32">
        <f>IF(COUNTIF(PLANILLA!L$3:L$10000,S15)=0,"",COUNTIF(PLANILLA!L$3:L$10000,S15))</f>
        <v>1</v>
      </c>
    </row>
    <row r="16" spans="1:20" x14ac:dyDescent="0.25">
      <c r="A16" s="5">
        <v>56</v>
      </c>
      <c r="B16" s="32" t="str">
        <f>IF(COUNTIF(PLANILLA!F$3:F$10000,A16)=0,"",COUNTIF(PLANILLA!F$3:F$10000,A16))</f>
        <v/>
      </c>
      <c r="C16" s="7"/>
      <c r="D16" s="7"/>
      <c r="E16" s="31">
        <f>IF(SUM(E4:E15)=0,"",SUM(E4:E15))</f>
        <v>4</v>
      </c>
      <c r="F16" s="7"/>
      <c r="G16" s="5">
        <v>62</v>
      </c>
      <c r="H16" s="32" t="str">
        <f>IF(COUNTIF(PLANILLA!H$3:H$10000,G16)=0,"",COUNTIF(PLANILLA!H$3:H$10000,G16))</f>
        <v/>
      </c>
      <c r="I16" s="7"/>
      <c r="J16" s="5">
        <v>56</v>
      </c>
      <c r="K16" s="32" t="str">
        <f>IF(COUNTIF(PLANILLA!I$3:I$10000,J16)=0,"",COUNTIF(PLANILLA!I$3:I$10000,J16))</f>
        <v/>
      </c>
      <c r="L16" s="7"/>
      <c r="M16" s="7"/>
      <c r="N16" s="31">
        <f>IF(SUM(N4:N15)=0,"",SUM(N4:N15))</f>
        <v>4</v>
      </c>
      <c r="O16" s="7"/>
      <c r="P16" s="8"/>
      <c r="Q16" s="33">
        <f>IF(SUM(Q4:Q15)=0,"",SUM(Q4:Q15))</f>
        <v>4</v>
      </c>
      <c r="R16" s="7"/>
      <c r="S16" s="5">
        <v>42</v>
      </c>
      <c r="T16" s="32" t="str">
        <f>IF(COUNTIF(PLANILLA!L$3:L$10000,S16)=0,"",COUNTIF(PLANILLA!L$3:L$10000,S16))</f>
        <v/>
      </c>
    </row>
    <row r="17" spans="1:20" x14ac:dyDescent="0.25">
      <c r="A17" s="5">
        <v>58</v>
      </c>
      <c r="B17" s="32" t="str">
        <f>IF(COUNTIF(PLANILLA!F$3:F$10000,A17)=0,"",COUNTIF(PLANILLA!F$3:F$10000,A17))</f>
        <v/>
      </c>
      <c r="C17" s="7"/>
      <c r="D17" s="7"/>
      <c r="E17" s="7"/>
      <c r="F17" s="7"/>
      <c r="G17" s="5">
        <v>63</v>
      </c>
      <c r="H17" s="32" t="str">
        <f>IF(COUNTIF(PLANILLA!H$3:H$10000,G17)=0,"",COUNTIF(PLANILLA!H$3:H$10000,G17))</f>
        <v/>
      </c>
      <c r="I17" s="7"/>
      <c r="J17" s="5">
        <v>58</v>
      </c>
      <c r="K17" s="32" t="str">
        <f>IF(COUNTIF(PLANILLA!I$3:I$10000,J17)=0,"",COUNTIF(PLANILLA!I$3:I$10000,J17))</f>
        <v/>
      </c>
      <c r="L17" s="7"/>
      <c r="M17" s="7"/>
      <c r="N17" s="7"/>
      <c r="O17" s="7"/>
      <c r="P17" s="8"/>
      <c r="Q17" s="34"/>
      <c r="R17" s="7"/>
      <c r="S17" s="5">
        <v>43</v>
      </c>
      <c r="T17" s="32" t="str">
        <f>IF(COUNTIF(PLANILLA!L$3:L$10000,S17)=0,"",COUNTIF(PLANILLA!L$3:L$10000,S17))</f>
        <v/>
      </c>
    </row>
    <row r="18" spans="1:20" x14ac:dyDescent="0.25">
      <c r="A18" s="5">
        <v>60</v>
      </c>
      <c r="B18" s="32" t="str">
        <f>IF(COUNTIF(PLANILLA!F$3:F$10000,A18)=0,"",COUNTIF(PLANILLA!F$3:F$10000,A18))</f>
        <v/>
      </c>
      <c r="C18" s="7"/>
      <c r="D18" s="7"/>
      <c r="E18" s="7"/>
      <c r="F18" s="7"/>
      <c r="G18" s="5">
        <v>64</v>
      </c>
      <c r="H18" s="32" t="str">
        <f>IF(COUNTIF(PLANILLA!H$3:H$10000,G18)=0,"",COUNTIF(PLANILLA!H$3:H$10000,G18))</f>
        <v/>
      </c>
      <c r="I18" s="7"/>
      <c r="J18" s="5">
        <v>60</v>
      </c>
      <c r="K18" s="32" t="str">
        <f>IF(COUNTIF(PLANILLA!I$3:I$10000,J18)=0,"",COUNTIF(PLANILLA!I$3:I$10000,J18))</f>
        <v/>
      </c>
      <c r="L18" s="7"/>
      <c r="M18" s="7"/>
      <c r="N18" s="7"/>
      <c r="O18" s="7"/>
      <c r="P18" s="8"/>
      <c r="Q18" s="34"/>
      <c r="R18" s="7"/>
      <c r="S18" s="5">
        <v>44</v>
      </c>
      <c r="T18" s="32" t="str">
        <f>IF(COUNTIF(PLANILLA!L$3:L$10000,S18)=0,"",COUNTIF(PLANILLA!L$3:L$10000,S18))</f>
        <v/>
      </c>
    </row>
    <row r="19" spans="1:20" x14ac:dyDescent="0.25">
      <c r="A19" s="5">
        <v>62</v>
      </c>
      <c r="B19" s="32" t="str">
        <f>IF(COUNTIF(PLANILLA!F$3:F$10000,A19)=0,"",COUNTIF(PLANILLA!F$3:F$10000,A19))</f>
        <v/>
      </c>
      <c r="C19" s="7"/>
      <c r="D19" s="7"/>
      <c r="E19" s="7"/>
      <c r="F19" s="7"/>
      <c r="G19" s="5">
        <v>65</v>
      </c>
      <c r="H19" s="32">
        <f>IF(COUNTIF(PLANILLA!H$3:H$10000,G19)=0,"",COUNTIF(PLANILLA!H$3:H$10000,G19))</f>
        <v>1</v>
      </c>
      <c r="I19" s="7"/>
      <c r="J19" s="5">
        <v>62</v>
      </c>
      <c r="K19" s="32" t="str">
        <f>IF(COUNTIF(PLANILLA!I$3:I$10000,J19)=0,"",COUNTIF(PLANILLA!I$3:I$10000,J19))</f>
        <v/>
      </c>
      <c r="L19" s="7"/>
      <c r="M19" s="7"/>
      <c r="N19" s="7"/>
      <c r="O19" s="7"/>
      <c r="P19" s="8"/>
      <c r="Q19" s="34"/>
      <c r="R19" s="7"/>
      <c r="S19" s="5">
        <v>45</v>
      </c>
      <c r="T19" s="32" t="str">
        <f>IF(COUNTIF(PLANILLA!L$3:L$10000,S19)=0,"",COUNTIF(PLANILLA!L$3:L$10000,S19))</f>
        <v/>
      </c>
    </row>
    <row r="20" spans="1:20" x14ac:dyDescent="0.25">
      <c r="A20" s="5">
        <v>64</v>
      </c>
      <c r="B20" s="32" t="str">
        <f>IF(COUNTIF(PLANILLA!F$3:F$10000,A20)=0,"",COUNTIF(PLANILLA!F$3:F$10000,A20))</f>
        <v/>
      </c>
      <c r="C20" s="7"/>
      <c r="D20" s="7"/>
      <c r="E20" s="7"/>
      <c r="F20" s="7"/>
      <c r="G20" s="7"/>
      <c r="H20" s="31">
        <f>IF(SUM(H4:H19)=0,"",SUM(H4:H19))</f>
        <v>4</v>
      </c>
      <c r="I20" s="7"/>
      <c r="J20" s="5">
        <v>64</v>
      </c>
      <c r="K20" s="32" t="str">
        <f>IF(COUNTIF(PLANILLA!I$3:I$10000,J20)=0,"",COUNTIF(PLANILLA!I$3:I$10000,J20))</f>
        <v/>
      </c>
      <c r="L20" s="7"/>
      <c r="M20" s="7"/>
      <c r="N20" s="7"/>
      <c r="O20" s="7"/>
      <c r="P20" s="8"/>
      <c r="Q20" s="34"/>
      <c r="R20" s="7"/>
      <c r="S20" s="5">
        <v>46</v>
      </c>
      <c r="T20" s="32" t="str">
        <f>IF(COUNTIF(PLANILLA!L$3:L$10000,S20)=0,"",COUNTIF(PLANILLA!L$3:L$10000,S20))</f>
        <v/>
      </c>
    </row>
    <row r="21" spans="1:20" x14ac:dyDescent="0.25">
      <c r="A21" s="5">
        <v>66</v>
      </c>
      <c r="B21" s="32" t="str">
        <f>IF(COUNTIF(PLANILLA!F$3:F$10000,A21)=0,"",COUNTIF(PLANILLA!F$3:F$10000,A21))</f>
        <v/>
      </c>
      <c r="C21" s="7"/>
      <c r="D21" s="7"/>
      <c r="E21" s="7"/>
      <c r="F21" s="7"/>
      <c r="G21" s="7"/>
      <c r="H21" s="7"/>
      <c r="I21" s="7"/>
      <c r="J21" s="5">
        <v>66</v>
      </c>
      <c r="K21" s="32" t="str">
        <f>IF(COUNTIF(PLANILLA!I$3:I$10000,J21)=0,"",COUNTIF(PLANILLA!I$3:I$10000,J21))</f>
        <v/>
      </c>
      <c r="L21" s="7"/>
      <c r="M21" s="7"/>
      <c r="N21" s="7"/>
      <c r="O21" s="7"/>
      <c r="P21" s="8"/>
      <c r="Q21" s="34"/>
      <c r="R21" s="7"/>
      <c r="S21" s="5">
        <v>47</v>
      </c>
      <c r="T21" s="32" t="str">
        <f>IF(COUNTIF(PLANILLA!L$3:L$10000,S21)=0,"",COUNTIF(PLANILLA!L$3:L$10000,S21))</f>
        <v/>
      </c>
    </row>
    <row r="22" spans="1:20" x14ac:dyDescent="0.25">
      <c r="A22" s="7"/>
      <c r="B22" s="31">
        <f>IF(SUM(B4:B21)=0,"",SUM(B4:B21))</f>
        <v>3</v>
      </c>
      <c r="C22" s="7"/>
      <c r="D22" s="7"/>
      <c r="E22" s="7"/>
      <c r="F22" s="7"/>
      <c r="G22" s="7"/>
      <c r="H22" s="7"/>
      <c r="I22" s="7"/>
      <c r="J22" s="8"/>
      <c r="K22" s="31">
        <f>IF(SUM(K4:K21)=0,"",SUM(K4:K21))</f>
        <v>4</v>
      </c>
      <c r="L22" s="7"/>
      <c r="M22" s="7"/>
      <c r="N22" s="7"/>
      <c r="O22" s="7"/>
      <c r="P22" s="8"/>
      <c r="Q22" s="34"/>
      <c r="R22" s="7"/>
      <c r="S22" s="5">
        <v>48</v>
      </c>
      <c r="T22" s="32" t="str">
        <f>IF(COUNTIF(PLANILLA!L$3:L$10000,S22)=0,"",COUNTIF(PLANILLA!L$3:L$10000,S22))</f>
        <v/>
      </c>
    </row>
    <row r="23" spans="1:20" x14ac:dyDescent="0.25">
      <c r="A23" s="7"/>
      <c r="B23" s="7"/>
      <c r="C23" s="7"/>
      <c r="D23" s="7"/>
      <c r="E23" s="7"/>
      <c r="F23" s="7"/>
      <c r="G23" s="7"/>
      <c r="H23" s="7"/>
      <c r="I23" s="7"/>
      <c r="J23" s="8"/>
      <c r="K23" s="8"/>
      <c r="L23" s="7"/>
      <c r="M23" s="7"/>
      <c r="N23" s="7"/>
      <c r="O23" s="7"/>
      <c r="P23" s="8"/>
      <c r="Q23" s="34"/>
      <c r="R23" s="7"/>
      <c r="S23" s="5">
        <v>49</v>
      </c>
      <c r="T23" s="32" t="str">
        <f>IF(COUNTIF(PLANILLA!L$3:L$10000,S23)=0,"",COUNTIF(PLANILLA!L$3:L$10000,S23))</f>
        <v/>
      </c>
    </row>
    <row r="24" spans="1:20" x14ac:dyDescent="0.25">
      <c r="A24" s="7"/>
      <c r="B24" s="7"/>
      <c r="C24" s="7"/>
      <c r="D24" s="7"/>
      <c r="E24" s="7"/>
      <c r="F24" s="7"/>
      <c r="G24" s="7"/>
      <c r="H24" s="7"/>
      <c r="I24" s="7"/>
      <c r="J24" s="8"/>
      <c r="K24" s="8"/>
      <c r="L24" s="7"/>
      <c r="M24" s="7"/>
      <c r="N24" s="7"/>
      <c r="O24" s="7"/>
      <c r="P24" s="8"/>
      <c r="Q24" s="34"/>
      <c r="R24" s="7"/>
      <c r="S24" s="5">
        <v>50</v>
      </c>
      <c r="T24" s="32" t="str">
        <f>IF(COUNTIF(PLANILLA!L$3:L$10000,S24)=0,"",COUNTIF(PLANILLA!L$3:L$10000,S24))</f>
        <v/>
      </c>
    </row>
    <row r="25" spans="1:20" x14ac:dyDescent="0.25">
      <c r="A25" s="7"/>
      <c r="B25" s="7"/>
      <c r="C25" s="7"/>
      <c r="D25" s="7"/>
      <c r="E25" s="7"/>
      <c r="F25" s="7"/>
      <c r="G25" s="7"/>
      <c r="H25" s="7"/>
      <c r="I25" s="7"/>
      <c r="J25" s="8"/>
      <c r="K25" s="8"/>
      <c r="L25" s="7"/>
      <c r="M25" s="7"/>
      <c r="N25" s="7"/>
      <c r="O25" s="7"/>
      <c r="P25" s="8"/>
      <c r="Q25" s="8"/>
      <c r="R25" s="7"/>
      <c r="S25" s="5">
        <v>51</v>
      </c>
      <c r="T25" s="32" t="str">
        <f>IF(COUNTIF(PLANILLA!L$3:L$10000,S25)=0,"",COUNTIF(PLANILLA!L$3:L$10000,S25))</f>
        <v/>
      </c>
    </row>
    <row r="26" spans="1:20" x14ac:dyDescent="0.25">
      <c r="A26" s="7"/>
      <c r="B26" s="7"/>
      <c r="C26" s="7"/>
      <c r="D26" s="7"/>
      <c r="E26" s="7"/>
      <c r="F26" s="7"/>
      <c r="G26" s="7"/>
      <c r="H26" s="7"/>
      <c r="I26" s="7"/>
      <c r="J26" s="8"/>
      <c r="K26" s="8"/>
      <c r="L26" s="7"/>
      <c r="M26" s="7"/>
      <c r="N26" s="7"/>
      <c r="O26" s="7"/>
      <c r="P26" s="8"/>
      <c r="Q26" s="8"/>
      <c r="R26" s="7"/>
      <c r="S26" s="5">
        <v>52</v>
      </c>
      <c r="T26" s="32" t="str">
        <f>IF(COUNTIF(PLANILLA!L$3:L$10000,S26)=0,"",COUNTIF(PLANILLA!L$3:L$10000,S26))</f>
        <v/>
      </c>
    </row>
    <row r="27" spans="1:20" x14ac:dyDescent="0.25">
      <c r="A27" s="7"/>
      <c r="B27" s="7"/>
      <c r="C27" s="7"/>
      <c r="D27" s="7"/>
      <c r="E27" s="7"/>
      <c r="F27" s="7"/>
      <c r="G27" s="7"/>
      <c r="H27" s="7"/>
      <c r="I27" s="7"/>
      <c r="J27" s="8"/>
      <c r="K27" s="8"/>
      <c r="L27" s="7"/>
      <c r="M27" s="7"/>
      <c r="N27" s="7"/>
      <c r="O27" s="7"/>
      <c r="P27" s="8"/>
      <c r="Q27" s="8"/>
      <c r="R27" s="7"/>
      <c r="S27" s="5">
        <v>53</v>
      </c>
      <c r="T27" s="32" t="str">
        <f>IF(COUNTIF(PLANILLA!L$3:L$10000,S27)=0,"",COUNTIF(PLANILLA!L$3:L$10000,S27))</f>
        <v/>
      </c>
    </row>
    <row r="28" spans="1:20" x14ac:dyDescent="0.25">
      <c r="A28" s="7"/>
      <c r="B28" s="7"/>
      <c r="C28" s="7"/>
      <c r="D28" s="7"/>
      <c r="E28" s="7"/>
      <c r="F28" s="7"/>
      <c r="G28" s="7"/>
      <c r="H28" s="7"/>
      <c r="I28" s="7"/>
      <c r="J28" s="8"/>
      <c r="K28" s="8"/>
      <c r="L28" s="7"/>
      <c r="M28" s="7"/>
      <c r="N28" s="7"/>
      <c r="O28" s="7"/>
      <c r="P28" s="8"/>
      <c r="Q28" s="8"/>
      <c r="R28" s="7"/>
      <c r="S28" s="5">
        <v>54</v>
      </c>
      <c r="T28" s="32" t="str">
        <f>IF(COUNTIF(PLANILLA!L$3:L$10000,S28)=0,"",COUNTIF(PLANILLA!L$3:L$10000,S28))</f>
        <v/>
      </c>
    </row>
    <row r="29" spans="1:20" x14ac:dyDescent="0.25">
      <c r="A29" s="7"/>
      <c r="B29" s="7"/>
      <c r="C29" s="7"/>
      <c r="D29" s="7"/>
      <c r="E29" s="7"/>
      <c r="F29" s="7"/>
      <c r="G29" s="7"/>
      <c r="H29" s="7"/>
      <c r="I29" s="7"/>
      <c r="J29" s="8"/>
      <c r="K29" s="8"/>
      <c r="L29" s="7"/>
      <c r="M29" s="7"/>
      <c r="N29" s="7"/>
      <c r="O29" s="7"/>
      <c r="P29" s="8"/>
      <c r="Q29" s="8"/>
      <c r="R29" s="7"/>
      <c r="S29" s="5">
        <v>55</v>
      </c>
      <c r="T29" s="32" t="str">
        <f>IF(COUNTIF(PLANILLA!L$3:L$10000,S29)=0,"",COUNTIF(PLANILLA!L$3:L$10000,S29))</f>
        <v/>
      </c>
    </row>
    <row r="30" spans="1:20" x14ac:dyDescent="0.25">
      <c r="A30" s="7"/>
      <c r="B30" s="7"/>
      <c r="C30" s="7"/>
      <c r="D30" s="7"/>
      <c r="E30" s="7"/>
      <c r="F30" s="7"/>
      <c r="G30" s="7"/>
      <c r="H30" s="7"/>
      <c r="I30" s="7"/>
      <c r="J30" s="8"/>
      <c r="K30" s="8"/>
      <c r="L30" s="7"/>
      <c r="M30" s="7"/>
      <c r="N30" s="7"/>
      <c r="O30" s="7"/>
      <c r="P30" s="8"/>
      <c r="Q30" s="8"/>
      <c r="R30" s="7"/>
      <c r="S30" s="8"/>
      <c r="T30" s="33">
        <f>IF(SUM(T4:T29)=0,"",SUM(T4:T29))</f>
        <v>4</v>
      </c>
    </row>
  </sheetData>
  <mergeCells count="8">
    <mergeCell ref="A1:T1"/>
    <mergeCell ref="J2:K2"/>
    <mergeCell ref="M2:N2"/>
    <mergeCell ref="P2:Q2"/>
    <mergeCell ref="S2:T2"/>
    <mergeCell ref="A2:B2"/>
    <mergeCell ref="D2:E2"/>
    <mergeCell ref="G2:H2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105" orientation="landscape" horizontalDpi="300" verticalDpi="300" r:id="rId1"/>
  <headerFooter>
    <oddHeader>&amp;C&amp;"-,Negrita"&amp;14&amp;F</oddHeader>
    <oddFooter>&amp;C&amp;"-,Negrita"&amp;14&amp;P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2:B22"/>
  <sheetViews>
    <sheetView workbookViewId="0"/>
  </sheetViews>
  <sheetFormatPr baseColWidth="10" defaultRowHeight="15" x14ac:dyDescent="0.25"/>
  <cols>
    <col min="1" max="16384" width="11.42578125" style="1"/>
  </cols>
  <sheetData>
    <row r="2" spans="1:2" x14ac:dyDescent="0.25">
      <c r="A2" s="26" t="s">
        <v>14</v>
      </c>
      <c r="B2" s="27"/>
    </row>
    <row r="3" spans="1:2" x14ac:dyDescent="0.25">
      <c r="A3" s="3" t="s">
        <v>23</v>
      </c>
      <c r="B3" s="4" t="s">
        <v>24</v>
      </c>
    </row>
    <row r="4" spans="1:2" x14ac:dyDescent="0.25">
      <c r="A4" s="5">
        <v>32</v>
      </c>
      <c r="B4" s="6">
        <f>IF(TOTALES!B4="","",TOTALES!B4)</f>
        <v>1</v>
      </c>
    </row>
    <row r="5" spans="1:2" x14ac:dyDescent="0.25">
      <c r="A5" s="5">
        <v>34</v>
      </c>
      <c r="B5" s="6" t="str">
        <f>IF(TOTALES!B5="","",TOTALES!B5)</f>
        <v/>
      </c>
    </row>
    <row r="6" spans="1:2" x14ac:dyDescent="0.25">
      <c r="A6" s="5">
        <v>36</v>
      </c>
      <c r="B6" s="6" t="str">
        <f>IF(TOTALES!B6="","",TOTALES!B6)</f>
        <v/>
      </c>
    </row>
    <row r="7" spans="1:2" x14ac:dyDescent="0.25">
      <c r="A7" s="5">
        <v>38</v>
      </c>
      <c r="B7" s="6" t="str">
        <f>IF(TOTALES!B7="","",TOTALES!B7)</f>
        <v/>
      </c>
    </row>
    <row r="8" spans="1:2" x14ac:dyDescent="0.25">
      <c r="A8" s="5">
        <v>40</v>
      </c>
      <c r="B8" s="6">
        <f>IF(TOTALES!B8="","",TOTALES!B8)</f>
        <v>1</v>
      </c>
    </row>
    <row r="9" spans="1:2" x14ac:dyDescent="0.25">
      <c r="A9" s="5">
        <v>42</v>
      </c>
      <c r="B9" s="6" t="str">
        <f>IF(TOTALES!B9="","",TOTALES!B9)</f>
        <v/>
      </c>
    </row>
    <row r="10" spans="1:2" x14ac:dyDescent="0.25">
      <c r="A10" s="5">
        <v>44</v>
      </c>
      <c r="B10" s="6">
        <f>IF(TOTALES!B10="","",TOTALES!B10)</f>
        <v>1</v>
      </c>
    </row>
    <row r="11" spans="1:2" x14ac:dyDescent="0.25">
      <c r="A11" s="5">
        <v>46</v>
      </c>
      <c r="B11" s="6" t="str">
        <f>IF(TOTALES!B11="","",TOTALES!B11)</f>
        <v/>
      </c>
    </row>
    <row r="12" spans="1:2" x14ac:dyDescent="0.25">
      <c r="A12" s="5">
        <v>48</v>
      </c>
      <c r="B12" s="6" t="str">
        <f>IF(TOTALES!B12="","",TOTALES!B12)</f>
        <v/>
      </c>
    </row>
    <row r="13" spans="1:2" x14ac:dyDescent="0.25">
      <c r="A13" s="5">
        <v>50</v>
      </c>
      <c r="B13" s="6" t="str">
        <f>IF(TOTALES!B13="","",TOTALES!B13)</f>
        <v/>
      </c>
    </row>
    <row r="14" spans="1:2" x14ac:dyDescent="0.25">
      <c r="A14" s="5">
        <v>52</v>
      </c>
      <c r="B14" s="6" t="str">
        <f>IF(TOTALES!B14="","",TOTALES!B14)</f>
        <v/>
      </c>
    </row>
    <row r="15" spans="1:2" x14ac:dyDescent="0.25">
      <c r="A15" s="5">
        <v>54</v>
      </c>
      <c r="B15" s="6" t="str">
        <f>IF(TOTALES!B15="","",TOTALES!B15)</f>
        <v/>
      </c>
    </row>
    <row r="16" spans="1:2" x14ac:dyDescent="0.25">
      <c r="A16" s="5">
        <v>56</v>
      </c>
      <c r="B16" s="6" t="str">
        <f>IF(TOTALES!B16="","",TOTALES!B16)</f>
        <v/>
      </c>
    </row>
    <row r="17" spans="1:2" x14ac:dyDescent="0.25">
      <c r="A17" s="5">
        <v>58</v>
      </c>
      <c r="B17" s="6" t="str">
        <f>IF(TOTALES!B17="","",TOTALES!B17)</f>
        <v/>
      </c>
    </row>
    <row r="18" spans="1:2" x14ac:dyDescent="0.25">
      <c r="A18" s="5">
        <v>60</v>
      </c>
      <c r="B18" s="6" t="str">
        <f>IF(TOTALES!B18="","",TOTALES!B18)</f>
        <v/>
      </c>
    </row>
    <row r="19" spans="1:2" x14ac:dyDescent="0.25">
      <c r="A19" s="5">
        <v>62</v>
      </c>
      <c r="B19" s="6" t="str">
        <f>IF(TOTALES!B19="","",TOTALES!B19)</f>
        <v/>
      </c>
    </row>
    <row r="20" spans="1:2" x14ac:dyDescent="0.25">
      <c r="A20" s="5">
        <v>64</v>
      </c>
      <c r="B20" s="6" t="str">
        <f>IF(TOTALES!B20="","",TOTALES!B20)</f>
        <v/>
      </c>
    </row>
    <row r="21" spans="1:2" x14ac:dyDescent="0.25">
      <c r="A21" s="5">
        <v>66</v>
      </c>
      <c r="B21" s="6" t="str">
        <f>IF(TOTALES!B21="","",TOTALES!B21)</f>
        <v/>
      </c>
    </row>
    <row r="22" spans="1:2" ht="19.5" x14ac:dyDescent="0.3">
      <c r="A22" s="7"/>
      <c r="B22" s="9">
        <f>IF(SUM(B4:B21)=0,"",SUM(B4:B21))</f>
        <v>3</v>
      </c>
    </row>
  </sheetData>
  <mergeCells count="1">
    <mergeCell ref="A2:B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2:B16"/>
  <sheetViews>
    <sheetView workbookViewId="0"/>
  </sheetViews>
  <sheetFormatPr baseColWidth="10" defaultRowHeight="15" x14ac:dyDescent="0.25"/>
  <cols>
    <col min="1" max="16384" width="11.42578125" style="1"/>
  </cols>
  <sheetData>
    <row r="2" spans="1:2" x14ac:dyDescent="0.25">
      <c r="A2" s="26" t="s">
        <v>11</v>
      </c>
      <c r="B2" s="27"/>
    </row>
    <row r="3" spans="1:2" x14ac:dyDescent="0.25">
      <c r="A3" s="3" t="s">
        <v>23</v>
      </c>
      <c r="B3" s="4" t="s">
        <v>24</v>
      </c>
    </row>
    <row r="4" spans="1:2" x14ac:dyDescent="0.25">
      <c r="A4" s="5" t="s">
        <v>21</v>
      </c>
      <c r="B4" s="6" t="str">
        <f>IF(TOTALES!E4="","",TOTALES!E4)</f>
        <v/>
      </c>
    </row>
    <row r="5" spans="1:2" x14ac:dyDescent="0.25">
      <c r="A5" s="5" t="s">
        <v>8</v>
      </c>
      <c r="B5" s="6">
        <f>IF(TOTALES!E5="","",TOTALES!E5)</f>
        <v>2</v>
      </c>
    </row>
    <row r="6" spans="1:2" x14ac:dyDescent="0.25">
      <c r="A6" s="5" t="s">
        <v>5</v>
      </c>
      <c r="B6" s="6" t="str">
        <f>IF(TOTALES!E6="","",TOTALES!E6)</f>
        <v/>
      </c>
    </row>
    <row r="7" spans="1:2" x14ac:dyDescent="0.25">
      <c r="A7" s="5" t="s">
        <v>4</v>
      </c>
      <c r="B7" s="6">
        <f>IF(TOTALES!E7="","",TOTALES!E7)</f>
        <v>1</v>
      </c>
    </row>
    <row r="8" spans="1:2" x14ac:dyDescent="0.25">
      <c r="A8" s="5" t="s">
        <v>2</v>
      </c>
      <c r="B8" s="6">
        <f>IF(TOTALES!E8="","",TOTALES!E8)</f>
        <v>1</v>
      </c>
    </row>
    <row r="9" spans="1:2" x14ac:dyDescent="0.25">
      <c r="A9" s="5" t="s">
        <v>1</v>
      </c>
      <c r="B9" s="6" t="str">
        <f>IF(TOTALES!E9="","",TOTALES!E9)</f>
        <v/>
      </c>
    </row>
    <row r="10" spans="1:2" x14ac:dyDescent="0.25">
      <c r="A10" s="5" t="s">
        <v>3</v>
      </c>
      <c r="B10" s="6" t="str">
        <f>IF(TOTALES!E10="","",TOTALES!E10)</f>
        <v/>
      </c>
    </row>
    <row r="11" spans="1:2" x14ac:dyDescent="0.25">
      <c r="A11" s="5" t="s">
        <v>6</v>
      </c>
      <c r="B11" s="6" t="str">
        <f>IF(TOTALES!E11="","",TOTALES!E11)</f>
        <v/>
      </c>
    </row>
    <row r="12" spans="1:2" x14ac:dyDescent="0.25">
      <c r="A12" s="5" t="s">
        <v>7</v>
      </c>
      <c r="B12" s="6" t="str">
        <f>IF(TOTALES!E12="","",TOTALES!E12)</f>
        <v/>
      </c>
    </row>
    <row r="13" spans="1:2" x14ac:dyDescent="0.25">
      <c r="A13" s="5" t="s">
        <v>19</v>
      </c>
      <c r="B13" s="6" t="str">
        <f>IF(TOTALES!E13="","",TOTALES!E13)</f>
        <v/>
      </c>
    </row>
    <row r="14" spans="1:2" x14ac:dyDescent="0.25">
      <c r="A14" s="5" t="s">
        <v>20</v>
      </c>
      <c r="B14" s="6" t="str">
        <f>IF(TOTALES!E14="","",TOTALES!E14)</f>
        <v/>
      </c>
    </row>
    <row r="15" spans="1:2" x14ac:dyDescent="0.25">
      <c r="A15" s="5" t="s">
        <v>22</v>
      </c>
      <c r="B15" s="6" t="str">
        <f>IF(TOTALES!E15="","",TOTALES!E15)</f>
        <v/>
      </c>
    </row>
    <row r="16" spans="1:2" ht="19.5" x14ac:dyDescent="0.3">
      <c r="A16" s="7"/>
      <c r="B16" s="9">
        <f>IF(SUM(B4:B15)=0,"",SUM(B4:B15))</f>
        <v>4</v>
      </c>
    </row>
  </sheetData>
  <mergeCells count="1">
    <mergeCell ref="A2:B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2:B20"/>
  <sheetViews>
    <sheetView workbookViewId="0"/>
  </sheetViews>
  <sheetFormatPr baseColWidth="10" defaultRowHeight="15" x14ac:dyDescent="0.25"/>
  <cols>
    <col min="1" max="16384" width="11.42578125" style="1"/>
  </cols>
  <sheetData>
    <row r="2" spans="1:2" x14ac:dyDescent="0.25">
      <c r="A2" s="26" t="s">
        <v>0</v>
      </c>
      <c r="B2" s="27"/>
    </row>
    <row r="3" spans="1:2" x14ac:dyDescent="0.25">
      <c r="A3" s="3" t="s">
        <v>23</v>
      </c>
      <c r="B3" s="4" t="s">
        <v>24</v>
      </c>
    </row>
    <row r="4" spans="1:2" x14ac:dyDescent="0.25">
      <c r="A4" s="5">
        <v>50</v>
      </c>
      <c r="B4" s="6">
        <f>IF(TOTALES!H4="","",TOTALES!H4)</f>
        <v>2</v>
      </c>
    </row>
    <row r="5" spans="1:2" x14ac:dyDescent="0.25">
      <c r="A5" s="5">
        <v>51</v>
      </c>
      <c r="B5" s="6" t="str">
        <f>IF(TOTALES!H5="","",TOTALES!H5)</f>
        <v/>
      </c>
    </row>
    <row r="6" spans="1:2" x14ac:dyDescent="0.25">
      <c r="A6" s="5">
        <v>52</v>
      </c>
      <c r="B6" s="6" t="str">
        <f>IF(TOTALES!H6="","",TOTALES!H6)</f>
        <v/>
      </c>
    </row>
    <row r="7" spans="1:2" x14ac:dyDescent="0.25">
      <c r="A7" s="5">
        <v>53</v>
      </c>
      <c r="B7" s="6" t="str">
        <f>IF(TOTALES!H7="","",TOTALES!H7)</f>
        <v/>
      </c>
    </row>
    <row r="8" spans="1:2" x14ac:dyDescent="0.25">
      <c r="A8" s="5">
        <v>54</v>
      </c>
      <c r="B8" s="6" t="str">
        <f>IF(TOTALES!H8="","",TOTALES!H8)</f>
        <v/>
      </c>
    </row>
    <row r="9" spans="1:2" x14ac:dyDescent="0.25">
      <c r="A9" s="5">
        <v>55</v>
      </c>
      <c r="B9" s="6">
        <f>IF(TOTALES!H9="","",TOTALES!H9)</f>
        <v>1</v>
      </c>
    </row>
    <row r="10" spans="1:2" x14ac:dyDescent="0.25">
      <c r="A10" s="5">
        <v>56</v>
      </c>
      <c r="B10" s="6" t="str">
        <f>IF(TOTALES!H10="","",TOTALES!H10)</f>
        <v/>
      </c>
    </row>
    <row r="11" spans="1:2" x14ac:dyDescent="0.25">
      <c r="A11" s="5">
        <v>57</v>
      </c>
      <c r="B11" s="6" t="str">
        <f>IF(TOTALES!H11="","",TOTALES!H11)</f>
        <v/>
      </c>
    </row>
    <row r="12" spans="1:2" x14ac:dyDescent="0.25">
      <c r="A12" s="5">
        <v>58</v>
      </c>
      <c r="B12" s="6" t="str">
        <f>IF(TOTALES!H12="","",TOTALES!H12)</f>
        <v/>
      </c>
    </row>
    <row r="13" spans="1:2" x14ac:dyDescent="0.25">
      <c r="A13" s="5">
        <v>59</v>
      </c>
      <c r="B13" s="6" t="str">
        <f>IF(TOTALES!H13="","",TOTALES!H13)</f>
        <v/>
      </c>
    </row>
    <row r="14" spans="1:2" x14ac:dyDescent="0.25">
      <c r="A14" s="5">
        <v>60</v>
      </c>
      <c r="B14" s="6" t="str">
        <f>IF(TOTALES!H14="","",TOTALES!H14)</f>
        <v/>
      </c>
    </row>
    <row r="15" spans="1:2" x14ac:dyDescent="0.25">
      <c r="A15" s="5">
        <v>61</v>
      </c>
      <c r="B15" s="6" t="str">
        <f>IF(TOTALES!H15="","",TOTALES!H15)</f>
        <v/>
      </c>
    </row>
    <row r="16" spans="1:2" x14ac:dyDescent="0.25">
      <c r="A16" s="5">
        <v>62</v>
      </c>
      <c r="B16" s="6" t="str">
        <f>IF(TOTALES!H16="","",TOTALES!H16)</f>
        <v/>
      </c>
    </row>
    <row r="17" spans="1:2" x14ac:dyDescent="0.25">
      <c r="A17" s="5">
        <v>63</v>
      </c>
      <c r="B17" s="6" t="str">
        <f>IF(TOTALES!H17="","",TOTALES!H17)</f>
        <v/>
      </c>
    </row>
    <row r="18" spans="1:2" x14ac:dyDescent="0.25">
      <c r="A18" s="5">
        <v>64</v>
      </c>
      <c r="B18" s="6" t="str">
        <f>IF(TOTALES!H18="","",TOTALES!H18)</f>
        <v/>
      </c>
    </row>
    <row r="19" spans="1:2" x14ac:dyDescent="0.25">
      <c r="A19" s="5">
        <v>65</v>
      </c>
      <c r="B19" s="6">
        <f>IF(TOTALES!H19="","",TOTALES!H19)</f>
        <v>1</v>
      </c>
    </row>
    <row r="20" spans="1:2" ht="19.5" x14ac:dyDescent="0.3">
      <c r="A20" s="7"/>
      <c r="B20" s="9">
        <f>IF(SUM(B4:B19)=0,"",SUM(B4:B19))</f>
        <v>4</v>
      </c>
    </row>
  </sheetData>
  <mergeCells count="1">
    <mergeCell ref="A2:B2"/>
  </mergeCells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2:B22"/>
  <sheetViews>
    <sheetView workbookViewId="0"/>
  </sheetViews>
  <sheetFormatPr baseColWidth="10" defaultRowHeight="15" x14ac:dyDescent="0.25"/>
  <cols>
    <col min="1" max="16384" width="11.42578125" style="1"/>
  </cols>
  <sheetData>
    <row r="2" spans="1:2" x14ac:dyDescent="0.25">
      <c r="A2" s="26" t="s">
        <v>10</v>
      </c>
      <c r="B2" s="27"/>
    </row>
    <row r="3" spans="1:2" x14ac:dyDescent="0.25">
      <c r="A3" s="3" t="s">
        <v>23</v>
      </c>
      <c r="B3" s="4" t="s">
        <v>24</v>
      </c>
    </row>
    <row r="4" spans="1:2" x14ac:dyDescent="0.25">
      <c r="A4" s="5">
        <v>32</v>
      </c>
      <c r="B4" s="6" t="str">
        <f>IF(TOTALES!K4="","",TOTALES!K4)</f>
        <v/>
      </c>
    </row>
    <row r="5" spans="1:2" x14ac:dyDescent="0.25">
      <c r="A5" s="5">
        <v>34</v>
      </c>
      <c r="B5" s="6" t="str">
        <f>IF(TOTALES!K5="","",TOTALES!K5)</f>
        <v/>
      </c>
    </row>
    <row r="6" spans="1:2" x14ac:dyDescent="0.25">
      <c r="A6" s="5">
        <v>36</v>
      </c>
      <c r="B6" s="6" t="str">
        <f>IF(TOTALES!K6="","",TOTALES!K6)</f>
        <v/>
      </c>
    </row>
    <row r="7" spans="1:2" x14ac:dyDescent="0.25">
      <c r="A7" s="5">
        <v>38</v>
      </c>
      <c r="B7" s="6">
        <f>IF(TOTALES!K7="","",TOTALES!K7)</f>
        <v>2</v>
      </c>
    </row>
    <row r="8" spans="1:2" x14ac:dyDescent="0.25">
      <c r="A8" s="5">
        <v>40</v>
      </c>
      <c r="B8" s="6" t="str">
        <f>IF(TOTALES!K8="","",TOTALES!K8)</f>
        <v/>
      </c>
    </row>
    <row r="9" spans="1:2" x14ac:dyDescent="0.25">
      <c r="A9" s="5">
        <v>42</v>
      </c>
      <c r="B9" s="6">
        <f>IF(TOTALES!K9="","",TOTALES!K9)</f>
        <v>1</v>
      </c>
    </row>
    <row r="10" spans="1:2" x14ac:dyDescent="0.25">
      <c r="A10" s="5">
        <v>44</v>
      </c>
      <c r="B10" s="6">
        <f>IF(TOTALES!K10="","",TOTALES!K10)</f>
        <v>1</v>
      </c>
    </row>
    <row r="11" spans="1:2" x14ac:dyDescent="0.25">
      <c r="A11" s="5">
        <v>46</v>
      </c>
      <c r="B11" s="6" t="str">
        <f>IF(TOTALES!K11="","",TOTALES!K11)</f>
        <v/>
      </c>
    </row>
    <row r="12" spans="1:2" x14ac:dyDescent="0.25">
      <c r="A12" s="5">
        <v>48</v>
      </c>
      <c r="B12" s="6" t="str">
        <f>IF(TOTALES!K12="","",TOTALES!K12)</f>
        <v/>
      </c>
    </row>
    <row r="13" spans="1:2" x14ac:dyDescent="0.25">
      <c r="A13" s="5">
        <v>50</v>
      </c>
      <c r="B13" s="6" t="str">
        <f>IF(TOTALES!K13="","",TOTALES!K13)</f>
        <v/>
      </c>
    </row>
    <row r="14" spans="1:2" x14ac:dyDescent="0.25">
      <c r="A14" s="5">
        <v>52</v>
      </c>
      <c r="B14" s="6" t="str">
        <f>IF(TOTALES!K14="","",TOTALES!K14)</f>
        <v/>
      </c>
    </row>
    <row r="15" spans="1:2" x14ac:dyDescent="0.25">
      <c r="A15" s="5">
        <v>54</v>
      </c>
      <c r="B15" s="6" t="str">
        <f>IF(TOTALES!K15="","",TOTALES!K15)</f>
        <v/>
      </c>
    </row>
    <row r="16" spans="1:2" x14ac:dyDescent="0.25">
      <c r="A16" s="5">
        <v>56</v>
      </c>
      <c r="B16" s="6" t="str">
        <f>IF(TOTALES!K16="","",TOTALES!K16)</f>
        <v/>
      </c>
    </row>
    <row r="17" spans="1:2" x14ac:dyDescent="0.25">
      <c r="A17" s="5">
        <v>58</v>
      </c>
      <c r="B17" s="6" t="str">
        <f>IF(TOTALES!K17="","",TOTALES!K17)</f>
        <v/>
      </c>
    </row>
    <row r="18" spans="1:2" x14ac:dyDescent="0.25">
      <c r="A18" s="5">
        <v>60</v>
      </c>
      <c r="B18" s="6" t="str">
        <f>IF(TOTALES!K18="","",TOTALES!K18)</f>
        <v/>
      </c>
    </row>
    <row r="19" spans="1:2" x14ac:dyDescent="0.25">
      <c r="A19" s="5">
        <v>62</v>
      </c>
      <c r="B19" s="6" t="str">
        <f>IF(TOTALES!K19="","",TOTALES!K19)</f>
        <v/>
      </c>
    </row>
    <row r="20" spans="1:2" x14ac:dyDescent="0.25">
      <c r="A20" s="5">
        <v>64</v>
      </c>
      <c r="B20" s="6" t="str">
        <f>IF(TOTALES!K20="","",TOTALES!K20)</f>
        <v/>
      </c>
    </row>
    <row r="21" spans="1:2" x14ac:dyDescent="0.25">
      <c r="A21" s="5">
        <v>66</v>
      </c>
      <c r="B21" s="6" t="str">
        <f>IF(TOTALES!K21="","",TOTALES!K21)</f>
        <v/>
      </c>
    </row>
    <row r="22" spans="1:2" ht="19.5" x14ac:dyDescent="0.3">
      <c r="A22" s="8"/>
      <c r="B22" s="9">
        <f>IF(SUM(B4:B21)=0,"",SUM(B4:B21))</f>
        <v>4</v>
      </c>
    </row>
  </sheetData>
  <mergeCells count="1">
    <mergeCell ref="A2:B2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2:B16"/>
  <sheetViews>
    <sheetView workbookViewId="0"/>
  </sheetViews>
  <sheetFormatPr baseColWidth="10" defaultRowHeight="15" x14ac:dyDescent="0.25"/>
  <cols>
    <col min="1" max="16384" width="11.42578125" style="1"/>
  </cols>
  <sheetData>
    <row r="2" spans="1:2" x14ac:dyDescent="0.25">
      <c r="A2" s="26" t="s">
        <v>12</v>
      </c>
      <c r="B2" s="27"/>
    </row>
    <row r="3" spans="1:2" x14ac:dyDescent="0.25">
      <c r="A3" s="3" t="s">
        <v>23</v>
      </c>
      <c r="B3" s="4" t="s">
        <v>24</v>
      </c>
    </row>
    <row r="4" spans="1:2" x14ac:dyDescent="0.25">
      <c r="A4" s="5" t="s">
        <v>21</v>
      </c>
      <c r="B4" s="6">
        <f>IF(TOTALES!N4="","",TOTALES!N4)</f>
        <v>3</v>
      </c>
    </row>
    <row r="5" spans="1:2" x14ac:dyDescent="0.25">
      <c r="A5" s="5" t="s">
        <v>8</v>
      </c>
      <c r="B5" s="6">
        <f>IF(TOTALES!N5="","",TOTALES!N5)</f>
        <v>1</v>
      </c>
    </row>
    <row r="6" spans="1:2" x14ac:dyDescent="0.25">
      <c r="A6" s="5" t="s">
        <v>5</v>
      </c>
      <c r="B6" s="6" t="str">
        <f>IF(TOTALES!N6="","",TOTALES!N6)</f>
        <v/>
      </c>
    </row>
    <row r="7" spans="1:2" x14ac:dyDescent="0.25">
      <c r="A7" s="5" t="s">
        <v>4</v>
      </c>
      <c r="B7" s="6" t="str">
        <f>IF(TOTALES!N7="","",TOTALES!N7)</f>
        <v/>
      </c>
    </row>
    <row r="8" spans="1:2" x14ac:dyDescent="0.25">
      <c r="A8" s="5" t="s">
        <v>2</v>
      </c>
      <c r="B8" s="6" t="str">
        <f>IF(TOTALES!N8="","",TOTALES!N8)</f>
        <v/>
      </c>
    </row>
    <row r="9" spans="1:2" x14ac:dyDescent="0.25">
      <c r="A9" s="5" t="s">
        <v>1</v>
      </c>
      <c r="B9" s="6" t="str">
        <f>IF(TOTALES!N9="","",TOTALES!N9)</f>
        <v/>
      </c>
    </row>
    <row r="10" spans="1:2" x14ac:dyDescent="0.25">
      <c r="A10" s="5" t="s">
        <v>3</v>
      </c>
      <c r="B10" s="6" t="str">
        <f>IF(TOTALES!N10="","",TOTALES!N10)</f>
        <v/>
      </c>
    </row>
    <row r="11" spans="1:2" x14ac:dyDescent="0.25">
      <c r="A11" s="5" t="s">
        <v>6</v>
      </c>
      <c r="B11" s="6" t="str">
        <f>IF(TOTALES!N11="","",TOTALES!N11)</f>
        <v/>
      </c>
    </row>
    <row r="12" spans="1:2" x14ac:dyDescent="0.25">
      <c r="A12" s="5" t="s">
        <v>7</v>
      </c>
      <c r="B12" s="6" t="str">
        <f>IF(TOTALES!N12="","",TOTALES!N12)</f>
        <v/>
      </c>
    </row>
    <row r="13" spans="1:2" x14ac:dyDescent="0.25">
      <c r="A13" s="5" t="s">
        <v>19</v>
      </c>
      <c r="B13" s="6" t="str">
        <f>IF(TOTALES!N13="","",TOTALES!N13)</f>
        <v/>
      </c>
    </row>
    <row r="14" spans="1:2" x14ac:dyDescent="0.25">
      <c r="A14" s="5" t="s">
        <v>20</v>
      </c>
      <c r="B14" s="6" t="str">
        <f>IF(TOTALES!N14="","",TOTALES!N14)</f>
        <v/>
      </c>
    </row>
    <row r="15" spans="1:2" x14ac:dyDescent="0.25">
      <c r="A15" s="5" t="s">
        <v>22</v>
      </c>
      <c r="B15" s="6" t="str">
        <f>IF(TOTALES!N15="","",TOTALES!N15)</f>
        <v/>
      </c>
    </row>
    <row r="16" spans="1:2" ht="19.5" x14ac:dyDescent="0.3">
      <c r="A16" s="7"/>
      <c r="B16" s="9">
        <f>IF(SUM(B4:B15)=0,"",SUM(B4:B15))</f>
        <v>4</v>
      </c>
    </row>
  </sheetData>
  <mergeCells count="1">
    <mergeCell ref="A2:B2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2:B16"/>
  <sheetViews>
    <sheetView workbookViewId="0"/>
  </sheetViews>
  <sheetFormatPr baseColWidth="10" defaultRowHeight="15" x14ac:dyDescent="0.25"/>
  <cols>
    <col min="1" max="16384" width="11.42578125" style="1"/>
  </cols>
  <sheetData>
    <row r="2" spans="1:2" x14ac:dyDescent="0.25">
      <c r="A2" s="26" t="s">
        <v>13</v>
      </c>
      <c r="B2" s="27"/>
    </row>
    <row r="3" spans="1:2" x14ac:dyDescent="0.25">
      <c r="A3" s="3" t="s">
        <v>23</v>
      </c>
      <c r="B3" s="4" t="s">
        <v>24</v>
      </c>
    </row>
    <row r="4" spans="1:2" x14ac:dyDescent="0.25">
      <c r="A4" s="5" t="s">
        <v>21</v>
      </c>
      <c r="B4" s="6" t="str">
        <f>IF(TOTALES!Q4="","",TOTALES!Q4)</f>
        <v/>
      </c>
    </row>
    <row r="5" spans="1:2" x14ac:dyDescent="0.25">
      <c r="A5" s="5" t="s">
        <v>8</v>
      </c>
      <c r="B5" s="6" t="str">
        <f>IF(TOTALES!Q5="","",TOTALES!Q5)</f>
        <v/>
      </c>
    </row>
    <row r="6" spans="1:2" x14ac:dyDescent="0.25">
      <c r="A6" s="5" t="s">
        <v>5</v>
      </c>
      <c r="B6" s="6">
        <f>IF(TOTALES!Q6="","",TOTALES!Q6)</f>
        <v>2</v>
      </c>
    </row>
    <row r="7" spans="1:2" x14ac:dyDescent="0.25">
      <c r="A7" s="5" t="s">
        <v>4</v>
      </c>
      <c r="B7" s="6">
        <f>IF(TOTALES!Q7="","",TOTALES!Q7)</f>
        <v>1</v>
      </c>
    </row>
    <row r="8" spans="1:2" x14ac:dyDescent="0.25">
      <c r="A8" s="5" t="s">
        <v>2</v>
      </c>
      <c r="B8" s="6">
        <f>IF(TOTALES!Q8="","",TOTALES!Q8)</f>
        <v>1</v>
      </c>
    </row>
    <row r="9" spans="1:2" x14ac:dyDescent="0.25">
      <c r="A9" s="5" t="s">
        <v>1</v>
      </c>
      <c r="B9" s="6" t="str">
        <f>IF(TOTALES!Q9="","",TOTALES!Q9)</f>
        <v/>
      </c>
    </row>
    <row r="10" spans="1:2" x14ac:dyDescent="0.25">
      <c r="A10" s="5" t="s">
        <v>3</v>
      </c>
      <c r="B10" s="6" t="str">
        <f>IF(TOTALES!Q10="","",TOTALES!Q10)</f>
        <v/>
      </c>
    </row>
    <row r="11" spans="1:2" x14ac:dyDescent="0.25">
      <c r="A11" s="5" t="s">
        <v>6</v>
      </c>
      <c r="B11" s="6" t="str">
        <f>IF(TOTALES!Q11="","",TOTALES!Q11)</f>
        <v/>
      </c>
    </row>
    <row r="12" spans="1:2" x14ac:dyDescent="0.25">
      <c r="A12" s="5" t="s">
        <v>7</v>
      </c>
      <c r="B12" s="6" t="str">
        <f>IF(TOTALES!Q12="","",TOTALES!Q12)</f>
        <v/>
      </c>
    </row>
    <row r="13" spans="1:2" x14ac:dyDescent="0.25">
      <c r="A13" s="5" t="s">
        <v>19</v>
      </c>
      <c r="B13" s="6" t="str">
        <f>IF(TOTALES!Q13="","",TOTALES!Q13)</f>
        <v/>
      </c>
    </row>
    <row r="14" spans="1:2" x14ac:dyDescent="0.25">
      <c r="A14" s="5" t="s">
        <v>20</v>
      </c>
      <c r="B14" s="6" t="str">
        <f>IF(TOTALES!Q14="","",TOTALES!Q14)</f>
        <v/>
      </c>
    </row>
    <row r="15" spans="1:2" x14ac:dyDescent="0.25">
      <c r="A15" s="5" t="s">
        <v>22</v>
      </c>
      <c r="B15" s="6" t="str">
        <f>IF(TOTALES!Q15="","",TOTALES!Q15)</f>
        <v/>
      </c>
    </row>
    <row r="16" spans="1:2" ht="19.5" x14ac:dyDescent="0.3">
      <c r="A16" s="8"/>
      <c r="B16" s="9">
        <f>IF(SUM(B4:B15)=0,"",SUM(B4:B15))</f>
        <v>4</v>
      </c>
    </row>
  </sheetData>
  <mergeCells count="1">
    <mergeCell ref="A2:B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2:B30"/>
  <sheetViews>
    <sheetView workbookViewId="0"/>
  </sheetViews>
  <sheetFormatPr baseColWidth="10" defaultRowHeight="15" x14ac:dyDescent="0.25"/>
  <cols>
    <col min="1" max="16384" width="11.42578125" style="1"/>
  </cols>
  <sheetData>
    <row r="2" spans="1:2" x14ac:dyDescent="0.25">
      <c r="A2" s="26" t="s">
        <v>9</v>
      </c>
      <c r="B2" s="27"/>
    </row>
    <row r="3" spans="1:2" x14ac:dyDescent="0.25">
      <c r="A3" s="3" t="s">
        <v>23</v>
      </c>
      <c r="B3" s="4" t="s">
        <v>24</v>
      </c>
    </row>
    <row r="4" spans="1:2" x14ac:dyDescent="0.25">
      <c r="A4" s="5">
        <v>30</v>
      </c>
      <c r="B4" s="6" t="str">
        <f>IF(TOTALES!T4="","",TOTALES!T4)</f>
        <v/>
      </c>
    </row>
    <row r="5" spans="1:2" x14ac:dyDescent="0.25">
      <c r="A5" s="5">
        <v>31</v>
      </c>
      <c r="B5" s="6" t="str">
        <f>IF(TOTALES!T5="","",TOTALES!T5)</f>
        <v/>
      </c>
    </row>
    <row r="6" spans="1:2" x14ac:dyDescent="0.25">
      <c r="A6" s="5">
        <v>32</v>
      </c>
      <c r="B6" s="6" t="str">
        <f>IF(TOTALES!T6="","",TOTALES!T6)</f>
        <v/>
      </c>
    </row>
    <row r="7" spans="1:2" x14ac:dyDescent="0.25">
      <c r="A7" s="5">
        <v>33</v>
      </c>
      <c r="B7" s="6" t="str">
        <f>IF(TOTALES!T7="","",TOTALES!T7)</f>
        <v/>
      </c>
    </row>
    <row r="8" spans="1:2" x14ac:dyDescent="0.25">
      <c r="A8" s="5">
        <v>34</v>
      </c>
      <c r="B8" s="6" t="str">
        <f>IF(TOTALES!T8="","",TOTALES!T8)</f>
        <v/>
      </c>
    </row>
    <row r="9" spans="1:2" x14ac:dyDescent="0.25">
      <c r="A9" s="5">
        <v>35</v>
      </c>
      <c r="B9" s="6" t="str">
        <f>IF(TOTALES!T9="","",TOTALES!T9)</f>
        <v/>
      </c>
    </row>
    <row r="10" spans="1:2" x14ac:dyDescent="0.25">
      <c r="A10" s="5">
        <v>36</v>
      </c>
      <c r="B10" s="6" t="str">
        <f>IF(TOTALES!T10="","",TOTALES!T10)</f>
        <v/>
      </c>
    </row>
    <row r="11" spans="1:2" x14ac:dyDescent="0.25">
      <c r="A11" s="5">
        <v>37</v>
      </c>
      <c r="B11" s="6">
        <f>IF(TOTALES!T11="","",TOTALES!T11)</f>
        <v>1</v>
      </c>
    </row>
    <row r="12" spans="1:2" x14ac:dyDescent="0.25">
      <c r="A12" s="5">
        <v>38</v>
      </c>
      <c r="B12" s="6" t="str">
        <f>IF(TOTALES!T12="","",TOTALES!T12)</f>
        <v/>
      </c>
    </row>
    <row r="13" spans="1:2" x14ac:dyDescent="0.25">
      <c r="A13" s="5">
        <v>39</v>
      </c>
      <c r="B13" s="6">
        <f>IF(TOTALES!T13="","",TOTALES!T13)</f>
        <v>2</v>
      </c>
    </row>
    <row r="14" spans="1:2" x14ac:dyDescent="0.25">
      <c r="A14" s="5">
        <v>40</v>
      </c>
      <c r="B14" s="6" t="str">
        <f>IF(TOTALES!T14="","",TOTALES!T14)</f>
        <v/>
      </c>
    </row>
    <row r="15" spans="1:2" x14ac:dyDescent="0.25">
      <c r="A15" s="5">
        <v>41</v>
      </c>
      <c r="B15" s="6">
        <f>IF(TOTALES!T15="","",TOTALES!T15)</f>
        <v>1</v>
      </c>
    </row>
    <row r="16" spans="1:2" x14ac:dyDescent="0.25">
      <c r="A16" s="5">
        <v>42</v>
      </c>
      <c r="B16" s="6" t="str">
        <f>IF(TOTALES!T16="","",TOTALES!T16)</f>
        <v/>
      </c>
    </row>
    <row r="17" spans="1:2" x14ac:dyDescent="0.25">
      <c r="A17" s="5">
        <v>43</v>
      </c>
      <c r="B17" s="6" t="str">
        <f>IF(TOTALES!T17="","",TOTALES!T17)</f>
        <v/>
      </c>
    </row>
    <row r="18" spans="1:2" x14ac:dyDescent="0.25">
      <c r="A18" s="5">
        <v>44</v>
      </c>
      <c r="B18" s="6" t="str">
        <f>IF(TOTALES!T18="","",TOTALES!T18)</f>
        <v/>
      </c>
    </row>
    <row r="19" spans="1:2" x14ac:dyDescent="0.25">
      <c r="A19" s="5">
        <v>45</v>
      </c>
      <c r="B19" s="6" t="str">
        <f>IF(TOTALES!T19="","",TOTALES!T19)</f>
        <v/>
      </c>
    </row>
    <row r="20" spans="1:2" x14ac:dyDescent="0.25">
      <c r="A20" s="5">
        <v>46</v>
      </c>
      <c r="B20" s="6" t="str">
        <f>IF(TOTALES!T20="","",TOTALES!T20)</f>
        <v/>
      </c>
    </row>
    <row r="21" spans="1:2" x14ac:dyDescent="0.25">
      <c r="A21" s="5">
        <v>47</v>
      </c>
      <c r="B21" s="6" t="str">
        <f>IF(TOTALES!T21="","",TOTALES!T21)</f>
        <v/>
      </c>
    </row>
    <row r="22" spans="1:2" x14ac:dyDescent="0.25">
      <c r="A22" s="5">
        <v>48</v>
      </c>
      <c r="B22" s="6" t="str">
        <f>IF(TOTALES!T22="","",TOTALES!T22)</f>
        <v/>
      </c>
    </row>
    <row r="23" spans="1:2" x14ac:dyDescent="0.25">
      <c r="A23" s="5">
        <v>49</v>
      </c>
      <c r="B23" s="6" t="str">
        <f>IF(TOTALES!T23="","",TOTALES!T23)</f>
        <v/>
      </c>
    </row>
    <row r="24" spans="1:2" x14ac:dyDescent="0.25">
      <c r="A24" s="5">
        <v>50</v>
      </c>
      <c r="B24" s="6" t="str">
        <f>IF(TOTALES!T24="","",TOTALES!T24)</f>
        <v/>
      </c>
    </row>
    <row r="25" spans="1:2" x14ac:dyDescent="0.25">
      <c r="A25" s="5">
        <v>51</v>
      </c>
      <c r="B25" s="6" t="str">
        <f>IF(TOTALES!T25="","",TOTALES!T25)</f>
        <v/>
      </c>
    </row>
    <row r="26" spans="1:2" x14ac:dyDescent="0.25">
      <c r="A26" s="5">
        <v>52</v>
      </c>
      <c r="B26" s="6" t="str">
        <f>IF(TOTALES!T26="","",TOTALES!T26)</f>
        <v/>
      </c>
    </row>
    <row r="27" spans="1:2" x14ac:dyDescent="0.25">
      <c r="A27" s="5">
        <v>53</v>
      </c>
      <c r="B27" s="6" t="str">
        <f>IF(TOTALES!T27="","",TOTALES!T27)</f>
        <v/>
      </c>
    </row>
    <row r="28" spans="1:2" x14ac:dyDescent="0.25">
      <c r="A28" s="5">
        <v>54</v>
      </c>
      <c r="B28" s="6" t="str">
        <f>IF(TOTALES!T28="","",TOTALES!T28)</f>
        <v/>
      </c>
    </row>
    <row r="29" spans="1:2" x14ac:dyDescent="0.25">
      <c r="A29" s="5">
        <v>55</v>
      </c>
      <c r="B29" s="6" t="str">
        <f>IF(TOTALES!T29="","",TOTALES!T29)</f>
        <v/>
      </c>
    </row>
    <row r="30" spans="1:2" ht="19.5" x14ac:dyDescent="0.3">
      <c r="A30" s="8"/>
      <c r="B30" s="9">
        <f>IF(SUM(B4:B29)=0,"",SUM(B4:B29))</f>
        <v>4</v>
      </c>
    </row>
  </sheetData>
  <mergeCells count="1">
    <mergeCell ref="A2:B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</vt:i4>
      </vt:variant>
    </vt:vector>
  </HeadingPairs>
  <TitlesOfParts>
    <vt:vector size="9" baseType="lpstr">
      <vt:lpstr>PLANILLA</vt:lpstr>
      <vt:lpstr>TOTALES</vt:lpstr>
      <vt:lpstr>CAMISA</vt:lpstr>
      <vt:lpstr>CAMPERA</vt:lpstr>
      <vt:lpstr>GORRA</vt:lpstr>
      <vt:lpstr>PANTALON</vt:lpstr>
      <vt:lpstr>REMERA</vt:lpstr>
      <vt:lpstr>TRICOTA</vt:lpstr>
      <vt:lpstr>ZAPATOS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electronica</cp:lastModifiedBy>
  <cp:lastPrinted>2023-05-03T18:01:55Z</cp:lastPrinted>
  <dcterms:created xsi:type="dcterms:W3CDTF">2023-04-19T16:42:15Z</dcterms:created>
  <dcterms:modified xsi:type="dcterms:W3CDTF">2023-05-04T16:21:00Z</dcterms:modified>
</cp:coreProperties>
</file>