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6" i="2" l="1"/>
  <c r="E46" i="2" s="1"/>
  <c r="C45" i="2" l="1"/>
  <c r="E45" i="2" s="1"/>
  <c r="C42" i="2" l="1"/>
  <c r="E42" i="2" s="1"/>
  <c r="C43" i="2"/>
  <c r="E43" i="2"/>
  <c r="C44" i="2"/>
  <c r="E44" i="2"/>
  <c r="C41" i="2" l="1"/>
  <c r="E41" i="2" s="1"/>
  <c r="C40" i="2" l="1"/>
  <c r="E40" i="2" s="1"/>
  <c r="C39" i="2"/>
  <c r="E39" i="2"/>
  <c r="C38" i="2" l="1"/>
  <c r="E38" i="2"/>
  <c r="C37" i="2"/>
  <c r="E37" i="2"/>
  <c r="C36" i="2" l="1"/>
  <c r="E36" i="2" s="1"/>
  <c r="E168" i="3"/>
  <c r="E169" i="3"/>
  <c r="E170" i="3"/>
  <c r="C167" i="3"/>
  <c r="E167" i="3" s="1"/>
  <c r="E164" i="3" l="1"/>
  <c r="E165" i="3"/>
  <c r="E166" i="3"/>
  <c r="C163" i="3"/>
  <c r="E163" i="3" s="1"/>
  <c r="E161" i="3"/>
  <c r="E162" i="3"/>
  <c r="C160" i="3"/>
  <c r="E160" i="3" s="1"/>
  <c r="E159" i="3"/>
  <c r="C35" i="2" l="1"/>
  <c r="E35" i="2" s="1"/>
  <c r="C34" i="2" l="1"/>
  <c r="E34" i="2" s="1"/>
  <c r="C45" i="4"/>
  <c r="E45" i="4" s="1"/>
  <c r="C46" i="4"/>
  <c r="E46" i="4" s="1"/>
  <c r="C47" i="4"/>
  <c r="E47" i="4" s="1"/>
  <c r="C33" i="2"/>
  <c r="E33" i="2"/>
  <c r="C158" i="3" l="1"/>
  <c r="E158" i="3" s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E155" i="3"/>
  <c r="E156" i="3"/>
  <c r="E157" i="3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C16" i="2"/>
  <c r="E16" i="2" s="1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C14" i="2" l="1"/>
  <c r="E14" i="2" s="1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<sst xmlns="http://schemas.openxmlformats.org/spreadsheetml/2006/main" count="23226" uniqueCount="13079">
  <si>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</si>
  <si>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</si>
  <si>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</si>
  <si>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</si>
  <si>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</si>
  <si>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</si>
  <si>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</si>
  <si>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</si>
  <si>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</si>
  <si>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</si>
  <si>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</si>
  <si>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</si>
  <si>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</si>
  <si>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</si>
  <si>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</si>
  <si>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</si>
  <si>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</si>
  <si>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</si>
  <si>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</si>
  <si>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</si>
  <si>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</si>
  <si>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</si>
  <si>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</si>
  <si>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</si>
  <si>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</si>
  <si>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</si>
  <si>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</si>
  <si>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</si>
  <si>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</si>
  <si>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</si>
  <si>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</si>
  <si>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</si>
  <si>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</si>
  <si>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</si>
  <si>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</si>
  <si>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</si>
  <si>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</si>
  <si>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</si>
  <si>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</si>
  <si>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</si>
  <si>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</si>
  <si>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</si>
  <si>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</si>
  <si>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</si>
  <si>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</si>
  <si>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</si>
  <si>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</si>
  <si>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</si>
  <si>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</si>
  <si>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</si>
  <si>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</si>
  <si>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</si>
  <si>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</si>
  <si>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</si>
  <si>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</si>
  <si>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</si>
  <si>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</si>
  <si>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</si>
  <si>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</si>
  <si>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</si>
  <si>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</si>
  <si>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</si>
  <si>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</si>
  <si>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</si>
  <si>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</si>
  <si>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</si>
  <si>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</si>
  <si>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</si>
  <si>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</si>
  <si>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</si>
  <si>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</si>
  <si>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</si>
  <si>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</si>
  <si>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</si>
  <si>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</si>
  <si>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</si>
  <si>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</si>
  <si>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</si>
  <si>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</si>
  <si>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</si>
  <si>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</si>
  <si>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</si>
  <si>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</si>
  <si>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</si>
  <si>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</si>
  <si>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</si>
  <si>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</si>
  <si>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</si>
  <si>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</si>
  <si>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</si>
  <si>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</si>
  <si>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</si>
  <si>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</si>
  <si>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</si>
  <si>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</si>
  <si>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</si>
  <si>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</si>
  <si>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</si>
  <si>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</si>
  <si>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</si>
  <si>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</si>
  <si>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</si>
  <si>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</si>
  <si>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</si>
  <si>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</si>
  <si>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</si>
  <si>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</si>
  <si>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</si>
  <si>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</si>
  <si>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</si>
  <si>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</si>
  <si>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</si>
  <si>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</si>
  <si>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</si>
  <si>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</si>
  <si>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</si>
  <si>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</si>
  <si>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</si>
  <si>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</si>
  <si>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</si>
  <si>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</si>
  <si>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</si>
  <si>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</si>
  <si>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</si>
  <si>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</si>
  <si>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</si>
  <si>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</si>
  <si>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</si>
  <si>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</si>
  <si>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</si>
  <si>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</si>
  <si>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</si>
  <si>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</si>
  <si>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</si>
  <si>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</si>
  <si>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</si>
  <si>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</si>
  <si>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</si>
  <si>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</si>
  <si>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</si>
  <si>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</si>
  <si>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</si>
  <si>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</si>
  <si>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</si>
  <si>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</si>
  <si>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</si>
  <si>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</si>
  <si>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</si>
  <si>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</si>
  <si>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</si>
  <si>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</si>
  <si>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</si>
  <si>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</si>
  <si>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</si>
  <si>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</si>
  <si>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</si>
  <si>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</si>
  <si>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</si>
  <si>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</si>
  <si>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</si>
  <si>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</si>
  <si>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</si>
  <si>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</si>
  <si>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</si>
  <si>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</si>
  <si>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</si>
  <si>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</si>
  <si>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</si>
  <si>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</si>
  <si>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</si>
  <si>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</si>
  <si>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</si>
  <si>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</si>
  <si>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</si>
  <si>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</si>
  <si>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</si>
  <si>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</si>
  <si>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</si>
  <si>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</si>
  <si>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</si>
  <si>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</si>
  <si>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</si>
  <si>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</si>
  <si>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</si>
  <si>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</si>
  <si>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</si>
  <si>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</si>
  <si>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</si>
  <si>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</si>
  <si>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</si>
  <si>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</si>
  <si>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</si>
  <si>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</si>
  <si>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</si>
  <si>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</si>
  <si>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</si>
  <si>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</si>
  <si>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</si>
  <si>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</si>
  <si>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</si>
  <si>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</si>
  <si>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</si>
  <si>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</si>
  <si>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</si>
  <si>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</si>
  <si>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</si>
  <si>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</si>
  <si>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</si>
  <si>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</si>
  <si>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</si>
  <si>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</si>
  <si>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</si>
  <si>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</si>
  <si>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</si>
  <si>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</si>
  <si>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</si>
  <si>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</si>
  <si>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</si>
  <si>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</si>
  <si>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</si>
  <si>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</si>
  <si>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</si>
  <si>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</si>
  <si>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</si>
  <si>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</si>
  <si>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</si>
  <si>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</si>
  <si>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</si>
  <si>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</si>
  <si>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</si>
  <si>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</si>
  <si>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</si>
  <si>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</si>
  <si>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</si>
  <si>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</si>
  <si>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</si>
  <si>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</si>
  <si>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</si>
  <si>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</si>
  <si>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</si>
  <si>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</si>
  <si>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</si>
  <si>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</si>
  <si>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</si>
  <si>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</si>
  <si>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</si>
  <si>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</si>
  <si>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</si>
  <si>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</si>
  <si>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</si>
  <si>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</si>
  <si>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</si>
  <si>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</si>
  <si>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</si>
  <si>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</si>
  <si>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</si>
  <si>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</si>
  <si>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</si>
  <si>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</si>
  <si>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</si>
  <si>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</si>
  <si>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</si>
  <si>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</si>
  <si>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</si>
  <si>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</si>
  <si>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</si>
  <si>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</si>
  <si>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</si>
  <si>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</si>
  <si>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</si>
  <si>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</si>
  <si>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</si>
  <si>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</si>
  <si>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</si>
  <si>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</si>
  <si>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</si>
  <si>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</si>
  <si>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</si>
  <si>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</si>
  <si>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</si>
  <si>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</si>
  <si>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</si>
  <si>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</si>
  <si>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</si>
  <si>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</si>
  <si>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</si>
  <si>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</si>
  <si>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</si>
  <si>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</si>
  <si>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</si>
  <si>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</si>
  <si>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</si>
  <si>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</si>
  <si>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</si>
  <si>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</si>
  <si>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</si>
  <si>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</si>
  <si>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</si>
  <si>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</si>
  <si>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</si>
  <si>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</si>
  <si>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</si>
  <si>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</si>
  <si>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</si>
  <si>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</si>
  <si>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</si>
  <si>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</si>
  <si>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</si>
  <si>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</si>
  <si>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</si>
  <si>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</si>
  <si>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</si>
  <si>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</si>
  <si>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</si>
  <si>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</si>
  <si>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</si>
  <si>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</si>
  <si>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</si>
  <si>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</si>
  <si>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</si>
  <si>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</si>
  <si>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</si>
  <si>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</si>
  <si>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</si>
  <si>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</si>
  <si>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</si>
  <si>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</si>
  <si>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</si>
  <si>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</si>
  <si>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</si>
  <si>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</si>
  <si>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</si>
  <si>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</si>
  <si>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</si>
  <si>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</si>
  <si>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</si>
  <si>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</si>
  <si>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</si>
  <si>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</si>
  <si>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</si>
  <si>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</si>
  <si>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</si>
  <si>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</si>
  <si>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</si>
  <si>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</si>
  <si>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</si>
  <si>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</si>
  <si>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</si>
  <si>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</si>
  <si>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</si>
  <si>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</si>
  <si>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</si>
  <si>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</si>
  <si>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</si>
  <si>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</si>
  <si>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</si>
  <si>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</si>
  <si>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</si>
  <si>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</si>
  <si>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</si>
  <si>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</si>
  <si>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</si>
  <si>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</si>
  <si>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</si>
  <si>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</si>
  <si>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</si>
  <si>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</si>
  <si>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</si>
  <si>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</si>
  <si>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</si>
  <si>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</si>
  <si>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</si>
  <si>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</si>
  <si>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</si>
  <si>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</si>
  <si>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</si>
  <si>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</si>
  <si>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</si>
  <si>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</si>
  <si>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</si>
  <si>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</si>
  <si>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</si>
  <si>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</si>
  <si>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</si>
  <si>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</si>
  <si>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</si>
  <si>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</si>
  <si>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</si>
  <si>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</si>
  <si>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</si>
  <si>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</si>
  <si>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</si>
  <si>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</si>
  <si>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</si>
  <si>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</si>
  <si>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</si>
  <si>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</si>
  <si>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</si>
  <si>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</si>
  <si>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</si>
  <si>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</si>
  <si>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</si>
  <si>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</si>
  <si>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</si>
  <si>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</si>
  <si>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</si>
  <si>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</si>
  <si>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</si>
  <si>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</si>
  <si>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</si>
  <si>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</si>
  <si>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</si>
  <si>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</si>
  <si>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</si>
  <si>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</si>
  <si>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</si>
  <si>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</si>
  <si>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</si>
  <si>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</si>
  <si>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</si>
  <si>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</si>
  <si>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</si>
  <si>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</si>
  <si>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</si>
  <si>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</si>
  <si>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</si>
  <si>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</si>
  <si>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</si>
  <si>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</si>
  <si>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</si>
  <si>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</si>
  <si>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</si>
  <si>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</si>
  <si>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</si>
  <si>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</si>
  <si>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</si>
  <si>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</si>
  <si>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</si>
  <si>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</si>
  <si>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</si>
  <si>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</si>
  <si>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</si>
  <si>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</si>
  <si>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</si>
  <si>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</si>
  <si>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</si>
  <si>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</si>
  <si>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</si>
  <si>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</si>
  <si>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</si>
  <si>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</si>
  <si>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</si>
  <si>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</si>
  <si>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</si>
  <si>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</si>
  <si>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</si>
  <si>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</si>
  <si>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</si>
  <si>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</si>
  <si>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</si>
  <si>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</si>
  <si>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</si>
  <si>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</si>
  <si>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</si>
  <si>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</si>
  <si>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</si>
  <si>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</si>
  <si>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</si>
  <si>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</si>
  <si>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</si>
  <si>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</si>
  <si>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</si>
  <si>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</si>
  <si>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</si>
  <si>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</si>
  <si>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</si>
  <si>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</si>
  <si>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</si>
  <si>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</si>
  <si>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</si>
  <si>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</si>
  <si>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</si>
  <si>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</si>
  <si>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</si>
  <si>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</si>
  <si>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</si>
  <si>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</si>
  <si>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</si>
  <si>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</si>
  <si>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</si>
  <si>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</si>
  <si>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</si>
  <si>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</si>
  <si>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</si>
  <si>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</si>
  <si>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</si>
  <si>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</si>
  <si>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</si>
  <si>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</si>
  <si>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</si>
  <si>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</si>
  <si>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</si>
  <si>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</si>
  <si>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</si>
  <si>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</si>
  <si>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</si>
  <si>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</si>
  <si>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</si>
  <si>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</si>
  <si>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</si>
  <si>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</si>
  <si>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</si>
  <si>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</si>
  <si>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</si>
  <si>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</si>
  <si>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</si>
  <si>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</si>
  <si>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</si>
  <si>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</si>
  <si>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</si>
  <si>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</si>
  <si>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</si>
  <si>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</si>
  <si>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</si>
  <si>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</si>
  <si>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</si>
  <si>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</si>
  <si>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</si>
  <si>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</si>
  <si>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</si>
  <si>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</si>
  <si>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</si>
  <si>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</si>
  <si>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</si>
  <si>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</si>
  <si>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</si>
  <si>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</si>
  <si>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</si>
  <si>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</si>
  <si>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</si>
  <si>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</si>
  <si>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</si>
  <si>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</si>
  <si>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</si>
  <si>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</si>
  <si>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</si>
  <si>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</si>
  <si>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</si>
  <si>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</si>
  <si>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</si>
  <si>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</si>
  <si>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</si>
  <si>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</si>
  <si>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</si>
  <si>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</si>
  <si>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</si>
  <si>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</si>
  <si>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</si>
  <si>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</si>
  <si>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</si>
  <si>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</si>
  <si>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</si>
  <si>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</si>
  <si>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</si>
  <si>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</si>
  <si>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</si>
  <si>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</si>
  <si>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</si>
  <si>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</si>
  <si>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</si>
  <si>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</si>
  <si>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</si>
  <si>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</si>
  <si>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</si>
  <si>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</si>
  <si>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</si>
  <si>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</si>
  <si>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</si>
  <si>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</si>
  <si>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</si>
  <si>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</si>
  <si>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</si>
  <si>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</si>
  <si>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</si>
  <si>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</si>
  <si>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</si>
  <si>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</si>
  <si>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</si>
  <si>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</si>
  <si>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</si>
  <si>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</si>
  <si>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</si>
  <si>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</si>
  <si>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</si>
  <si>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</si>
  <si>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</si>
  <si>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</si>
  <si>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</si>
  <si>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</si>
  <si>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</si>
  <si>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</si>
  <si>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</si>
  <si>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</si>
  <si>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</si>
  <si>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</si>
  <si>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</si>
  <si>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</si>
  <si>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</si>
  <si>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</si>
  <si>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</si>
  <si>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</si>
  <si>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</si>
  <si>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</si>
  <si>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</si>
  <si>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</si>
  <si>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</si>
  <si>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</si>
  <si>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</si>
  <si>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</si>
  <si>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</si>
  <si>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</si>
  <si>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</si>
  <si>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</si>
  <si>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</si>
  <si>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</si>
  <si>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</si>
  <si>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</si>
  <si>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</si>
  <si>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</si>
  <si>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</si>
  <si>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</si>
  <si>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</si>
  <si>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</si>
  <si>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</si>
  <si>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</si>
  <si>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</si>
  <si>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</si>
  <si>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</si>
  <si>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</si>
  <si>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</si>
  <si>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</si>
  <si>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</si>
  <si>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</si>
  <si>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</si>
  <si>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</si>
  <si>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</si>
  <si>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</si>
  <si>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</si>
  <si>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</si>
  <si>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</si>
  <si>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</si>
  <si>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</si>
  <si>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</si>
  <si>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</si>
  <si>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</si>
  <si>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</si>
  <si>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</si>
  <si>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</si>
  <si>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</si>
  <si>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</si>
  <si>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</si>
  <si>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</si>
  <si>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</si>
  <si>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</si>
  <si>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</si>
  <si>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</si>
  <si>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</si>
  <si>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</si>
  <si>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</si>
  <si>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</si>
  <si>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</si>
  <si>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</si>
  <si>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</si>
  <si>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</si>
  <si>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</si>
  <si>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</si>
  <si>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</si>
  <si>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</si>
  <si>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</si>
  <si>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</si>
  <si>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</si>
  <si>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</si>
  <si>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</si>
  <si>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</si>
  <si>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</si>
  <si>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</si>
  <si>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</si>
  <si>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</si>
  <si>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</si>
  <si>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</si>
  <si>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</si>
  <si>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</si>
  <si>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</si>
  <si>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</si>
  <si>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</si>
  <si>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</si>
  <si>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</si>
  <si>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</si>
  <si>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</si>
  <si>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</si>
  <si>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</si>
  <si>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</si>
  <si>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</si>
  <si>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</si>
  <si>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</si>
  <si>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</si>
  <si>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</si>
  <si>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</si>
  <si>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</si>
  <si>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</si>
  <si>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</si>
  <si>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</si>
  <si>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</si>
  <si>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</si>
  <si>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</si>
  <si>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</si>
  <si>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</si>
  <si>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</si>
  <si>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</si>
  <si>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</si>
  <si>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</si>
  <si>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</si>
  <si>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</si>
  <si>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</si>
  <si>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</si>
  <si>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</si>
  <si>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</si>
  <si>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</si>
  <si>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</si>
  <si>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</si>
  <si>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</si>
  <si>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</si>
  <si>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</si>
  <si>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</si>
  <si>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</si>
  <si>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</si>
  <si>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</si>
  <si>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</si>
  <si>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</si>
  <si>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</si>
  <si>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</si>
  <si>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</si>
  <si>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</si>
  <si>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</si>
  <si>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</si>
  <si>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</si>
  <si>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</si>
  <si>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</si>
  <si>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</si>
  <si>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</si>
  <si>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</si>
  <si>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</si>
  <si>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</si>
  <si>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</si>
  <si>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</si>
  <si>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</si>
  <si>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</si>
  <si>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</si>
  <si>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</si>
  <si>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</si>
  <si>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</si>
  <si>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</si>
  <si>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</si>
  <si>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</si>
  <si>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</si>
  <si>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</si>
  <si>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</si>
  <si>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</si>
  <si>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</si>
  <si>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</si>
  <si>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</si>
  <si>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</si>
  <si>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</si>
  <si>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</si>
  <si>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</si>
  <si>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</si>
  <si>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</si>
  <si>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</si>
  <si>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</si>
  <si>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</si>
  <si>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</si>
  <si>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</si>
  <si>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</si>
  <si>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</si>
  <si>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</si>
  <si>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</si>
  <si>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</si>
  <si>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</si>
  <si>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</si>
  <si>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</si>
  <si>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</si>
  <si>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</si>
  <si>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</si>
  <si>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</si>
  <si>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</si>
  <si>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</si>
  <si>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</si>
  <si>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</si>
  <si>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</si>
  <si>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</si>
  <si>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</si>
  <si>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</si>
  <si>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</si>
  <si>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</si>
  <si>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</si>
  <si>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</si>
  <si>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</si>
  <si>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</si>
  <si>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</si>
  <si>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</si>
  <si>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</si>
  <si>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</si>
  <si>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</si>
  <si>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</si>
  <si>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</si>
  <si>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</si>
  <si>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</si>
  <si>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</si>
  <si>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</si>
  <si>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</si>
  <si>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</si>
  <si>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</si>
  <si>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</si>
  <si>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</si>
  <si>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</si>
  <si>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</si>
  <si>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</si>
  <si>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</si>
  <si>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</si>
  <si>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</si>
  <si>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</si>
  <si>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</si>
  <si>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</si>
  <si>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</si>
  <si>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</si>
  <si>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</si>
  <si>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</si>
  <si>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</si>
  <si>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</si>
  <si>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</si>
  <si>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</si>
  <si>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</si>
  <si>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</si>
  <si>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</si>
  <si>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</si>
  <si>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</si>
  <si>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</si>
  <si>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</si>
  <si>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</si>
  <si>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</si>
  <si>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</si>
  <si>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</si>
  <si>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</si>
  <si>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</si>
  <si>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</si>
  <si>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</si>
  <si>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</si>
  <si>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</si>
  <si>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</si>
  <si>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</si>
  <si>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</si>
  <si>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</si>
  <si>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</si>
  <si>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</si>
  <si>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</si>
  <si>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</si>
  <si>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</si>
  <si>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</si>
  <si>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</si>
  <si>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</si>
  <si>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</si>
  <si>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</si>
  <si>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</si>
  <si>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</si>
  <si>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</si>
  <si>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</si>
  <si>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</si>
  <si>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</si>
  <si>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</si>
  <si>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</si>
  <si>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</si>
  <si>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</si>
  <si>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</si>
  <si>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</si>
  <si>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</si>
  <si>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</si>
  <si>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</si>
  <si>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</si>
  <si>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</si>
  <si>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</si>
  <si>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</si>
  <si>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</si>
  <si>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</si>
  <si>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</si>
  <si>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</si>
  <si>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</si>
  <si>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</si>
  <si>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</si>
  <si>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</si>
  <si>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</si>
  <si>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</si>
  <si>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</si>
  <si>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</si>
  <si>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</si>
  <si>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</si>
  <si>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</si>
  <si>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</si>
  <si>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</si>
  <si>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</si>
  <si>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</si>
  <si>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</si>
  <si>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</si>
  <si>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</si>
  <si>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</si>
  <si>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</si>
  <si>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</si>
  <si>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</si>
  <si>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</si>
  <si>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</si>
  <si>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</si>
  <si>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</si>
  <si>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</si>
  <si>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</si>
  <si>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</si>
  <si>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</si>
  <si>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</si>
  <si>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</si>
  <si>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</si>
  <si>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</si>
  <si>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</si>
  <si>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</si>
  <si>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</si>
  <si>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</si>
  <si>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</si>
  <si>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</si>
  <si>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</si>
  <si>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</si>
  <si>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</si>
  <si>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</si>
  <si>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</si>
  <si>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</si>
  <si>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</si>
  <si>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</si>
  <si>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</si>
  <si>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</si>
  <si>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</si>
  <si>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</si>
  <si>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</si>
  <si>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</si>
  <si>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</si>
  <si>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</si>
  <si>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</si>
  <si>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</si>
  <si>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</si>
  <si>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</si>
  <si>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</si>
  <si>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</si>
  <si>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</si>
  <si>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</si>
  <si>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</si>
  <si>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</si>
  <si>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</si>
  <si>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</si>
  <si>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</si>
  <si>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</si>
  <si>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</si>
  <si>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</si>
  <si>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</si>
  <si>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</si>
  <si>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</si>
  <si>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</si>
  <si>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</si>
  <si>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</si>
  <si>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</si>
  <si>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</si>
  <si>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</si>
  <si>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</si>
  <si>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</si>
  <si>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</si>
  <si>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</si>
  <si>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</si>
  <si>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</si>
  <si>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</si>
  <si>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</si>
  <si>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</si>
  <si>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</si>
  <si>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</si>
  <si>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</si>
  <si>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</si>
  <si>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</si>
  <si>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</si>
  <si>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</si>
  <si>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</si>
  <si>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</si>
  <si>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</si>
  <si>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</si>
  <si>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</si>
  <si>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</si>
  <si>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</si>
  <si>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</si>
  <si>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</si>
  <si>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</si>
  <si>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</si>
  <si>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</si>
  <si>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</si>
  <si>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</si>
  <si>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</si>
  <si>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</si>
  <si>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</si>
  <si>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</si>
  <si>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</si>
  <si>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</si>
  <si>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</si>
  <si>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</si>
  <si>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</si>
  <si>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</si>
  <si>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</si>
  <si>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</si>
  <si>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</si>
  <si>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</si>
  <si>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</si>
  <si>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</si>
  <si>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</si>
  <si>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</si>
  <si>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</si>
  <si>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</si>
  <si>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</si>
  <si>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</si>
  <si>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</si>
  <si>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</si>
  <si>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</si>
  <si>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</si>
  <si>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</si>
  <si>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</si>
  <si>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</si>
  <si>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</si>
  <si>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</si>
  <si>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</si>
  <si>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</si>
  <si>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</si>
  <si>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</si>
  <si>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</si>
  <si>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</si>
  <si>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</si>
  <si>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</si>
  <si>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</si>
  <si>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</si>
  <si>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</si>
  <si>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</si>
  <si>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</si>
  <si>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</si>
  <si>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</si>
  <si>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</si>
  <si>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</si>
  <si>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</si>
  <si>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</si>
  <si>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</si>
  <si>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</si>
  <si>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</si>
  <si>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</si>
  <si>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</si>
  <si>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</si>
  <si>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</si>
  <si>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</si>
  <si>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</si>
  <si>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</si>
  <si>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</si>
  <si>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</si>
  <si>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</si>
  <si>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</si>
  <si>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</si>
  <si>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</si>
  <si>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</si>
  <si>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</si>
  <si>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</si>
  <si>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</si>
  <si>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</si>
  <si>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</si>
  <si>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</si>
  <si>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</si>
  <si>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</si>
  <si>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</si>
  <si>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</si>
  <si>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</si>
  <si>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</si>
  <si>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</si>
  <si>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</si>
  <si>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</si>
  <si>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</si>
  <si>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</si>
  <si>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</si>
  <si>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</si>
  <si>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</si>
  <si>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</si>
  <si>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</si>
  <si>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</si>
  <si>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</si>
  <si>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</si>
  <si>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</si>
  <si>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</si>
  <si>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</si>
  <si>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</si>
  <si>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</si>
  <si>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</si>
  <si>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</si>
  <si>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</si>
  <si>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</si>
  <si>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</si>
  <si>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</si>
  <si>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</si>
  <si>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</si>
  <si>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</si>
  <si>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</si>
  <si>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</si>
  <si>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</si>
  <si>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</si>
  <si>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</si>
  <si>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</si>
  <si>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</si>
  <si>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</si>
  <si>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</si>
  <si>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</si>
  <si>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</si>
  <si>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</si>
  <si>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</si>
  <si>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</si>
  <si>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</si>
  <si>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</si>
  <si>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</si>
  <si>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</si>
  <si>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</si>
  <si>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</si>
  <si>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</si>
  <si>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</si>
  <si>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</si>
  <si>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</si>
  <si>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</si>
  <si>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</si>
  <si>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</si>
  <si>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</si>
  <si>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</si>
  <si>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</si>
  <si>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</si>
  <si>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</si>
  <si>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</si>
  <si>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</si>
  <si>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</si>
  <si>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</si>
  <si>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</si>
  <si>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</si>
  <si>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</si>
  <si>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</si>
  <si>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</si>
  <si>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</si>
  <si>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</si>
  <si>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</si>
  <si>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</si>
  <si>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</si>
  <si>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</si>
  <si>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</si>
  <si>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</si>
  <si>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</si>
  <si>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</si>
  <si>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</si>
  <si>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</si>
  <si>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</si>
  <si>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</si>
  <si>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</si>
  <si>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</si>
  <si>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</si>
  <si>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</si>
  <si>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</si>
  <si>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</si>
  <si>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</si>
  <si>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</si>
  <si>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</si>
  <si>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</si>
  <si>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</si>
  <si>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</si>
  <si>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</si>
  <si>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</si>
  <si>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</si>
  <si>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</si>
  <si>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</si>
  <si>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</si>
  <si>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</si>
  <si>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</si>
  <si>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</si>
  <si>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</si>
  <si>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</si>
  <si>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</si>
  <si>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</si>
  <si>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</si>
  <si>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</si>
  <si>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</si>
  <si>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</si>
  <si>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</si>
  <si>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</si>
  <si>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</si>
  <si>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</si>
  <si>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</si>
  <si>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</si>
  <si>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</si>
  <si>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</si>
  <si>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</si>
  <si>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</si>
  <si>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</si>
  <si>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</si>
  <si>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</si>
  <si>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</si>
  <si>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</si>
  <si>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</si>
  <si>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</si>
  <si>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</si>
  <si>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</si>
  <si>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</si>
  <si>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</si>
  <si>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</si>
  <si>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</si>
  <si>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</si>
  <si>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</si>
  <si>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</si>
  <si>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</si>
  <si>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</si>
  <si>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</si>
  <si>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</si>
  <si>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</si>
  <si>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</si>
  <si>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</si>
  <si>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</si>
  <si>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</si>
  <si>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</si>
  <si>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</si>
  <si>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</si>
  <si>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</si>
  <si>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</si>
  <si>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</si>
  <si>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</si>
  <si>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</si>
  <si>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</si>
  <si>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</si>
  <si>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</si>
  <si>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</si>
  <si>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</si>
  <si>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</si>
  <si>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</si>
  <si>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</si>
  <si>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</si>
  <si>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</si>
  <si>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</si>
  <si>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</si>
  <si>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</si>
  <si>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</si>
  <si>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</si>
  <si>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</si>
  <si>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</si>
  <si>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</si>
  <si>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</si>
  <si>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</si>
  <si>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</si>
  <si>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</si>
  <si>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</si>
  <si>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</si>
  <si>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</si>
  <si>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</si>
  <si>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</si>
  <si>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</si>
  <si>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</si>
  <si>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</si>
  <si>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</si>
  <si>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</si>
  <si>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</si>
  <si>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</si>
  <si>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</si>
  <si>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</si>
  <si>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</si>
  <si>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</si>
  <si>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</si>
  <si>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</si>
  <si>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</si>
  <si>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</si>
  <si>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</si>
  <si>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</si>
  <si>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</si>
  <si>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</si>
  <si>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</si>
  <si>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</si>
  <si>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</si>
  <si>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</si>
  <si>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</si>
  <si>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</si>
  <si>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</si>
  <si>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</si>
  <si>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</si>
  <si>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</si>
  <si>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</si>
  <si>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</si>
  <si>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</si>
  <si>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</si>
  <si>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</si>
  <si>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</si>
  <si>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</si>
  <si>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</si>
  <si>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</si>
  <si>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</si>
  <si>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</si>
  <si>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</si>
  <si>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</si>
  <si>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</si>
  <si>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</si>
  <si>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</si>
  <si>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</si>
  <si>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</si>
  <si>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</si>
  <si>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</si>
  <si>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</si>
  <si>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</si>
  <si>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</si>
  <si>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</si>
  <si>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</si>
  <si>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</si>
  <si>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</si>
  <si>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</si>
  <si>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</si>
  <si>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</si>
  <si>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</si>
  <si>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</si>
  <si>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</si>
  <si>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</si>
  <si>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</si>
  <si>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</si>
  <si>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</si>
  <si>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</si>
  <si>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</si>
  <si>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</si>
  <si>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</si>
  <si>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</si>
  <si>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</si>
  <si>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</si>
  <si>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</si>
  <si>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</si>
  <si>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</si>
  <si>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</si>
  <si>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</si>
  <si>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</si>
  <si>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</si>
  <si>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</si>
  <si>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</si>
  <si>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</si>
  <si>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</si>
  <si>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</si>
  <si>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</si>
  <si>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</si>
  <si>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</si>
  <si>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</si>
  <si>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</si>
  <si>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</si>
  <si>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</si>
  <si>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</si>
  <si>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</si>
  <si>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</si>
  <si>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</si>
  <si>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</si>
  <si>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</si>
  <si>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</si>
  <si>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</si>
  <si>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</si>
  <si>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</si>
  <si>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</si>
  <si>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</si>
  <si>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</si>
  <si>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</si>
  <si>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</si>
  <si>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</si>
  <si>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</si>
  <si>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</si>
  <si>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</si>
  <si>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</si>
  <si>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</si>
  <si>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</si>
  <si>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</si>
  <si>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</si>
  <si>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</si>
  <si>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</si>
  <si>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</si>
  <si>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</si>
  <si>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</si>
  <si>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</si>
  <si>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</si>
  <si>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</si>
  <si>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</si>
  <si>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</si>
  <si>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</si>
  <si>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</si>
  <si>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</si>
  <si>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</si>
  <si>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</si>
  <si>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</si>
  <si>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</si>
  <si>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</si>
  <si>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</si>
  <si>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</si>
  <si>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</si>
  <si>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</si>
  <si>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</si>
  <si>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</si>
  <si>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</si>
  <si>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</si>
  <si>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</si>
  <si>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</si>
  <si>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</si>
  <si>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</si>
  <si>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</si>
  <si>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</si>
  <si>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</si>
  <si>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</si>
  <si>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</si>
  <si>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</si>
  <si>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</si>
  <si>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</si>
  <si>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</si>
  <si>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</si>
  <si>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</si>
  <si>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</si>
  <si>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</si>
  <si>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</si>
  <si>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</si>
  <si>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</si>
  <si>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</si>
  <si>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</si>
  <si>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</si>
  <si>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</si>
  <si>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</si>
  <si>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</si>
  <si>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</si>
  <si>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</si>
  <si>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</si>
  <si>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</si>
  <si>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</si>
  <si>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</si>
  <si>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</si>
  <si>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</si>
  <si>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</si>
  <si>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</si>
  <si>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</si>
  <si>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</si>
  <si>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</si>
  <si>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</si>
  <si>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</si>
  <si>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</si>
  <si>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</si>
  <si>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</si>
  <si>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</si>
  <si>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</si>
  <si>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</si>
  <si>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</si>
  <si>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</si>
  <si>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</si>
  <si>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</si>
  <si>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</si>
  <si>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</si>
  <si>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</si>
  <si>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</si>
  <si>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</si>
  <si>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</si>
  <si>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</si>
  <si>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</si>
  <si>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</si>
  <si>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</si>
  <si>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</si>
  <si>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</si>
  <si>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</si>
  <si>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</si>
  <si>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</si>
  <si>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</si>
  <si>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</si>
  <si>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</si>
  <si>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</si>
  <si>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</si>
  <si>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</si>
  <si>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</si>
  <si>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</si>
  <si>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</si>
  <si>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</si>
  <si>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</si>
  <si>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</si>
  <si>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</si>
  <si>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</si>
  <si>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</si>
  <si>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</si>
  <si>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</si>
  <si>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</si>
  <si>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</si>
  <si>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</si>
  <si>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</si>
  <si>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</si>
  <si>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</si>
  <si>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</si>
  <si>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</si>
  <si>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</si>
  <si>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</si>
  <si>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</si>
  <si>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</si>
  <si>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</si>
  <si>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</si>
  <si>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</si>
  <si>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</si>
  <si>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</si>
  <si>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</si>
  <si>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</si>
  <si>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</si>
  <si>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</si>
  <si>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</si>
  <si>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</si>
  <si>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</si>
  <si>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</si>
  <si>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</si>
  <si>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</si>
  <si>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</si>
  <si>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</si>
  <si>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</si>
  <si>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</si>
  <si>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</si>
  <si>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</si>
  <si>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</si>
  <si>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</si>
  <si>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</si>
  <si>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</si>
  <si>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</si>
  <si>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</si>
  <si>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</si>
  <si>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</si>
  <si>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</si>
  <si>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</si>
  <si>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</si>
  <si>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</si>
  <si>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</si>
  <si>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</si>
  <si>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</si>
  <si>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</si>
  <si>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</si>
  <si>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</si>
  <si>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</si>
  <si>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</si>
  <si>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</si>
  <si>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</si>
  <si>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</si>
  <si>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</si>
  <si>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</si>
  <si>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</si>
  <si>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</si>
  <si>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</si>
  <si>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</si>
  <si>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</si>
  <si>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</si>
  <si>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</si>
  <si>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</si>
  <si>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</si>
  <si>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</si>
  <si>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</si>
  <si>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</si>
  <si>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</si>
  <si>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</si>
  <si>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</si>
  <si>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</si>
  <si>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</si>
  <si>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</si>
  <si>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</si>
  <si>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</si>
  <si>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</si>
  <si>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</si>
  <si>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</si>
  <si>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</si>
  <si>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</si>
  <si>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</si>
  <si>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</si>
  <si>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</si>
  <si>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</si>
  <si>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</si>
  <si>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</si>
  <si>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</si>
  <si>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</si>
  <si>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</si>
  <si>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</si>
  <si>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</si>
  <si>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</si>
  <si>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</si>
  <si>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</si>
  <si>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</si>
  <si>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</si>
  <si>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</si>
  <si>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</si>
  <si>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</si>
  <si>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</si>
  <si>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</si>
  <si>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</si>
  <si>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</si>
  <si>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</si>
  <si>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</si>
  <si>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</si>
  <si>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</si>
  <si>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</si>
  <si>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</si>
  <si>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</si>
  <si>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</si>
  <si>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</si>
  <si>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</si>
  <si>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</si>
  <si>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</si>
  <si>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</si>
  <si>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</si>
  <si>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</si>
  <si>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</si>
  <si>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</si>
  <si>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</si>
  <si>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</si>
  <si>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</si>
  <si>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</si>
  <si>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</si>
  <si>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</si>
  <si>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</si>
  <si>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</si>
  <si>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</si>
  <si>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</si>
  <si>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</si>
  <si>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</si>
  <si>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</si>
  <si>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</si>
  <si>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</si>
  <si>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</si>
  <si>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</si>
  <si>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</si>
  <si>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</si>
  <si>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</si>
  <si>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</si>
  <si>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</si>
  <si>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</si>
  <si>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</si>
  <si>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</si>
  <si>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</si>
  <si>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</si>
  <si>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</si>
  <si>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</si>
  <si>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</si>
  <si>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</si>
  <si>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</si>
  <si>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</si>
  <si>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</si>
  <si>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</si>
  <si>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</si>
  <si>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</si>
  <si>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</si>
  <si>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</si>
  <si>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</si>
  <si>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</si>
  <si>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</si>
  <si>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</si>
  <si>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</si>
  <si>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</si>
  <si>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</si>
  <si>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</si>
  <si>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</si>
  <si>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</si>
  <si>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</si>
  <si>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</si>
  <si>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</si>
  <si>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</si>
  <si>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</si>
  <si>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</si>
  <si>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</si>
  <si>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</si>
  <si>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</si>
  <si>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</si>
  <si>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</si>
  <si>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</si>
  <si>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</si>
  <si>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</si>
  <si>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</si>
  <si>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</si>
  <si>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</si>
  <si>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</si>
  <si>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</si>
  <si>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</si>
  <si>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</si>
  <si>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</si>
  <si>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</si>
  <si>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</si>
  <si>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</si>
  <si>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</si>
  <si>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</si>
  <si>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</si>
  <si>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</si>
  <si>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</si>
  <si>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</si>
  <si>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</si>
  <si>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</si>
  <si>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</si>
  <si>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</si>
  <si>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</si>
  <si>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</si>
  <si>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</si>
  <si>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</si>
  <si>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</si>
  <si>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</si>
  <si>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</si>
  <si>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</si>
  <si>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</si>
  <si>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</si>
  <si>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</si>
  <si>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</si>
  <si>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</si>
  <si>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</si>
  <si>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</si>
  <si>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</si>
  <si>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</si>
  <si>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</si>
  <si>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</si>
  <si>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</si>
  <si>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</si>
  <si>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</si>
  <si>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</si>
  <si>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</si>
  <si>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</si>
  <si>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</si>
  <si>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</si>
  <si>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</si>
  <si>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</si>
  <si>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</si>
  <si>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</si>
  <si>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</si>
  <si>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</si>
  <si>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</si>
  <si>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</si>
  <si>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</si>
  <si>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</si>
  <si>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</si>
  <si>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</si>
  <si>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</si>
  <si>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</si>
  <si>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</si>
  <si>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</si>
  <si>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</si>
  <si>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</si>
  <si>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</si>
  <si>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</si>
  <si>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</si>
  <si>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</si>
  <si>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</si>
  <si>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</si>
  <si>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</si>
  <si>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</si>
  <si>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</si>
  <si>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</si>
  <si>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</si>
  <si>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</si>
  <si>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</si>
  <si>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</si>
  <si>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</si>
  <si>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</si>
  <si>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</si>
  <si>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</si>
  <si>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</si>
  <si>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</si>
  <si>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</si>
  <si>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</si>
  <si>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</si>
  <si>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</si>
  <si>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</si>
  <si>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</si>
  <si>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</si>
  <si>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</si>
  <si>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</si>
  <si>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</si>
  <si>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</si>
  <si>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</si>
  <si>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</si>
  <si>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</si>
  <si>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</si>
  <si>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</si>
  <si>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</si>
  <si>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</si>
  <si>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</si>
  <si>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</si>
  <si>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</si>
  <si>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</si>
  <si>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</si>
  <si>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</si>
  <si>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</si>
  <si>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</si>
  <si>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</si>
  <si>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</si>
  <si>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</si>
  <si>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</si>
  <si>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</si>
  <si>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</si>
  <si>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</si>
  <si>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</si>
  <si>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</si>
  <si>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</si>
  <si>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</si>
  <si>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</si>
  <si>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</si>
  <si>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</si>
  <si>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</si>
  <si>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</si>
  <si>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</si>
  <si>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</si>
  <si>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</si>
  <si>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</si>
  <si>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</si>
  <si>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</si>
  <si>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</si>
  <si>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</si>
  <si>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</si>
  <si>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</si>
  <si>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</si>
  <si>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</si>
  <si>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</si>
  <si>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</si>
  <si>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</si>
  <si>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</si>
  <si>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</si>
  <si>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</si>
  <si>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</si>
  <si>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</si>
  <si>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</si>
  <si>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</si>
  <si>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</si>
  <si>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</si>
  <si>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</si>
  <si>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</si>
  <si>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</si>
  <si>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</si>
  <si>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</si>
  <si>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</si>
  <si>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</si>
  <si>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</si>
  <si>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</si>
  <si>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</si>
  <si>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</si>
  <si>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</si>
  <si>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</si>
  <si>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</si>
  <si>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</si>
  <si>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</si>
  <si>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</si>
  <si>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</si>
  <si>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</si>
  <si>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</si>
  <si>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</si>
  <si>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</si>
  <si>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</si>
  <si>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</si>
  <si>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</si>
  <si>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</si>
  <si>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</si>
  <si>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</si>
  <si>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</si>
  <si>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</si>
  <si>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</si>
  <si>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</si>
  <si>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</si>
  <si>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</si>
  <si>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</si>
  <si>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</si>
  <si>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</si>
  <si>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</si>
  <si>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</si>
  <si>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</si>
  <si>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</si>
  <si>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</si>
  <si>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</si>
  <si>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</si>
  <si>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</si>
  <si>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</si>
  <si>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</si>
  <si>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</si>
  <si>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</si>
  <si>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</si>
  <si>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</si>
  <si>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</si>
  <si>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</si>
  <si>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</si>
  <si>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</si>
  <si>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</si>
  <si>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</si>
  <si>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</si>
  <si>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</si>
  <si>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</si>
  <si>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</si>
  <si>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</si>
  <si>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</si>
  <si>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</si>
  <si>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</si>
  <si>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</si>
  <si>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</si>
  <si>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</si>
  <si>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</si>
  <si>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</si>
  <si>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</si>
  <si>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</si>
  <si>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</si>
  <si>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</si>
  <si>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</si>
  <si>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</si>
  <si>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</si>
  <si>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</si>
  <si>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</si>
  <si>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</si>
  <si>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</si>
  <si>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</si>
  <si>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</si>
  <si>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</si>
  <si>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</si>
  <si>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</si>
  <si>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</si>
  <si>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</si>
  <si>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</si>
  <si>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</si>
  <si>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</si>
  <si>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</si>
  <si>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</si>
  <si>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</si>
  <si>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</si>
  <si>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</si>
  <si>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</si>
  <si>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</si>
  <si>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</si>
  <si>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</si>
  <si>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</si>
  <si>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</si>
  <si>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</si>
  <si>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</si>
  <si>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</si>
  <si>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</si>
  <si>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</si>
  <si>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</si>
  <si>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</si>
  <si>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</si>
  <si>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</si>
  <si>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</si>
  <si>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</si>
  <si>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</si>
  <si>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</si>
  <si>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</si>
  <si>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</si>
  <si>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</si>
  <si>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</si>
  <si>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</si>
  <si>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</si>
  <si>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</si>
  <si>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</si>
  <si>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</si>
  <si>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</si>
  <si>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</si>
  <si>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</si>
  <si>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</si>
  <si>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</si>
  <si>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</si>
  <si>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</si>
  <si>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</si>
  <si>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</si>
  <si>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</si>
  <si>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</si>
  <si>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</si>
  <si>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</si>
  <si>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</si>
  <si>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</si>
  <si>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</si>
  <si>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</si>
  <si>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</si>
  <si>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</si>
  <si>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</si>
  <si>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</si>
  <si>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</si>
  <si>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</si>
  <si>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</si>
  <si>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</si>
  <si>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</si>
  <si>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</si>
  <si>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</si>
  <si>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</si>
  <si>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</si>
  <si>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</si>
  <si>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</si>
  <si>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</si>
  <si>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</si>
  <si>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</si>
  <si>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</si>
  <si>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</si>
  <si>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</si>
  <si>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</si>
  <si>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</si>
  <si>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</si>
  <si>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</si>
  <si>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</si>
  <si>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</si>
  <si>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</si>
  <si>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</si>
  <si>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</si>
  <si>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</si>
  <si>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</si>
  <si>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</si>
  <si>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</si>
  <si>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</si>
  <si>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</si>
  <si>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</si>
  <si>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</si>
  <si>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</si>
  <si>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</si>
  <si>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</si>
  <si>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</si>
  <si>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</si>
  <si>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</si>
  <si>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</si>
  <si>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</si>
  <si>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</si>
  <si>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</si>
  <si>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</si>
  <si>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</si>
  <si>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</si>
  <si>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</si>
  <si>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</si>
  <si>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</si>
  <si>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</si>
  <si>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</si>
  <si>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</si>
  <si>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</si>
  <si>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</si>
  <si>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</si>
  <si>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</si>
  <si>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</si>
  <si>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</si>
  <si>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</si>
  <si>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</si>
  <si>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</si>
  <si>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</si>
  <si>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</si>
  <si>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</si>
  <si>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</si>
  <si>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</si>
  <si>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</si>
  <si>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</si>
  <si>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</si>
  <si>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</si>
  <si>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</si>
  <si>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</si>
  <si>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</si>
  <si>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</si>
  <si>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</si>
  <si>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</si>
  <si>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</si>
  <si>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</si>
  <si>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</si>
  <si>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</si>
  <si>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</si>
  <si>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</si>
  <si>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</si>
  <si>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</si>
  <si>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</si>
  <si>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</si>
  <si>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</si>
  <si>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</si>
  <si>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</si>
  <si>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</si>
  <si>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</si>
  <si>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</si>
  <si>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</si>
  <si>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</si>
  <si>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</si>
  <si>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</si>
  <si>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</si>
  <si>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</si>
  <si>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</si>
  <si>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</si>
  <si>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</si>
  <si>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</si>
  <si>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</si>
  <si>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</si>
  <si>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</si>
  <si>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</si>
  <si>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</si>
  <si>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</si>
  <si>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</si>
  <si>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</si>
  <si>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</si>
  <si>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</si>
  <si>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</si>
  <si>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</si>
  <si>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</si>
  <si>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</si>
  <si>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</si>
  <si>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</si>
  <si>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</si>
  <si>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</si>
  <si>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</si>
  <si>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</si>
  <si>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</si>
  <si>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</si>
  <si>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</si>
  <si>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</si>
  <si>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</si>
  <si>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</si>
  <si>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</si>
  <si>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</si>
  <si>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</si>
  <si>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</si>
  <si>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</si>
  <si>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</si>
  <si>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</si>
  <si>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</si>
  <si>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</si>
  <si>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</si>
  <si>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</si>
  <si>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</si>
  <si>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</si>
  <si>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</si>
  <si>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</si>
  <si>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</si>
  <si>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</si>
  <si>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</si>
  <si>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</si>
  <si>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</si>
  <si>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</si>
  <si>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</si>
  <si>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</si>
  <si>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</si>
  <si>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</si>
  <si>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</si>
  <si>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</si>
  <si>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</si>
  <si>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</si>
  <si>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</si>
  <si>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</si>
  <si>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</si>
  <si>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</si>
  <si>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</si>
  <si>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</si>
  <si>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</si>
  <si>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</si>
  <si>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</si>
  <si>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</si>
  <si>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</si>
  <si>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</si>
  <si>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</si>
  <si>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</si>
  <si>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</si>
  <si>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</si>
  <si>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</si>
  <si>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</si>
  <si>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</si>
  <si>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</si>
  <si>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</si>
  <si>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</si>
  <si>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</si>
  <si>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</si>
  <si>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</si>
  <si>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</si>
  <si>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</si>
  <si>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</si>
  <si>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</si>
  <si>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</si>
  <si>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</si>
  <si>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</si>
  <si>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</si>
  <si>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</si>
  <si>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</si>
  <si>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</si>
  <si>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</si>
  <si>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</si>
  <si>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</si>
  <si>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</si>
  <si>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</si>
  <si>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</si>
  <si>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</si>
  <si>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</si>
  <si>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</si>
  <si>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</si>
  <si>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</si>
  <si>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</si>
  <si>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</si>
  <si>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</si>
  <si>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</si>
  <si>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</si>
  <si>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</si>
  <si>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</si>
  <si>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</si>
  <si>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</si>
  <si>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</si>
  <si>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</si>
  <si>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</si>
  <si>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</si>
  <si>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</si>
  <si>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</si>
  <si>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</si>
  <si>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</si>
  <si>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</si>
  <si>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</si>
  <si>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</si>
  <si>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</si>
  <si>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</si>
  <si>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</si>
  <si>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</si>
  <si>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</si>
  <si>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</si>
  <si>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</si>
  <si>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</si>
  <si>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</si>
  <si>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</si>
  <si>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</si>
  <si>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</si>
  <si>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</si>
  <si>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</si>
  <si>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</si>
  <si>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</si>
  <si>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</si>
  <si>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</si>
  <si>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</si>
  <si>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</si>
  <si>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</si>
  <si>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</si>
  <si>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</si>
  <si>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</si>
  <si>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</si>
  <si>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</si>
  <si>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</si>
  <si>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</si>
  <si>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</si>
  <si>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</si>
  <si>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</si>
  <si>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</si>
  <si>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</si>
  <si>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</si>
  <si>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</si>
  <si>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</si>
  <si>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</si>
  <si>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</si>
  <si>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</si>
  <si>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</si>
  <si>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</si>
  <si>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</si>
  <si>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</si>
  <si>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</si>
  <si>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</si>
  <si>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</si>
  <si>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</si>
  <si>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</si>
  <si>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</si>
  <si>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</si>
  <si>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</si>
  <si>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</si>
  <si>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</si>
  <si>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</si>
  <si>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</si>
  <si>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</si>
  <si>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</si>
  <si>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</si>
  <si>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</si>
  <si>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</si>
  <si>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</si>
  <si>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</si>
  <si>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</si>
  <si>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</si>
  <si>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</si>
  <si>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</si>
  <si>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</si>
  <si>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</si>
  <si>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</si>
  <si>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</si>
  <si>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</si>
  <si>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</si>
  <si>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</si>
  <si>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</si>
  <si>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</si>
  <si>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</si>
  <si>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</si>
  <si>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</si>
  <si>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</si>
  <si>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</si>
  <si>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</si>
  <si>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</si>
  <si>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</si>
  <si>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</si>
  <si>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</si>
  <si>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</si>
  <si>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</si>
  <si>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</si>
  <si>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</si>
  <si>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</si>
  <si>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</si>
  <si>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</si>
  <si>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</si>
  <si>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</si>
  <si>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</si>
  <si>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</si>
  <si>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</si>
  <si>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</si>
  <si>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</si>
  <si>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</si>
  <si>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</si>
  <si>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</si>
  <si>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</si>
  <si>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</si>
  <si>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</si>
  <si>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</si>
  <si>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</si>
  <si>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</si>
  <si>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</si>
  <si>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</si>
  <si>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</si>
  <si>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</si>
  <si>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</si>
  <si>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</si>
  <si>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</si>
  <si>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</si>
  <si>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</si>
  <si>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</si>
  <si>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</si>
  <si>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</si>
  <si>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</si>
  <si>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</si>
  <si>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</si>
  <si>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</si>
  <si>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</si>
  <si>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</si>
  <si>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</si>
  <si>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</si>
  <si>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</si>
  <si>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</si>
  <si>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</si>
  <si>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</si>
  <si>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</si>
  <si>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</si>
  <si>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</si>
  <si>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</si>
  <si>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</si>
  <si>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</si>
  <si>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</si>
  <si>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</si>
  <si>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</si>
  <si>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</si>
  <si>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</si>
  <si>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</si>
  <si>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</si>
  <si>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</si>
  <si>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</si>
  <si>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</si>
  <si>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</si>
  <si>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</si>
  <si>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</si>
  <si>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</si>
  <si>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</si>
  <si>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</si>
  <si>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</si>
  <si>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</si>
  <si>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</si>
  <si>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</si>
  <si>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</si>
  <si>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</si>
  <si>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</si>
  <si>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</si>
  <si>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</si>
  <si>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</si>
  <si>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</si>
  <si>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</si>
  <si>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</si>
  <si>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</si>
  <si>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</si>
  <si>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</si>
  <si>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</si>
  <si>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</si>
  <si>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</si>
  <si>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</si>
  <si>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</si>
  <si>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</si>
  <si>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</si>
  <si>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</si>
  <si>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</si>
  <si>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</si>
  <si>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</si>
  <si>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</si>
  <si>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</si>
  <si>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</si>
  <si>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</si>
  <si>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</si>
  <si>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</si>
  <si>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</si>
  <si>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</si>
  <si>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</si>
  <si>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</si>
  <si>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</si>
  <si>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</si>
  <si>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</si>
  <si>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</si>
  <si>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</si>
  <si>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</si>
  <si>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</si>
  <si>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</si>
  <si>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</si>
  <si>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</si>
  <si>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</si>
  <si>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</si>
  <si>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</si>
  <si>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</si>
  <si>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</si>
  <si>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</si>
  <si>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</si>
  <si>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</si>
  <si>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</si>
  <si>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</si>
  <si>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</si>
  <si>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</si>
  <si>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</si>
  <si>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</si>
  <si>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</si>
  <si>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</si>
  <si>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</si>
  <si>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</si>
  <si>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</si>
  <si>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</si>
  <si>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</si>
  <si>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</si>
  <si>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</si>
  <si>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</si>
  <si>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</si>
  <si>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</si>
  <si>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</si>
  <si>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</si>
  <si>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</si>
  <si>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</si>
  <si>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</si>
  <si>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</si>
  <si>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</si>
  <si>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</si>
  <si>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</si>
  <si>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</si>
  <si>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</si>
  <si>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</si>
  <si>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</si>
  <si>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</si>
  <si>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</si>
  <si>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</si>
  <si>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</si>
  <si>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</si>
  <si>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</si>
  <si>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</si>
  <si>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</si>
  <si>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</si>
  <si>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</si>
  <si>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</si>
  <si>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</si>
  <si>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</si>
  <si>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</si>
  <si>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</si>
  <si>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</si>
  <si>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</si>
  <si>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</si>
  <si>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</si>
  <si>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</si>
  <si>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</si>
  <si>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</si>
  <si>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</si>
  <si>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</si>
  <si>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</si>
  <si>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</si>
  <si>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</si>
  <si>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</si>
  <si>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</si>
  <si>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</si>
  <si>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</si>
  <si>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</si>
  <si>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</si>
  <si>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</si>
  <si>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</si>
  <si>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</si>
  <si>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</si>
  <si>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</si>
  <si>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</si>
  <si>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</si>
  <si>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</si>
  <si>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</si>
  <si>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</si>
  <si>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</si>
  <si>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</si>
  <si>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</si>
  <si>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</si>
  <si>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</si>
  <si>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</si>
  <si>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</si>
  <si>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</si>
  <si>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</si>
  <si>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</si>
  <si>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</si>
  <si>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</si>
  <si>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</si>
  <si>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</si>
  <si>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</si>
  <si>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</si>
  <si>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</si>
  <si>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</si>
  <si>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</si>
  <si>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</si>
  <si>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</si>
  <si>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</si>
  <si>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</si>
  <si>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</si>
  <si>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</si>
  <si>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</si>
  <si>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</si>
  <si>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</si>
  <si>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</si>
  <si>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</si>
  <si>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</si>
  <si>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</si>
  <si>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</si>
  <si>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</si>
  <si>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</si>
  <si>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</si>
  <si>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</si>
  <si>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</si>
  <si>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</si>
  <si>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</si>
  <si>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</si>
  <si>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</si>
  <si>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</si>
  <si>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</si>
  <si>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</si>
  <si>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</si>
  <si>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</si>
  <si>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</si>
  <si>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</si>
  <si>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</si>
  <si>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</si>
  <si>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</si>
  <si>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</si>
  <si>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</si>
  <si>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</si>
  <si>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</si>
  <si>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</si>
  <si>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</si>
  <si>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</si>
  <si>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</si>
  <si>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</si>
  <si>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</si>
  <si>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</si>
  <si>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</si>
  <si>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</si>
  <si>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</si>
  <si>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</si>
  <si>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</si>
  <si>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</si>
  <si>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</si>
  <si>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</si>
  <si>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</si>
  <si>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</si>
  <si>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</si>
  <si>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</si>
  <si>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</si>
  <si>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</si>
  <si>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</si>
  <si>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</si>
  <si>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</si>
  <si>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</si>
  <si>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</si>
  <si>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</si>
  <si>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</si>
  <si>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</si>
  <si>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</si>
  <si>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</si>
  <si>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</si>
  <si>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</si>
  <si>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</si>
  <si>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</si>
  <si>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</si>
  <si>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</si>
  <si>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</si>
  <si>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</si>
  <si>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</si>
  <si>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</si>
  <si>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</si>
  <si>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</si>
  <si>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</si>
  <si>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</si>
  <si>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</si>
  <si>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</si>
  <si>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</si>
  <si>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</si>
  <si>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</si>
  <si>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</si>
  <si>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</si>
  <si>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</si>
  <si>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</si>
  <si>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</si>
  <si>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</si>
  <si>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</si>
  <si>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</si>
  <si>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</si>
  <si>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</si>
  <si>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</si>
  <si>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</si>
  <si>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</si>
  <si>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</si>
  <si>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</si>
  <si>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</si>
  <si>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</si>
  <si>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</si>
  <si>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</si>
  <si>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</si>
  <si>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</si>
  <si>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</si>
  <si>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</si>
  <si>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</si>
  <si>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</si>
  <si>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</si>
  <si>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</si>
  <si>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</si>
  <si>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</si>
  <si>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</si>
  <si>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</si>
  <si>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</si>
  <si>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</si>
  <si>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</si>
  <si>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</si>
  <si>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</si>
  <si>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</si>
  <si>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</si>
  <si>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</si>
  <si>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</si>
  <si>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</si>
  <si>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</si>
  <si>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</si>
  <si>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</si>
  <si>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</si>
  <si>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</si>
  <si>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</si>
  <si>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</si>
  <si>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</si>
  <si>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</si>
  <si>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</si>
  <si>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</si>
  <si>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</si>
  <si>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</si>
  <si>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</si>
  <si>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</si>
  <si>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</si>
  <si>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</si>
  <si>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</si>
  <si>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</si>
  <si>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</si>
  <si>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</si>
  <si>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</si>
  <si>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</si>
  <si>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</si>
  <si>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</si>
  <si>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</si>
  <si>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</si>
  <si>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</si>
  <si>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</si>
  <si>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</si>
  <si>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</si>
  <si>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</si>
  <si>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</si>
  <si>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</si>
  <si>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</si>
  <si>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</si>
  <si>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</si>
  <si>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</si>
  <si>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</si>
  <si>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</si>
  <si>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</si>
  <si>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</si>
  <si>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</si>
  <si>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</si>
  <si>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</si>
  <si>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</si>
  <si>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</si>
  <si>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</si>
  <si>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</si>
  <si>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</si>
  <si>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</si>
  <si>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</si>
  <si>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</si>
  <si>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</si>
  <si>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</si>
  <si>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</si>
  <si>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</si>
  <si>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</si>
  <si>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</si>
  <si>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</si>
  <si>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</si>
  <si>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</si>
  <si>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</si>
  <si>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</si>
  <si>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</si>
  <si>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</si>
  <si>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</si>
  <si>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</si>
  <si>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</si>
  <si>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</si>
  <si>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</si>
  <si>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</si>
  <si>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</si>
  <si>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</si>
  <si>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</si>
  <si>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</si>
  <si>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</si>
  <si>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</si>
  <si>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</si>
  <si>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</si>
  <si>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</si>
  <si>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</si>
  <si>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</si>
  <si>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</si>
  <si>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</si>
  <si>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</si>
  <si>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</si>
  <si>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</si>
  <si>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</si>
  <si>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</si>
  <si>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</si>
  <si>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</si>
  <si>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</si>
  <si>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</si>
  <si>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</si>
  <si>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</si>
  <si>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</si>
  <si>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</si>
  <si>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</si>
  <si>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</si>
  <si>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</si>
  <si>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</si>
  <si>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</si>
  <si>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</si>
  <si>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</si>
  <si>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</si>
  <si>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</si>
  <si>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</si>
  <si>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</si>
  <si>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</si>
  <si>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</si>
  <si>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</si>
  <si>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</si>
  <si>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</si>
  <si>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</si>
  <si>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</si>
  <si>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</si>
  <si>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</si>
  <si>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</si>
  <si>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</si>
  <si>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</si>
  <si>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</si>
  <si>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</si>
  <si>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</si>
  <si>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</si>
  <si>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</si>
  <si>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</si>
  <si>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</si>
  <si>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</si>
  <si>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</si>
  <si>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</si>
  <si>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</si>
  <si>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</si>
  <si>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</si>
  <si>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</si>
  <si>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</si>
  <si>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</si>
  <si>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</si>
  <si>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</si>
  <si>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</si>
  <si>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</si>
  <si>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</si>
  <si>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</si>
  <si>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</si>
  <si>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</si>
  <si>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</si>
  <si>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</si>
  <si>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</si>
  <si>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</si>
  <si>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</si>
  <si>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</si>
  <si>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</si>
  <si>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</si>
  <si>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</si>
  <si>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</si>
  <si>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</si>
  <si>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</si>
  <si>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</si>
  <si>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</si>
  <si>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</si>
  <si>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</si>
  <si>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</si>
  <si>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</si>
  <si>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</si>
  <si>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</si>
  <si>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</si>
  <si>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</si>
  <si>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</si>
  <si>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</si>
  <si>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</si>
  <si>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</si>
  <si>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</si>
  <si>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</si>
  <si>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</si>
  <si>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</si>
  <si>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</si>
  <si>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</si>
  <si>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</si>
  <si>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</si>
  <si>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</si>
  <si>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</si>
  <si>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</si>
  <si>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</si>
  <si>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</si>
  <si>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</si>
  <si>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</si>
  <si>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</si>
  <si>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</si>
  <si>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</si>
  <si>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</si>
  <si>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</si>
  <si>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</si>
  <si>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</si>
  <si>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</si>
  <si>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</si>
  <si>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</si>
  <si>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</si>
  <si>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</si>
  <si>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</si>
  <si>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</si>
  <si>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</si>
  <si>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</si>
  <si>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</si>
  <si>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</si>
  <si>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</si>
  <si>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</si>
  <si>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</si>
  <si>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</si>
  <si>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</si>
  <si>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</si>
  <si>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</si>
  <si>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</si>
  <si>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</si>
  <si>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</si>
  <si>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</si>
  <si>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</si>
  <si>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</si>
  <si>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</si>
  <si>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</si>
  <si>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</si>
  <si>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</si>
  <si>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</si>
  <si>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</si>
  <si>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</si>
  <si>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</si>
  <si>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</si>
  <si>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</si>
  <si>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</si>
  <si>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</si>
  <si>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</si>
  <si>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</si>
  <si>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</si>
  <si>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</si>
  <si>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</si>
  <si>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</si>
  <si>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</si>
  <si>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</si>
  <si>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</si>
  <si>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</si>
  <si>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</si>
  <si>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</si>
  <si>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</si>
  <si>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</si>
  <si>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</si>
  <si>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</si>
  <si>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</si>
  <si>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</si>
  <si>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</si>
  <si>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</si>
  <si>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</si>
  <si>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</si>
  <si>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</si>
  <si>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</si>
  <si>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</si>
  <si>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</si>
  <si>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</si>
  <si>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</si>
  <si>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</si>
  <si>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</si>
  <si>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</si>
  <si>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</si>
  <si>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</si>
  <si>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</si>
  <si>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</si>
  <si>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</si>
  <si>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</si>
  <si>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</si>
  <si>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</si>
  <si>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</si>
  <si>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</si>
  <si>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</si>
  <si>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</si>
  <si>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</si>
  <si>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</si>
  <si>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</si>
  <si>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</si>
  <si>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</si>
  <si>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</si>
  <si>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</si>
  <si>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</si>
  <si>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</si>
  <si>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</si>
  <si>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</si>
  <si>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</si>
  <si>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</si>
  <si>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</si>
  <si>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</si>
  <si>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</si>
  <si>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</si>
  <si>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</si>
  <si>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</si>
  <si>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</si>
  <si>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</si>
  <si>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</si>
  <si>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</si>
  <si>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</si>
  <si>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</si>
  <si>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</si>
  <si>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</si>
  <si>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</si>
  <si>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</si>
  <si>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</si>
  <si>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</si>
  <si>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</si>
  <si>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</si>
  <si>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</si>
  <si>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</si>
  <si>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</si>
  <si>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</si>
  <si>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</si>
  <si>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</si>
  <si>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</si>
  <si>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</si>
  <si>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</si>
  <si>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</si>
  <si>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</si>
  <si>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</si>
  <si>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</si>
  <si>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</si>
  <si>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</si>
  <si>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</si>
  <si>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</si>
  <si>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</si>
  <si>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</si>
  <si>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</si>
  <si>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</si>
  <si>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</si>
  <si>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</si>
  <si>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</si>
  <si>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</si>
  <si>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</si>
  <si>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</si>
  <si>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</si>
  <si>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</si>
  <si>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</si>
  <si>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</si>
  <si>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</si>
  <si>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</si>
  <si>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</si>
  <si>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</si>
  <si>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</si>
  <si>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</si>
  <si>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</si>
  <si>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</si>
  <si>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</si>
  <si>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</si>
  <si>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</si>
  <si>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</si>
  <si>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</si>
  <si>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</si>
  <si>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</si>
  <si>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</si>
  <si>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</si>
  <si>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</si>
  <si>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</si>
  <si>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</si>
  <si>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</si>
  <si>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</si>
  <si>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</si>
  <si>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</si>
  <si>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</si>
  <si>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</si>
  <si>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</si>
  <si>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</si>
  <si>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</si>
  <si>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</si>
  <si>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</si>
  <si>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</si>
  <si>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</si>
  <si>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</si>
  <si>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</si>
  <si>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</si>
  <si>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</si>
  <si>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</si>
  <si>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</si>
  <si>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</si>
  <si>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</si>
  <si>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</si>
  <si>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</si>
  <si>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</si>
  <si>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</si>
  <si>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</si>
  <si>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</si>
  <si>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</si>
  <si>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</si>
  <si>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</si>
  <si>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</si>
  <si>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</si>
  <si>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</si>
  <si>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</si>
  <si>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</si>
  <si>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</si>
  <si>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</si>
  <si>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</si>
  <si>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</si>
  <si>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</si>
  <si>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</si>
  <si>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</si>
  <si>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</si>
  <si>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</si>
  <si>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</si>
  <si>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</si>
  <si>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</si>
  <si>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</si>
  <si>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</si>
  <si>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</si>
  <si>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</si>
  <si>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</si>
  <si>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</si>
  <si>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</si>
  <si>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</si>
  <si>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</si>
  <si>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</si>
  <si>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</si>
  <si>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</si>
  <si>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</si>
  <si>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</si>
  <si>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</si>
  <si>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</si>
  <si>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</si>
  <si>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</si>
  <si>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</si>
  <si>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</si>
  <si>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</si>
  <si>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</si>
  <si>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</si>
  <si>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</si>
  <si>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</si>
  <si>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</si>
  <si>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</si>
  <si>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</si>
  <si>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</si>
  <si>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</si>
  <si>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</si>
  <si>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</si>
  <si>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</si>
  <si>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</si>
  <si>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</si>
  <si>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</si>
  <si>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</si>
  <si>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</si>
  <si>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</si>
  <si>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</si>
  <si>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</si>
  <si>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</si>
  <si>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</si>
  <si>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</si>
  <si>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</si>
  <si>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</si>
  <si>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</si>
  <si>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</si>
  <si>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</si>
  <si>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</si>
  <si>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</si>
  <si>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</si>
  <si>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</si>
  <si>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</si>
  <si>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</si>
  <si>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</si>
  <si>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</si>
  <si>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</si>
  <si>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</si>
  <si>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</si>
  <si>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</si>
  <si>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</si>
  <si>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</si>
  <si>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</si>
  <si>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</si>
  <si>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</si>
  <si>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</si>
  <si>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</si>
  <si>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</si>
  <si>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</si>
  <si>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</si>
  <si>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</si>
  <si>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</si>
  <si>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</si>
  <si>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</si>
  <si>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</si>
  <si>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</si>
  <si>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</si>
  <si>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</si>
  <si>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</si>
  <si>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</si>
  <si>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</si>
  <si>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</si>
  <si>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</si>
  <si>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</si>
  <si>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</si>
  <si>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</si>
  <si>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</si>
  <si>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</si>
  <si>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</si>
  <si>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</si>
  <si>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</si>
  <si>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</si>
  <si>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</si>
  <si>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</si>
  <si>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</si>
  <si>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</si>
  <si>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</si>
  <si>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</si>
  <si>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</si>
  <si>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</si>
  <si>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</si>
  <si>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</si>
  <si>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</si>
  <si>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</si>
  <si>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</si>
  <si>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</si>
  <si>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</si>
  <si>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</si>
  <si>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</si>
  <si>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</si>
  <si>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</si>
  <si>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</si>
  <si>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</si>
  <si>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</si>
  <si>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</si>
  <si>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</si>
  <si>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</si>
  <si>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</si>
  <si>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</si>
  <si>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</si>
  <si>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</si>
  <si>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</si>
  <si>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</si>
  <si>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</si>
  <si>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</si>
  <si>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</si>
  <si>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</si>
  <si>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</si>
  <si>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</si>
  <si>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</si>
  <si>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</si>
  <si>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</si>
  <si>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</si>
  <si>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</si>
  <si>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</si>
  <si>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</si>
  <si>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</si>
  <si>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</si>
  <si>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</si>
  <si>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</si>
  <si>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</si>
  <si>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</si>
  <si>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</si>
  <si>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</si>
  <si>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</si>
  <si>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</si>
  <si>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</si>
  <si>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</si>
  <si>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</si>
  <si>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</si>
  <si>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</si>
  <si>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</si>
  <si>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</si>
  <si>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</si>
  <si>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</si>
  <si>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</si>
  <si>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</si>
  <si>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</si>
  <si>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</si>
  <si>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</si>
  <si>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</si>
  <si>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</si>
  <si>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</si>
  <si>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</si>
  <si>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</si>
  <si>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</si>
  <si>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</si>
  <si>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</si>
  <si>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</si>
  <si>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</si>
  <si>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</si>
  <si>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</si>
  <si>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</si>
  <si>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</si>
  <si>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</si>
  <si>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</si>
  <si>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</si>
  <si>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</si>
  <si>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</si>
  <si>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</si>
  <si>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</si>
  <si>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</si>
  <si>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</si>
  <si>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</si>
  <si>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</si>
  <si>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</si>
  <si>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</si>
  <si>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</si>
  <si>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</si>
  <si>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</si>
  <si>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</si>
  <si>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</si>
  <si>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</si>
  <si>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</si>
  <si>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</si>
  <si>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</si>
  <si>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</si>
  <si>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</si>
  <si>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</si>
  <si>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</si>
  <si>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</si>
  <si>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</si>
  <si>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</si>
  <si>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</si>
  <si>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</si>
  <si>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</si>
  <si>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</si>
  <si>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</si>
  <si>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</si>
  <si>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</si>
  <si>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</si>
  <si>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</si>
  <si>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</si>
  <si>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</si>
  <si>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</si>
  <si>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</si>
  <si>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</si>
  <si>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</si>
  <si>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</si>
  <si>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</si>
  <si>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</si>
  <si>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</si>
  <si>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</si>
  <si>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</si>
  <si>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</si>
  <si>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</si>
  <si>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</si>
  <si>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</si>
  <si>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</si>
  <si>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</si>
  <si>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</si>
  <si>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</si>
  <si>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</si>
  <si>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</si>
  <si>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</si>
  <si>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</si>
  <si>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</si>
  <si>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</si>
  <si>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</si>
  <si>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</si>
  <si>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</si>
  <si>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</si>
  <si>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</si>
  <si>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</si>
  <si>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</si>
  <si>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</si>
  <si>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</si>
  <si>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</si>
  <si>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</si>
  <si>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</si>
  <si>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</si>
  <si>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</si>
  <si>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</si>
  <si>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</si>
  <si>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</si>
  <si>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</si>
  <si>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</si>
  <si>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</si>
  <si>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</si>
  <si>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</si>
  <si>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</si>
  <si>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</si>
  <si>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</si>
  <si>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</si>
  <si>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</si>
  <si>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</si>
  <si>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</si>
  <si>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</si>
  <si>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</si>
  <si>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</si>
  <si>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</si>
  <si>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</si>
  <si>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</si>
  <si>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</si>
  <si>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</si>
  <si>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</si>
  <si>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</si>
  <si>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</si>
  <si>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</si>
  <si>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</si>
  <si>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</si>
  <si>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</si>
  <si>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</si>
  <si>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</si>
  <si>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</si>
  <si>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</si>
  <si>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</si>
  <si>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</si>
  <si>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</si>
  <si>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</si>
  <si>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</si>
  <si>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</si>
  <si>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</si>
  <si>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</si>
  <si>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</si>
  <si>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</si>
  <si>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</si>
  <si>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</si>
  <si>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</si>
  <si>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</si>
  <si>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</si>
  <si>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</si>
  <si>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</si>
  <si>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</si>
  <si>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</si>
  <si>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</si>
  <si>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</si>
  <si>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</si>
  <si>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</si>
  <si>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</si>
  <si>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</si>
  <si>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</si>
  <si>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</si>
  <si>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</si>
  <si>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</si>
  <si>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</si>
  <si>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</si>
  <si>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</si>
  <si>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</si>
  <si>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</si>
  <si>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</si>
  <si>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</si>
  <si>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</si>
  <si>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</si>
  <si>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</si>
  <si>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</si>
  <si>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</si>
  <si>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</si>
  <si>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</si>
  <si>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</si>
  <si>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</si>
  <si>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</si>
  <si>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</si>
  <si>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</si>
  <si>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</si>
  <si>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</si>
  <si>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</si>
  <si>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</si>
  <si>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</si>
  <si>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</si>
  <si>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</si>
  <si>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</si>
  <si>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</si>
  <si>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</si>
  <si>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</si>
  <si>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</si>
  <si>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</si>
  <si>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</si>
  <si>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</si>
  <si>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</si>
  <si>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</si>
  <si>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</si>
  <si>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</si>
  <si>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</si>
  <si>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</si>
  <si>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</si>
  <si>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</si>
  <si>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</si>
  <si>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</si>
  <si>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</si>
  <si>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</si>
  <si>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</si>
  <si>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</si>
  <si>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</si>
  <si>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</si>
  <si>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</si>
  <si>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</si>
  <si>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</si>
  <si>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</si>
  <si>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</si>
  <si>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</si>
  <si>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</si>
  <si>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</si>
  <si>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</si>
  <si>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</si>
  <si>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</si>
  <si>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</si>
  <si>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</si>
  <si>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</si>
  <si>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</si>
  <si>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</si>
  <si>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</si>
  <si>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</si>
  <si>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</si>
  <si>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</si>
  <si>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</si>
  <si>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</si>
  <si>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</si>
  <si>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</si>
  <si>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</si>
  <si>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</si>
  <si>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</si>
  <si>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</si>
  <si>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</si>
  <si>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</si>
  <si>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</si>
  <si>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</si>
  <si>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</si>
  <si>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</si>
  <si>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</si>
  <si>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</si>
  <si>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</si>
  <si>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</si>
  <si>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</si>
  <si>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</si>
  <si>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</si>
  <si>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</si>
  <si>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</si>
  <si>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</si>
  <si>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</si>
  <si>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</si>
  <si>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</si>
  <si>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</si>
  <si>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</si>
  <si>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</si>
  <si>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</si>
  <si>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</si>
  <si>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</si>
  <si>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</si>
  <si>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</si>
  <si>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</si>
  <si>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</si>
  <si>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</si>
  <si>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</si>
  <si>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</si>
  <si>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</si>
  <si>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</si>
  <si>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</si>
  <si>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</si>
  <si>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</si>
  <si>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</si>
  <si>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</si>
  <si>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</si>
  <si>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</si>
  <si>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</si>
  <si>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</si>
  <si>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</si>
  <si>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</si>
  <si>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</si>
  <si>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</si>
  <si>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</si>
  <si>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</si>
  <si>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</si>
  <si>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</si>
  <si>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</si>
  <si>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</si>
  <si>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</si>
  <si>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</si>
  <si>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</si>
  <si>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</si>
  <si>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</si>
  <si>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</si>
  <si>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</si>
  <si>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</si>
  <si>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</si>
  <si>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</si>
  <si>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</si>
  <si>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</si>
  <si>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</si>
  <si>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</si>
  <si>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</si>
  <si>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</si>
  <si>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</si>
  <si>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</si>
  <si>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</si>
  <si>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</si>
  <si>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</si>
  <si>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</si>
  <si>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</si>
  <si>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</si>
  <si>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</si>
  <si>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</si>
  <si>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</si>
  <si>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</si>
  <si>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</si>
  <si>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</si>
  <si>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</si>
  <si>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</si>
  <si>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</si>
  <si>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</si>
  <si>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</si>
  <si>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</si>
  <si>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</si>
  <si>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</si>
  <si>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</si>
  <si>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</si>
  <si>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</si>
  <si>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</si>
  <si>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</si>
  <si>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</si>
  <si>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</si>
  <si>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</si>
  <si>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</si>
  <si>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</si>
  <si>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</si>
  <si>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</si>
  <si>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</si>
  <si>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</si>
  <si>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</si>
  <si>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</si>
  <si>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</si>
  <si>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</si>
  <si>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</si>
  <si>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</si>
  <si>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</si>
  <si>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</si>
  <si>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</si>
  <si>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</si>
  <si>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</si>
  <si>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</si>
  <si>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</si>
  <si>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</si>
  <si>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</si>
  <si>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</si>
  <si>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</si>
  <si>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</si>
  <si>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</si>
  <si>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</si>
  <si>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</si>
  <si>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</si>
  <si>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</si>
  <si>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</si>
  <si>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</si>
  <si>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</si>
  <si>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</si>
  <si>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</si>
  <si>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</si>
  <si>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</si>
  <si>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</si>
  <si>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</si>
  <si>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</si>
  <si>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</si>
  <si>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</si>
  <si>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</si>
  <si>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</si>
  <si>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</si>
  <si>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</si>
  <si>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</si>
  <si>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</si>
  <si>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</si>
  <si>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</si>
  <si>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</si>
  <si>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</si>
  <si>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</si>
  <si>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</si>
  <si>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</si>
  <si>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</si>
  <si>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</si>
  <si>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</si>
  <si>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</si>
  <si>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</si>
  <si>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</si>
  <si>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</si>
  <si>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</si>
  <si>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</si>
  <si>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</si>
  <si>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</si>
  <si>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</si>
  <si>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</si>
  <si>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</si>
  <si>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</si>
  <si>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</si>
  <si>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</si>
  <si>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</si>
  <si>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</si>
  <si>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</si>
  <si>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</si>
  <si>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</si>
  <si>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</si>
  <si>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</si>
  <si>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</si>
  <si>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</si>
  <si>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</si>
  <si>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</si>
  <si>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</si>
  <si>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</si>
  <si>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</si>
  <si>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</si>
  <si>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</si>
  <si>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</si>
  <si>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</si>
  <si>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</si>
  <si>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</si>
  <si>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</si>
  <si>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</si>
  <si>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</si>
  <si>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</si>
  <si>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</si>
  <si>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</si>
  <si>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</si>
  <si>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</si>
  <si>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</si>
  <si>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</si>
  <si>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</si>
  <si>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</si>
  <si>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</si>
  <si>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</si>
  <si>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</si>
  <si>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</si>
  <si>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</si>
  <si>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</si>
  <si>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</si>
  <si>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</si>
  <si>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</si>
  <si>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</si>
  <si>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</si>
  <si>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</si>
  <si>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</si>
  <si>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</si>
  <si>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</si>
  <si>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</si>
  <si>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</si>
  <si>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</si>
  <si>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</si>
  <si>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</si>
  <si>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</si>
  <si>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</si>
  <si>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</si>
  <si>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</si>
  <si>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</si>
  <si>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</si>
  <si>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</si>
  <si>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</si>
  <si>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</si>
  <si>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</si>
  <si>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</si>
  <si>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</si>
  <si>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</si>
  <si>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</si>
  <si>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</si>
  <si>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</si>
  <si>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</si>
  <si>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</si>
  <si>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</si>
  <si>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</si>
  <si>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</si>
  <si>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</si>
  <si>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</si>
  <si>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</si>
  <si>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</si>
  <si>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</si>
  <si>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</si>
  <si>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</si>
  <si>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</si>
  <si>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</si>
  <si>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</si>
  <si>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</si>
  <si>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</si>
  <si>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</si>
  <si>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</si>
  <si>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</si>
  <si>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</si>
  <si>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</si>
  <si>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</si>
  <si>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</si>
  <si>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</si>
  <si>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</si>
  <si>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</si>
  <si>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</si>
  <si>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</si>
  <si>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</si>
  <si>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</si>
  <si>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</si>
  <si>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</si>
  <si>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</si>
  <si>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</si>
  <si>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</si>
  <si>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</si>
  <si>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</si>
  <si>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</si>
  <si>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</si>
  <si>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</si>
  <si>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</si>
  <si>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</si>
  <si>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</si>
  <si>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</si>
  <si>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</si>
  <si>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</si>
  <si>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</si>
  <si>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</si>
  <si>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</si>
  <si>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</si>
  <si>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</si>
  <si>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</si>
  <si>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</si>
  <si>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</si>
  <si>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</si>
  <si>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</si>
  <si>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</si>
  <si>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</si>
  <si>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</si>
  <si>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</si>
  <si>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</si>
  <si>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</si>
  <si>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</si>
  <si>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</si>
  <si>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</si>
  <si>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</si>
  <si>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</si>
  <si>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</si>
  <si>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</si>
  <si>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</si>
  <si>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</si>
  <si>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</si>
  <si>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</si>
  <si>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</si>
  <si>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</si>
  <si>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</si>
  <si>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</si>
  <si>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</si>
  <si>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</si>
  <si>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</si>
  <si>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</si>
  <si>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</si>
  <si>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</si>
  <si>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</si>
  <si>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</si>
  <si>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</si>
  <si>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</si>
  <si>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</si>
  <si>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</si>
  <si>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</si>
  <si>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</si>
  <si>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</si>
  <si>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</si>
  <si>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</si>
  <si>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</si>
  <si>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</si>
  <si>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</si>
  <si>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</si>
  <si>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</si>
  <si>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</si>
  <si>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</si>
  <si>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</si>
  <si>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</si>
  <si>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</si>
  <si>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</si>
  <si>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</si>
  <si>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</si>
  <si>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</si>
  <si>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</si>
  <si>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</si>
  <si>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</si>
  <si>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</si>
  <si>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</si>
  <si>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</si>
  <si>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</si>
  <si>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</si>
  <si>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</si>
  <si>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</si>
  <si>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</si>
  <si>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</si>
  <si>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</si>
  <si>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</si>
  <si>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</si>
  <si>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</si>
  <si>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</si>
  <si>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</si>
  <si>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</si>
  <si>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</si>
  <si>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</si>
  <si>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</si>
  <si>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</si>
  <si>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</si>
  <si>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</si>
  <si>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</si>
  <si>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</si>
  <si>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</si>
  <si>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</si>
  <si>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</si>
  <si>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</si>
  <si>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</si>
  <si>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</si>
  <si>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</si>
  <si>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</si>
  <si>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</si>
  <si>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</si>
  <si>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</si>
  <si>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</si>
  <si>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</si>
  <si>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</si>
  <si>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</si>
  <si>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</si>
  <si>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</si>
  <si>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</si>
  <si>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</si>
  <si>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</si>
  <si>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</si>
  <si>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</si>
  <si>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</si>
  <si>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</si>
  <si>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</si>
  <si>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</si>
  <si>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</si>
  <si>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</si>
  <si>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</si>
  <si>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</si>
  <si>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</si>
  <si>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</si>
  <si>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</si>
  <si>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</si>
  <si>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</si>
  <si>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</si>
  <si>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</si>
  <si>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</si>
  <si>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</si>
  <si>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</si>
  <si>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</si>
  <si>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</si>
  <si>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</si>
  <si>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</si>
  <si>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</si>
  <si>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</si>
  <si>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</si>
  <si>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</si>
  <si>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</si>
  <si>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</si>
  <si>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</si>
  <si>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</si>
  <si>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</si>
  <si>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</si>
  <si>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</si>
  <si>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</si>
  <si>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</si>
  <si>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</si>
  <si>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</si>
  <si>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</si>
  <si>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</si>
  <si>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</si>
  <si>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</si>
  <si>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</si>
  <si>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</si>
  <si>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</si>
  <si>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</si>
  <si>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</si>
  <si>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</si>
  <si>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</si>
  <si>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</si>
  <si>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</si>
  <si>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</si>
  <si>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</si>
  <si>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</si>
  <si>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</si>
  <si>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</si>
  <si>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</si>
  <si>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</si>
  <si>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</si>
  <si>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</si>
  <si>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</si>
  <si>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</si>
  <si>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</si>
  <si>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</si>
  <si>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</si>
  <si>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</si>
  <si>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</si>
  <si>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</si>
  <si>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</si>
  <si>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</si>
  <si>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</si>
  <si>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</si>
  <si>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</si>
  <si>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</si>
  <si>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</si>
  <si>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</si>
  <si>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</si>
  <si>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</si>
  <si>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</si>
  <si>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</si>
  <si>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</si>
  <si>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</si>
  <si>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</si>
  <si>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</si>
  <si>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</si>
  <si>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</si>
  <si>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</si>
  <si>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</si>
  <si>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</si>
  <si>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</si>
  <si>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</si>
  <si>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</si>
  <si>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</si>
  <si>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</si>
  <si>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</si>
  <si>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</si>
  <si>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</si>
  <si>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</si>
  <si>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</si>
  <si>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</si>
  <si>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</si>
  <si>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</si>
  <si>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</si>
  <si>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</si>
  <si>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</si>
  <si>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</si>
  <si>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</si>
  <si>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</si>
  <si>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</si>
  <si>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</si>
  <si>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</si>
  <si>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</si>
  <si>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</si>
  <si>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</si>
  <si>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</si>
  <si>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</si>
  <si>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</si>
  <si>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</si>
  <si>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</si>
  <si>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</si>
  <si>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</si>
  <si>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</si>
  <si>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</si>
  <si>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</si>
  <si>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</si>
  <si>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</si>
  <si>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</si>
  <si>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</si>
  <si>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</si>
  <si>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</si>
  <si>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</si>
  <si>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</si>
  <si>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</si>
  <si>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</si>
  <si>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</si>
  <si>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</si>
  <si>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</si>
  <si>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</si>
  <si>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</si>
  <si>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</si>
  <si>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</si>
  <si>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</si>
  <si>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</si>
  <si>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</si>
  <si>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</si>
  <si>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</si>
  <si>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</si>
  <si>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</si>
  <si>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</si>
  <si>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</si>
  <si>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</si>
  <si>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</si>
  <si>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</si>
  <si>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</si>
  <si>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</si>
  <si>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</si>
  <si>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</si>
  <si>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</si>
  <si>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</si>
  <si>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</si>
  <si>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</si>
  <si>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</si>
  <si>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</si>
  <si>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</si>
  <si>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</si>
  <si>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</si>
  <si>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</si>
  <si>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</si>
  <si>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</si>
  <si>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</si>
  <si>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</si>
  <si>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</si>
  <si>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</si>
  <si>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</si>
  <si>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</si>
  <si>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</si>
  <si>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</si>
  <si>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</si>
  <si>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</si>
  <si>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</si>
  <si>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</si>
  <si>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</si>
  <si>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</si>
  <si>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</si>
  <si>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</si>
  <si>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</si>
  <si>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</si>
  <si>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</si>
  <si>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</si>
  <si>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</si>
  <si>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</si>
  <si>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</si>
  <si>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</si>
  <si>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</si>
  <si>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</si>
  <si>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</si>
  <si>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</si>
  <si>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</si>
  <si>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</si>
  <si>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</si>
  <si>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</si>
  <si>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</si>
  <si>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</si>
  <si>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</si>
  <si>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</si>
  <si>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</si>
  <si>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</si>
  <si>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</si>
  <si>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</si>
  <si>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</si>
  <si>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</si>
  <si>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</si>
  <si>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</si>
  <si>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</si>
  <si>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</si>
  <si>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</si>
  <si>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</si>
  <si>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</si>
  <si>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</si>
  <si>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</si>
  <si>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</si>
  <si>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</si>
  <si>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</si>
  <si>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</si>
  <si>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</si>
  <si>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</si>
  <si>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</si>
  <si>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</si>
  <si>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</si>
  <si>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</si>
  <si>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</si>
  <si>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</si>
  <si>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</si>
  <si>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</si>
  <si>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</si>
  <si>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</si>
  <si>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</si>
  <si>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</si>
  <si>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</si>
  <si>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</si>
  <si>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</si>
  <si>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</si>
  <si>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</si>
  <si>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</si>
  <si>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</si>
  <si>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</si>
  <si>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</si>
  <si>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</si>
  <si>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</si>
  <si>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</si>
  <si>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</si>
  <si>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</si>
  <si>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</si>
  <si>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</si>
  <si>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</si>
  <si>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</si>
  <si>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</si>
  <si>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</si>
  <si>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</si>
  <si>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</si>
  <si>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</si>
  <si>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</si>
  <si>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</si>
  <si>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</si>
  <si>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</si>
  <si>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</si>
  <si>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</si>
  <si>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</si>
  <si>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</si>
  <si>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</si>
  <si>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</si>
  <si>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</si>
  <si>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</si>
  <si>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</si>
  <si>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</si>
  <si>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</si>
  <si>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</si>
  <si>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</si>
  <si>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</si>
  <si>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</si>
  <si>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</si>
  <si>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</si>
  <si>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</si>
  <si>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</si>
  <si>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</si>
  <si>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</si>
  <si>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</si>
  <si>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</si>
  <si>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</si>
  <si>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</si>
  <si>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</si>
  <si>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</si>
  <si>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</si>
  <si>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</si>
  <si>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</si>
  <si>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</si>
  <si>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</si>
  <si>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</si>
  <si>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</si>
  <si>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</si>
  <si>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</si>
  <si>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</si>
  <si>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</si>
  <si>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</si>
  <si>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</si>
  <si>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</si>
  <si>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</si>
  <si>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</si>
  <si>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</si>
  <si>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</si>
  <si>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</si>
  <si>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</si>
  <si>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</si>
  <si>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</si>
  <si>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</si>
  <si>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</si>
  <si>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</si>
  <si>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</si>
  <si>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</si>
  <si>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</si>
  <si>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</si>
  <si>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</si>
  <si>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</si>
  <si>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</si>
  <si>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</si>
  <si>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</si>
  <si>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</si>
  <si>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</si>
  <si>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</si>
  <si>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</si>
  <si>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</si>
  <si>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</si>
  <si>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</si>
  <si>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</si>
  <si>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</si>
  <si>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</si>
  <si>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</si>
  <si>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</si>
  <si>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</si>
  <si>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</si>
  <si>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</si>
  <si>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</si>
  <si>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</si>
  <si>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</si>
  <si>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</si>
  <si>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</si>
  <si>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</si>
  <si>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</si>
  <si>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</si>
  <si>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</si>
  <si>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</si>
  <si>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</si>
  <si>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</si>
  <si>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</si>
  <si>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</si>
  <si>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</si>
  <si>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</si>
  <si>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</si>
  <si>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</si>
  <si>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</si>
  <si>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</si>
  <si>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</si>
  <si>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</si>
  <si>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</si>
  <si>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</si>
  <si>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</si>
  <si>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</si>
  <si>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</si>
  <si>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</si>
  <si>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</si>
  <si>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</si>
  <si>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</si>
  <si>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</si>
  <si>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</si>
  <si>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</si>
  <si>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</si>
  <si>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</si>
  <si>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</si>
  <si>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</si>
  <si>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</si>
  <si>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</si>
  <si>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</si>
  <si>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</si>
  <si>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</si>
  <si>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</si>
  <si>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</si>
  <si>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</si>
  <si>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</si>
  <si>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</si>
  <si>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</si>
  <si>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</si>
  <si>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</si>
  <si>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</si>
  <si>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</si>
  <si>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</si>
  <si>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</si>
  <si>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</si>
  <si>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</si>
  <si>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</si>
  <si>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</si>
  <si>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</si>
  <si>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</si>
  <si>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</si>
  <si>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</si>
  <si>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</si>
  <si>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</si>
  <si>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</si>
  <si>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</si>
  <si>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</si>
  <si>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</si>
  <si>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</si>
  <si>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</si>
  <si>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</si>
  <si>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</si>
  <si>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</si>
  <si>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</si>
  <si>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</si>
  <si>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</si>
  <si>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</si>
  <si>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</si>
  <si>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</si>
  <si>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</si>
  <si>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</si>
  <si>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</si>
  <si>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</si>
  <si>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</si>
  <si>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</si>
  <si>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</si>
  <si>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</si>
  <si>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</si>
  <si>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</si>
  <si>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</si>
  <si>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</si>
  <si>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</si>
  <si>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</si>
  <si>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</si>
  <si>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</si>
  <si>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</si>
  <si>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</si>
  <si>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</si>
  <si>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</si>
  <si>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</si>
  <si>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</si>
  <si>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</si>
  <si>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</si>
  <si>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</si>
  <si>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</si>
  <si>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</si>
  <si>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</si>
  <si>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</si>
  <si>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</si>
  <si>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</si>
  <si>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</si>
  <si>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</si>
  <si>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</si>
  <si>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</si>
  <si>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</si>
  <si>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</si>
  <si>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</si>
  <si>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</si>
  <si>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</si>
  <si>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</si>
  <si>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</si>
  <si>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</si>
  <si>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</si>
  <si>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</si>
  <si>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</si>
  <si>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</si>
  <si>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</si>
  <si>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</si>
  <si>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</si>
  <si>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</si>
  <si>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</si>
  <si>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</si>
  <si>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</si>
  <si>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</si>
  <si>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</si>
  <si>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</si>
  <si>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</si>
  <si>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</si>
  <si>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</si>
  <si>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</si>
  <si>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</si>
  <si>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</si>
  <si>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</si>
  <si>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</si>
  <si>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</si>
  <si>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</si>
  <si>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</si>
  <si>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</si>
  <si>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</si>
  <si>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</si>
  <si>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</si>
  <si>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</si>
  <si>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</si>
  <si>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</si>
  <si>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</si>
  <si>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</si>
  <si>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</si>
  <si>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</si>
  <si>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</si>
  <si>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</si>
  <si>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</si>
  <si>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</si>
  <si>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</si>
  <si>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</si>
  <si>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</si>
  <si>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</si>
  <si>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</si>
  <si>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</si>
  <si>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</si>
  <si>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</si>
  <si>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</si>
  <si>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</si>
  <si>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</si>
  <si>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</si>
  <si>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</si>
  <si>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</si>
  <si>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</si>
  <si>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</si>
  <si>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</si>
  <si>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</si>
  <si>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</si>
  <si>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</si>
  <si>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</si>
  <si>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</si>
  <si>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</si>
  <si>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</si>
  <si>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</si>
  <si>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</si>
  <si>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</si>
  <si>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</si>
  <si>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</si>
  <si>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</si>
  <si>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</si>
  <si>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</si>
  <si>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</si>
  <si>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</si>
  <si>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</si>
  <si>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</si>
  <si>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</si>
  <si>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</si>
  <si>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</si>
  <si>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</si>
  <si>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</si>
  <si>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</si>
  <si>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</si>
  <si>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</si>
  <si>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</si>
  <si>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</si>
  <si>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</si>
  <si>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</si>
  <si>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</si>
  <si>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</si>
  <si>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</si>
  <si>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</si>
  <si>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</si>
  <si>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</si>
  <si>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</si>
  <si>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</si>
  <si>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</si>
  <si>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</si>
  <si>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</si>
  <si>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</si>
  <si>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</si>
  <si>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</si>
  <si>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</si>
  <si>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</si>
  <si>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</si>
  <si>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</si>
  <si>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</si>
  <si>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</si>
  <si>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</si>
  <si>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</si>
  <si>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</si>
  <si>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</si>
  <si>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</si>
  <si>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</si>
  <si>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</si>
  <si>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</si>
  <si>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</si>
  <si>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</si>
  <si>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</si>
  <si>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</si>
  <si>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</si>
  <si>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</si>
  <si>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</si>
  <si>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</si>
  <si>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</si>
  <si>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</si>
  <si>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</si>
  <si>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</si>
  <si>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</si>
  <si>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</si>
  <si>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</si>
  <si>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</si>
  <si>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</si>
  <si>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</si>
  <si>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</si>
  <si>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</si>
  <si>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</si>
  <si>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</si>
  <si>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</si>
  <si>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</si>
  <si>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</si>
  <si>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</si>
  <si>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</si>
  <si>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</si>
  <si>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</si>
  <si>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</si>
  <si>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</si>
  <si>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</si>
  <si>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</si>
  <si>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</si>
  <si>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</si>
  <si>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</si>
  <si>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</si>
  <si>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</si>
  <si>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</si>
  <si>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</si>
  <si>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</si>
  <si>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</si>
  <si>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</si>
  <si>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</si>
  <si>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</si>
  <si>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</si>
  <si>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</si>
  <si>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</si>
  <si>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</si>
  <si>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</si>
  <si>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</si>
  <si>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</si>
  <si>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</si>
  <si>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</si>
  <si>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</si>
  <si>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</si>
  <si>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</si>
  <si>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</si>
  <si>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</si>
  <si>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</si>
  <si>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</si>
  <si>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</si>
  <si>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</si>
  <si>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</si>
  <si>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</si>
  <si>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</si>
  <si>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</si>
  <si>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</si>
  <si>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</si>
  <si>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</si>
  <si>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</si>
  <si>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</si>
  <si>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</si>
  <si>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</si>
  <si>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</si>
  <si>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</si>
  <si>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</si>
  <si>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</si>
  <si>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</si>
  <si>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</si>
  <si>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</si>
  <si>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</si>
  <si>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</si>
  <si>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</si>
  <si>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</si>
  <si>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</si>
  <si>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</si>
  <si>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</si>
  <si>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</si>
  <si>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</si>
  <si>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</si>
  <si>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</si>
  <si>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</si>
  <si>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</si>
  <si>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</si>
  <si>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</si>
  <si>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</si>
  <si>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</si>
  <si>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</si>
  <si>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</si>
  <si>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</si>
  <si>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</si>
  <si>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</si>
  <si>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</si>
  <si>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</si>
  <si>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</si>
  <si>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</si>
  <si>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</si>
  <si>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</si>
  <si>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</si>
  <si>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</si>
  <si>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</si>
  <si>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</si>
  <si>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</si>
  <si>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</si>
  <si>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</si>
  <si>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</si>
  <si>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</si>
  <si>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</si>
  <si>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</si>
  <si>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</si>
  <si>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</si>
  <si>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</si>
  <si>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</si>
  <si>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</si>
  <si>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</si>
  <si>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</si>
  <si>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</si>
  <si>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</si>
  <si>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</si>
  <si>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</si>
  <si>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</si>
  <si>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</si>
  <si>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</si>
  <si>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</si>
  <si>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</si>
  <si>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</si>
  <si>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</si>
  <si>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</si>
  <si>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</si>
  <si>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</si>
  <si>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</si>
  <si>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</si>
  <si>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</si>
  <si>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</si>
  <si>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</si>
  <si>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</si>
  <si>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</si>
  <si>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</si>
  <si>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</si>
  <si>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</si>
  <si>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</si>
  <si>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</si>
  <si>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</si>
  <si>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</si>
  <si>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</si>
  <si>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</si>
  <si>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</si>
  <si>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</si>
  <si>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</si>
  <si>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</si>
  <si>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</si>
  <si>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</si>
  <si>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</si>
  <si>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</si>
  <si>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</si>
  <si>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</si>
  <si>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</si>
  <si>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</si>
  <si>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</si>
  <si>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</si>
  <si>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</si>
  <si>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</si>
  <si>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</si>
  <si>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</si>
  <si>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</si>
  <si>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</si>
  <si>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</si>
  <si>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</si>
  <si>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</si>
  <si>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</si>
  <si>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</si>
  <si>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</si>
  <si>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</si>
  <si>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</si>
  <si>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</si>
  <si>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</si>
  <si>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</si>
  <si>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</si>
  <si>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</si>
  <si>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</si>
  <si>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</si>
  <si>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</si>
  <si>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</si>
  <si>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</si>
  <si>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</si>
  <si>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</si>
  <si>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</si>
  <si>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</si>
  <si>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</si>
  <si>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</si>
  <si>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</si>
  <si>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</si>
  <si>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</si>
  <si>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</si>
  <si>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</si>
  <si>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</si>
  <si>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</si>
  <si>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</si>
  <si>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</si>
  <si>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</si>
  <si>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</si>
  <si>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</si>
  <si>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</si>
  <si>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</si>
  <si>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</si>
  <si>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</si>
  <si>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</si>
  <si>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</si>
  <si>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</si>
  <si>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</si>
  <si>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</si>
  <si>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</si>
  <si>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</si>
  <si>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</si>
  <si>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</si>
  <si>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</si>
  <si>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</si>
  <si>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</si>
  <si>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</si>
  <si>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</si>
  <si>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</si>
  <si>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</si>
  <si>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</si>
  <si>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</si>
  <si>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</si>
  <si>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</si>
  <si>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</si>
  <si>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</si>
  <si>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</si>
  <si>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</si>
  <si>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</si>
  <si>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</si>
  <si>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</si>
  <si>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</si>
  <si>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</si>
  <si>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</si>
  <si>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</si>
  <si>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</si>
  <si>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</si>
  <si>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</si>
  <si>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</si>
  <si>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</si>
  <si>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</si>
  <si>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</si>
  <si>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</si>
  <si>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</si>
  <si>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</si>
  <si>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</si>
  <si>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</si>
  <si>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</si>
  <si>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</si>
  <si>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</si>
  <si>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</si>
  <si>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</si>
  <si>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</si>
  <si>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</si>
  <si>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</si>
  <si>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</si>
  <si>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</si>
  <si>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</si>
  <si>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</si>
  <si>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</si>
  <si>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</si>
  <si>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</si>
  <si>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</si>
  <si>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</si>
  <si>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</si>
  <si>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</si>
  <si>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</si>
  <si>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</si>
  <si>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</si>
  <si>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</si>
  <si>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</si>
  <si>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</si>
  <si>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</si>
  <si>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</si>
  <si>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</si>
  <si>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</si>
  <si>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</si>
  <si>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</si>
  <si>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</si>
  <si>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</si>
  <si>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</si>
  <si>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</si>
  <si>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</si>
  <si>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</si>
  <si>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</si>
  <si>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</si>
  <si>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</si>
  <si>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</si>
  <si>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</si>
  <si>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</si>
  <si>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</si>
  <si>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</si>
  <si>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</si>
  <si>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</si>
  <si>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</si>
  <si>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</si>
  <si>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</si>
  <si>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</si>
  <si>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</si>
  <si>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</si>
  <si>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</si>
  <si>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</si>
  <si>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</si>
  <si>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</si>
  <si>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</si>
  <si>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</si>
  <si>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</si>
  <si>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</si>
  <si>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</si>
  <si>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</si>
  <si>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</si>
  <si>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</si>
  <si>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</si>
  <si>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</si>
  <si>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</si>
  <si>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</si>
  <si>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</si>
  <si>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</si>
  <si>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</si>
  <si>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</si>
  <si>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</si>
  <si>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</si>
  <si>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</si>
  <si>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</si>
  <si>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</si>
  <si>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</si>
  <si>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</si>
  <si>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</si>
  <si>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</si>
  <si>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</si>
  <si>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</si>
  <si>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</si>
  <si>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</si>
  <si>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</si>
  <si>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</si>
  <si>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</si>
  <si>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</si>
  <si>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</si>
  <si>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</si>
  <si>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</si>
  <si>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</si>
  <si>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</si>
  <si>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</si>
  <si>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</si>
  <si>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</si>
  <si>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</si>
  <si>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</si>
  <si>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</si>
  <si>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</si>
  <si>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</si>
  <si>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</si>
  <si>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</si>
  <si>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</si>
  <si>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</si>
  <si>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</si>
  <si>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</si>
  <si>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</si>
  <si>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</si>
  <si>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</si>
  <si>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</si>
  <si>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</si>
  <si>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</si>
  <si>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</si>
  <si>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</si>
  <si>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</si>
  <si>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</si>
  <si>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</si>
  <si>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</si>
  <si>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</si>
  <si>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</si>
  <si>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</si>
  <si>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</si>
  <si>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</si>
  <si>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</si>
  <si>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</si>
  <si>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</si>
  <si>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</si>
  <si>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</si>
  <si>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</si>
  <si>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</si>
  <si>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</si>
  <si>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</si>
  <si>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</si>
  <si>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</si>
  <si>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</si>
  <si>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</si>
  <si>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</si>
  <si>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</si>
  <si>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</si>
  <si>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</si>
  <si>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</si>
  <si>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</si>
  <si>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</si>
  <si>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</si>
  <si>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</si>
  <si>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</si>
  <si>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</si>
  <si>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</si>
  <si>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</si>
  <si>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</si>
  <si>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</si>
  <si>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</si>
  <si>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</si>
  <si>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</si>
  <si>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</si>
  <si>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</si>
  <si>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</si>
  <si>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</si>
  <si>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</si>
  <si>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</si>
  <si>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</si>
  <si>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</si>
  <si>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</si>
  <si>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</si>
  <si>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</si>
  <si>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</si>
  <si>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</si>
  <si>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</si>
  <si>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</si>
  <si>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</si>
  <si>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</si>
  <si>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</si>
  <si>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</si>
  <si>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</si>
  <si>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</si>
  <si>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</si>
  <si>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</si>
  <si>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</si>
  <si>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</si>
  <si>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</si>
  <si>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</si>
  <si>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</si>
  <si>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</si>
  <si>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</si>
  <si>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</si>
  <si>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</si>
  <si>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</si>
  <si>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</si>
  <si>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</si>
  <si>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</si>
  <si>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</si>
  <si>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</si>
  <si>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</si>
  <si>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</si>
  <si>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</si>
  <si>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</si>
  <si>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</si>
  <si>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</si>
  <si>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</si>
  <si>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</si>
  <si>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</si>
  <si>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</si>
  <si>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</si>
  <si>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</si>
  <si>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</si>
  <si>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</si>
  <si>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</si>
  <si>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</si>
  <si>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</si>
  <si>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</si>
  <si>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</si>
  <si>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</si>
  <si>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</si>
  <si>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</si>
  <si>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</si>
  <si>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</si>
  <si>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</si>
  <si>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</si>
  <si>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</si>
  <si>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</si>
  <si>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</si>
  <si>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</si>
  <si>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</si>
  <si>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</si>
  <si>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</si>
  <si>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</si>
  <si>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</si>
  <si>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</si>
  <si>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</si>
  <si>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</si>
  <si>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</si>
  <si>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</si>
  <si>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</si>
  <si>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</si>
  <si>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</si>
  <si>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</si>
  <si>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</si>
  <si>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</si>
  <si>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</si>
  <si>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</si>
  <si>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</si>
  <si>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</si>
  <si>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</si>
  <si>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</si>
  <si>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</si>
  <si>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</si>
  <si>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</si>
  <si>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</si>
  <si>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</si>
  <si>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</si>
  <si>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</si>
  <si>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</si>
  <si>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</si>
  <si>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</si>
  <si>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</si>
  <si>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</si>
  <si>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</si>
  <si>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</si>
  <si>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</si>
  <si>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</si>
  <si>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</si>
  <si>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</si>
  <si>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</si>
  <si>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</si>
  <si>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</si>
  <si>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</si>
  <si>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</si>
  <si>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</si>
  <si>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</si>
  <si>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</si>
  <si>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</si>
  <si>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</si>
  <si>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</si>
  <si>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</si>
  <si>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</si>
  <si>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</si>
  <si>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</si>
  <si>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</si>
  <si>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</si>
  <si>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</si>
  <si>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</si>
  <si>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</si>
  <si>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</si>
  <si>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</si>
  <si>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</si>
  <si>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</si>
  <si>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</si>
  <si>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</si>
  <si>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</si>
  <si>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</si>
  <si>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</si>
  <si>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</si>
  <si>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</si>
  <si>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</si>
  <si>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</si>
  <si>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</si>
  <si>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</si>
  <si>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</si>
  <si>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</si>
  <si>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</si>
  <si>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</si>
  <si>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</si>
  <si>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</si>
  <si>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</si>
  <si>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</si>
  <si>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</si>
  <si>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</si>
  <si>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</si>
  <si>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</si>
  <si>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</si>
  <si>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</si>
  <si>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</si>
  <si>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</si>
  <si>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</si>
  <si>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</si>
  <si>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</si>
  <si>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</si>
  <si>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</si>
  <si>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</si>
  <si>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</si>
  <si>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</si>
  <si>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</si>
  <si>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</si>
  <si>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</si>
  <si>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</si>
  <si>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</si>
  <si>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</si>
  <si>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</si>
  <si>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</si>
  <si>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</si>
  <si>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</si>
  <si>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</si>
  <si>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</si>
  <si>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</si>
  <si>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</si>
  <si>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</si>
  <si>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</si>
  <si>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</si>
  <si>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</si>
  <si>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</si>
  <si>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</si>
  <si>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</si>
  <si>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</si>
  <si>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</si>
  <si>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</si>
  <si>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</si>
  <si>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</si>
  <si>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</si>
  <si>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</si>
  <si>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</si>
  <si>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</si>
  <si>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</si>
  <si>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</si>
  <si>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</si>
  <si>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</si>
  <si>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</si>
  <si>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</si>
  <si>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</si>
  <si>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</si>
  <si>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</si>
  <si>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</si>
  <si>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</si>
  <si>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</si>
  <si>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</si>
  <si>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</si>
  <si>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</si>
  <si>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</si>
  <si>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</si>
  <si>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</si>
  <si>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</si>
  <si>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</si>
  <si>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</si>
  <si>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</si>
  <si>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</si>
  <si>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</si>
  <si>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</si>
  <si>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</si>
  <si>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</si>
  <si>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</si>
  <si>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</si>
  <si>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</si>
  <si>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</si>
  <si>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</si>
  <si>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</si>
  <si>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</si>
  <si>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</si>
  <si>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</si>
  <si>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</si>
  <si>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</si>
  <si>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</si>
  <si>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</si>
  <si>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</si>
  <si>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</si>
  <si>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</si>
  <si>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</si>
  <si>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</si>
  <si>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</si>
  <si>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</si>
  <si>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</si>
  <si>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</si>
  <si>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</si>
  <si>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</si>
  <si>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</si>
  <si>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</si>
  <si>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</si>
  <si>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</si>
  <si>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</si>
  <si>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</si>
  <si>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</si>
  <si>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</si>
  <si>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</si>
  <si>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</si>
  <si>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</si>
  <si>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</si>
  <si>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</si>
  <si>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</si>
  <si>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</si>
  <si>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</si>
  <si>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</si>
  <si>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</si>
  <si>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</si>
  <si>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</si>
  <si>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</si>
  <si>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</si>
  <si>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</si>
  <si>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</si>
  <si>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</si>
  <si>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</si>
  <si>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</si>
  <si>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</si>
  <si>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</si>
  <si>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</si>
  <si>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</si>
  <si>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</si>
  <si>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</si>
  <si>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</si>
  <si>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</si>
  <si>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</si>
  <si>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</si>
  <si>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</si>
  <si>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</si>
  <si>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</si>
  <si>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</si>
  <si>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</si>
  <si>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</si>
  <si>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</si>
  <si>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</si>
  <si>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</si>
  <si>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</si>
  <si>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</si>
  <si>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</si>
  <si>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</si>
  <si>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</si>
  <si>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</si>
  <si>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</si>
  <si>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</si>
  <si>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</si>
  <si>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</si>
  <si>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</si>
  <si>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</si>
  <si>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</si>
  <si>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</si>
  <si>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</si>
  <si>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</si>
  <si>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</si>
  <si>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</si>
  <si>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</si>
  <si>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</si>
  <si>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</si>
  <si>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</si>
  <si>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</si>
  <si>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</si>
  <si>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</si>
  <si>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</si>
  <si>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</si>
  <si>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</si>
  <si>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</si>
  <si>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</si>
  <si>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</si>
  <si>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</si>
  <si>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</si>
  <si>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</si>
  <si>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</si>
  <si>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</si>
  <si>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</si>
  <si>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</si>
  <si>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</si>
  <si>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</si>
  <si>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</si>
  <si>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</si>
  <si>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</si>
  <si>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</si>
  <si>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</si>
  <si>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</si>
  <si>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</si>
  <si>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</si>
  <si>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</si>
  <si>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</si>
  <si>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</si>
  <si>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</si>
  <si>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</si>
  <si>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</si>
  <si>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</si>
  <si>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</si>
  <si>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</si>
  <si>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</si>
  <si>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</si>
  <si>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</si>
  <si>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</si>
  <si>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</si>
  <si>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</si>
  <si>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</si>
  <si>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</si>
  <si>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</si>
  <si>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</si>
  <si>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</si>
  <si>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</si>
  <si>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</si>
  <si>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</si>
  <si>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</si>
  <si>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</si>
  <si>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</si>
  <si>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</si>
  <si>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</si>
  <si>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</si>
  <si>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</si>
  <si>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</si>
  <si>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</si>
  <si>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</si>
  <si>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</si>
  <si>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</si>
  <si>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</si>
  <si>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</si>
  <si>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</si>
  <si>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</si>
  <si>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</si>
  <si>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</si>
  <si>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</si>
  <si>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</si>
  <si>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</si>
  <si>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</si>
  <si>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</si>
  <si>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</si>
  <si>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</si>
  <si>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</si>
  <si>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</si>
  <si>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</si>
  <si>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</si>
  <si>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</si>
  <si>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</si>
  <si>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</si>
  <si>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</si>
  <si>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</si>
  <si>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</si>
  <si>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</si>
  <si>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</si>
  <si>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</si>
  <si>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</si>
  <si>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</si>
  <si>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</si>
  <si>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</si>
  <si>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</si>
  <si>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</si>
  <si>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</si>
  <si>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</si>
  <si>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</si>
  <si>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</si>
  <si>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</si>
  <si>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</si>
  <si>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</si>
  <si>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</si>
  <si>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</si>
  <si>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</si>
  <si>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</si>
  <si>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</si>
  <si>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</si>
  <si>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</si>
  <si>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</si>
  <si>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</si>
  <si>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</si>
  <si>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</si>
  <si>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</si>
  <si>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</si>
  <si>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</si>
  <si>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</si>
  <si>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</si>
  <si>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</si>
  <si>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</si>
  <si>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</si>
  <si>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</si>
  <si>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</si>
  <si>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</si>
  <si>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</si>
  <si>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</si>
  <si>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</si>
  <si>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</si>
  <si>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</si>
  <si>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</si>
  <si>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</si>
  <si>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</si>
  <si>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</si>
  <si>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</si>
  <si>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</si>
  <si>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</si>
  <si>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</si>
  <si>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</si>
  <si>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</si>
  <si>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</si>
  <si>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</si>
  <si>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</si>
  <si>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</si>
  <si>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</si>
  <si>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</si>
  <si>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</si>
  <si>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</si>
  <si>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</si>
  <si>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</si>
  <si>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</si>
  <si>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</si>
  <si>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</si>
  <si>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</si>
  <si>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</si>
  <si>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</si>
  <si>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</si>
  <si>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</si>
  <si>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</si>
  <si>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</si>
  <si>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</si>
  <si>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</si>
  <si>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</si>
  <si>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</si>
  <si>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</si>
  <si>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</si>
  <si>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</si>
  <si>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</si>
  <si>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</si>
  <si>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</si>
  <si>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</si>
  <si>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</si>
  <si>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</si>
  <si>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</si>
  <si>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</si>
  <si>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</si>
  <si>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</si>
  <si>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</si>
  <si>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</si>
  <si>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</si>
  <si>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</si>
  <si>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</si>
  <si>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</si>
  <si>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</si>
  <si>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</si>
  <si>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</si>
  <si>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</si>
  <si>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</si>
  <si>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</si>
  <si>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</si>
  <si>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</si>
  <si>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</si>
  <si>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</si>
  <si>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</si>
  <si>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</si>
  <si>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</si>
  <si>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</si>
  <si>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</si>
  <si>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</si>
  <si>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</si>
  <si>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</si>
  <si>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</si>
  <si>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</si>
  <si>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</si>
  <si>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</si>
  <si>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</si>
  <si>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</si>
  <si>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</si>
  <si>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</si>
  <si>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</si>
  <si>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</si>
  <si>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</si>
  <si>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</si>
  <si>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</si>
  <si>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</si>
  <si>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</si>
  <si>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</si>
  <si>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</si>
  <si>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</si>
  <si>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</si>
  <si>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</si>
  <si>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</si>
  <si>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</si>
  <si>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</si>
  <si>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</si>
  <si>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</si>
  <si>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</si>
  <si>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</si>
  <si>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</si>
  <si>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</si>
  <si>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</si>
  <si>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</si>
  <si>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</si>
  <si>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</si>
  <si>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</si>
  <si>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</si>
  <si>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</si>
  <si>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</si>
  <si>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</si>
  <si>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</si>
  <si>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</si>
  <si>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</si>
  <si>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</si>
  <si>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</si>
  <si>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</si>
  <si>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</si>
  <si>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</si>
  <si>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</si>
  <si>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</si>
  <si>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</si>
  <si>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</si>
  <si>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</si>
  <si>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</si>
  <si>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</si>
  <si>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</si>
  <si>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</si>
  <si>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</si>
  <si>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</si>
  <si>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</si>
  <si>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</si>
  <si>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</si>
  <si>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</si>
  <si>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</si>
  <si>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</si>
  <si>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</si>
  <si>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</si>
  <si>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</si>
  <si>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</si>
  <si>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</si>
  <si>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</si>
  <si>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</si>
  <si>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</si>
  <si>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</si>
  <si>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</si>
  <si>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</si>
  <si>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</si>
  <si>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</si>
  <si>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</si>
  <si>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</si>
  <si>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</si>
  <si>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</si>
  <si>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</si>
  <si>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</si>
  <si>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</si>
  <si>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</si>
  <si>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</si>
  <si>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</si>
  <si>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</si>
  <si>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</si>
  <si>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</si>
  <si>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</si>
  <si>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</si>
  <si>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</si>
  <si>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</si>
  <si>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</si>
  <si>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</si>
  <si>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</si>
  <si>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</si>
  <si>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</si>
  <si>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</si>
  <si>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</si>
  <si>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</si>
  <si>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</si>
  <si>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</si>
  <si>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</si>
  <si>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</si>
  <si>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</si>
  <si>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</si>
  <si>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</si>
  <si>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</si>
  <si>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</si>
  <si>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</si>
  <si>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</si>
  <si>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</si>
  <si>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</si>
  <si>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</si>
  <si>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</si>
  <si>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</si>
  <si>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</si>
  <si>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</si>
  <si>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</si>
  <si>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</si>
  <si>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</si>
  <si>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</si>
  <si>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</si>
  <si>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</si>
  <si>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</si>
  <si>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</si>
  <si>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</si>
  <si>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</si>
  <si>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</si>
  <si>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</si>
  <si>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</si>
  <si>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</si>
  <si>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</si>
  <si>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</si>
  <si>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</si>
  <si>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</si>
  <si>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</si>
  <si>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</si>
  <si>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</si>
  <si>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</si>
  <si>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</si>
  <si>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</si>
  <si>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</si>
  <si>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</si>
  <si>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</si>
  <si>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</si>
  <si>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</si>
  <si>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</si>
  <si>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</si>
  <si>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</si>
  <si>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</si>
  <si>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</si>
  <si>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</si>
  <si>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</si>
  <si>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</si>
  <si>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</si>
  <si>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</si>
  <si>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</si>
  <si>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</si>
  <si>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</si>
  <si>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</si>
  <si>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</si>
  <si>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</si>
  <si>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</si>
  <si>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</si>
  <si>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</si>
  <si>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</si>
  <si>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</si>
  <si>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</si>
  <si>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</si>
  <si>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</si>
  <si>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</si>
  <si>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</si>
  <si>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</si>
  <si>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</si>
  <si>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</si>
  <si>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</si>
  <si>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</si>
  <si>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</si>
  <si>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</si>
  <si>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</si>
  <si>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</si>
  <si>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</si>
  <si>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</si>
  <si>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</si>
  <si>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</si>
  <si>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</si>
  <si>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</si>
  <si>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</si>
  <si>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</si>
  <si>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</si>
  <si>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</si>
  <si>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</si>
  <si>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</si>
  <si>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</si>
  <si>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</si>
  <si>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</si>
  <si>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</si>
  <si>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</si>
  <si>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</si>
  <si>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</si>
  <si>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</si>
  <si>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</si>
  <si>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</si>
  <si>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</si>
  <si>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</si>
  <si>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</si>
  <si>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</si>
  <si>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</si>
  <si>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</si>
  <si>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</si>
  <si>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</si>
  <si>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</si>
  <si>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</si>
  <si>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</si>
  <si>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</si>
  <si>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</si>
  <si>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</si>
  <si>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</si>
  <si>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</si>
  <si>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</si>
  <si>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</si>
  <si>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</si>
  <si>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</si>
  <si>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</si>
  <si>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</si>
  <si>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</si>
  <si>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</si>
  <si>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</si>
  <si>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</si>
  <si>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</si>
  <si>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</si>
  <si>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</si>
  <si>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</si>
  <si>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</si>
  <si>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</si>
  <si>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</si>
  <si>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</si>
  <si>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</si>
  <si>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</si>
  <si>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</si>
  <si>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</si>
  <si>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</si>
  <si>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</si>
  <si>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</si>
  <si>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</si>
  <si>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</si>
  <si>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</si>
  <si>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</si>
  <si>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</si>
  <si>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</si>
  <si>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</si>
  <si>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</si>
  <si>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</si>
  <si>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</si>
  <si>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</si>
  <si>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</si>
  <si>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</si>
  <si>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</si>
  <si>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</si>
  <si>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</si>
  <si>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</si>
  <si>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</si>
  <si>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</si>
  <si>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</si>
  <si>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</si>
  <si>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</si>
  <si>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</si>
  <si>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</si>
  <si>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</si>
  <si>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</si>
  <si>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</si>
  <si>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</si>
  <si>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</si>
  <si>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</si>
  <si>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</si>
  <si>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</si>
  <si>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</si>
  <si>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</si>
  <si>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</si>
  <si>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</si>
  <si>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</si>
  <si>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</si>
  <si>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</si>
  <si>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</si>
  <si>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</si>
  <si>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</si>
  <si>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</si>
  <si>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</si>
  <si>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</si>
  <si>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</si>
  <si>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</si>
  <si>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</si>
  <si>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</si>
  <si>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</si>
  <si>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</si>
  <si>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</si>
  <si>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</si>
  <si>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</si>
  <si>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</si>
  <si>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</si>
  <si>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</si>
  <si>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</si>
  <si>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</si>
  <si>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</si>
  <si>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</si>
  <si>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</si>
  <si>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</si>
  <si>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</si>
  <si>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</si>
  <si>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</si>
  <si>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</si>
  <si>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</si>
  <si>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</si>
  <si>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</si>
  <si>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</si>
  <si>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</si>
  <si>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</si>
  <si>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</si>
  <si>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</si>
  <si>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</si>
  <si>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</si>
  <si>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</si>
  <si>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</si>
  <si>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</si>
  <si>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</si>
  <si>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</si>
  <si>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</si>
  <si>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</si>
  <si>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</si>
  <si>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</si>
  <si>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</si>
  <si>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</si>
  <si>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</si>
  <si>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</si>
  <si>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</si>
  <si>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</si>
  <si>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</si>
  <si>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</si>
  <si>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</si>
  <si>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</si>
  <si>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</si>
  <si>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</si>
  <si>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</si>
  <si>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</si>
  <si>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</si>
  <si>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</si>
  <si>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</si>
  <si>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</si>
  <si>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</si>
  <si>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</si>
  <si>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</si>
  <si>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</si>
  <si>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</si>
  <si>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</si>
  <si>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</si>
  <si>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</si>
  <si>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</si>
  <si>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</si>
  <si>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</si>
  <si>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</si>
  <si>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</si>
  <si>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</si>
  <si>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</si>
  <si>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</si>
  <si>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</si>
  <si>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</si>
  <si>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</si>
  <si>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</si>
  <si>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</si>
  <si>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</si>
  <si>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</si>
  <si>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</si>
  <si>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</si>
  <si>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</si>
  <si>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</si>
  <si>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</si>
  <si>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</si>
  <si>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</si>
  <si>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</si>
  <si>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</si>
  <si>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</si>
  <si>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</si>
  <si>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</si>
  <si>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</si>
  <si>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</si>
  <si>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</si>
  <si>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</si>
  <si>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</si>
  <si>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</si>
  <si>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</si>
  <si>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</si>
  <si>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</si>
  <si>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</si>
  <si>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</si>
  <si>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</si>
  <si>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</si>
  <si>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</si>
  <si>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</si>
  <si>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</si>
  <si>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</si>
  <si>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</si>
  <si>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</si>
  <si>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</si>
  <si>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</si>
  <si>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</si>
  <si>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</si>
  <si>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</si>
  <si>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</si>
  <si>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</si>
  <si>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</si>
  <si>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</si>
  <si>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</si>
  <si>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</si>
  <si>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</si>
  <si>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</si>
  <si>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</si>
  <si>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</si>
  <si>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</si>
  <si>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</si>
  <si>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</si>
  <si>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</si>
  <si>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</si>
  <si>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</si>
  <si>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</si>
  <si>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</si>
  <si>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</si>
  <si>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</si>
  <si>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</si>
  <si>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</si>
  <si>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</si>
  <si>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</si>
  <si>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</si>
  <si>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</si>
  <si>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</si>
  <si>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</si>
  <si>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</si>
  <si>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</si>
  <si>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</si>
  <si>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</si>
  <si>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</si>
  <si>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</si>
  <si>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</si>
  <si>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</si>
  <si>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</si>
  <si>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</si>
  <si>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</si>
  <si>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</si>
  <si>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</si>
  <si>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</si>
  <si>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</si>
  <si>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</si>
  <si>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</si>
  <si>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</si>
  <si>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</si>
  <si>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</si>
  <si>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</si>
  <si>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</si>
  <si>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</si>
  <si>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</si>
  <si>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</si>
  <si>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</si>
  <si>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</si>
  <si>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</si>
  <si>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</si>
  <si>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</si>
  <si>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</si>
  <si>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</si>
  <si>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</si>
  <si>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</si>
  <si>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</si>
  <si>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</si>
  <si>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</si>
  <si>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</si>
  <si>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</si>
  <si>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</si>
  <si>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</si>
  <si>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</si>
  <si>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</si>
  <si>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</si>
  <si>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</si>
  <si>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</si>
  <si>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</si>
  <si>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</si>
  <si>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</si>
  <si>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</si>
  <si>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</si>
  <si>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</si>
  <si>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</si>
  <si>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</si>
  <si>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</si>
  <si>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</si>
  <si>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</si>
  <si>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</si>
  <si>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</si>
  <si>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</si>
  <si>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</si>
  <si>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</si>
  <si>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</si>
  <si>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</si>
  <si>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</si>
  <si>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</si>
  <si>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</si>
  <si>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</si>
  <si>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</si>
  <si>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</si>
  <si>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</si>
  <si>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</si>
  <si>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</si>
  <si>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</si>
  <si>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</si>
  <si>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</si>
  <si>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</si>
  <si>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</si>
  <si>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</si>
  <si>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</si>
  <si>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</si>
  <si>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</si>
  <si>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</si>
  <si>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</si>
  <si>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</si>
  <si>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</si>
  <si>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</si>
  <si>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</si>
  <si>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</si>
  <si>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</si>
  <si>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</si>
  <si>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</si>
  <si>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</si>
  <si>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</si>
  <si>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</si>
  <si>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</si>
  <si>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</si>
  <si>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</si>
  <si>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</si>
  <si>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</si>
  <si>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</si>
  <si>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</si>
  <si>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</si>
  <si>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</si>
  <si>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</si>
  <si>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</si>
  <si>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</si>
  <si>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</si>
  <si>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</si>
  <si>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</si>
  <si>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</si>
  <si>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</si>
  <si>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</si>
  <si>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</si>
  <si>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</si>
  <si>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</si>
  <si>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</si>
  <si>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</si>
  <si>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</si>
  <si>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</si>
  <si>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</si>
  <si>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</si>
  <si>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</si>
  <si>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</si>
  <si>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</si>
  <si>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</si>
  <si>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</si>
  <si>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</si>
  <si>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</si>
  <si>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</si>
  <si>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</si>
  <si>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</si>
  <si>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</si>
  <si>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</si>
  <si>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</si>
  <si>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</si>
  <si>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</si>
  <si>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</si>
  <si>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</si>
  <si>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</si>
  <si>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</si>
  <si>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</si>
  <si>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</si>
  <si>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</si>
  <si>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</si>
  <si>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</si>
  <si>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</si>
  <si>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</si>
  <si>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</si>
  <si>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</si>
  <si>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</si>
  <si>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</si>
  <si>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</si>
  <si>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</si>
  <si>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</si>
  <si>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</si>
  <si>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</si>
  <si>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</si>
  <si>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</si>
  <si>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</si>
  <si>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</si>
  <si>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</si>
  <si>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</si>
  <si>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</si>
  <si>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</si>
  <si>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</si>
  <si>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</si>
  <si>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</si>
  <si>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</si>
  <si>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</si>
  <si>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</si>
  <si>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</si>
  <si>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</si>
  <si>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</si>
  <si>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</si>
  <si>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</si>
  <si>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</si>
  <si>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</si>
  <si>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</si>
  <si>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</si>
  <si>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</si>
  <si>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</si>
  <si>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</si>
  <si>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</si>
  <si>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</si>
  <si>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</si>
  <si>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</si>
  <si>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</si>
  <si>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</si>
  <si>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</si>
  <si>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</si>
  <si>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</si>
  <si>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</si>
  <si>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</si>
  <si>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</si>
  <si>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</si>
  <si>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</si>
  <si>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</si>
  <si>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</si>
  <si>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</si>
  <si>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</si>
  <si>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</si>
  <si>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</si>
  <si>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</si>
  <si>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</si>
  <si>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</si>
  <si>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</si>
  <si>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</si>
  <si>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</si>
  <si>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</si>
  <si>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</si>
  <si>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</si>
  <si>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</si>
  <si>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</si>
  <si>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</si>
  <si>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</si>
  <si>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</si>
  <si>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</si>
  <si>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</si>
  <si>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</si>
  <si>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</si>
  <si>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</si>
  <si>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</si>
  <si>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</si>
  <si>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</si>
  <si>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</si>
  <si>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</si>
  <si>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</si>
  <si>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</si>
  <si>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</si>
  <si>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</si>
  <si>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</si>
  <si>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</si>
  <si>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</si>
  <si>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</si>
  <si>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</si>
  <si>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</si>
  <si>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</si>
  <si>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</si>
  <si>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</si>
  <si>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</si>
  <si>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</si>
  <si>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</si>
  <si>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</si>
  <si>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</si>
  <si>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</si>
  <si>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</si>
  <si>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</si>
  <si>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</si>
  <si>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</si>
  <si>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</si>
  <si>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</si>
  <si>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</si>
  <si>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</si>
  <si>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</si>
  <si>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</si>
  <si>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</si>
  <si>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</si>
  <si>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</si>
  <si>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</si>
  <si>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</si>
  <si>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</si>
  <si>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</si>
  <si>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</si>
  <si>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</si>
  <si>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</si>
  <si>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</si>
  <si>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</si>
  <si>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</si>
  <si>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</si>
  <si>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</si>
  <si>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</si>
  <si>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</si>
  <si>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</si>
  <si>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</si>
  <si>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</si>
  <si>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</si>
  <si>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</si>
  <si>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</si>
  <si>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</si>
  <si>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</si>
  <si>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</si>
  <si>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</si>
  <si>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</si>
  <si>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</si>
  <si>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</si>
  <si>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</si>
  <si>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</si>
  <si>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</si>
  <si>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</si>
  <si>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</si>
  <si>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</si>
  <si>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</si>
  <si>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</si>
  <si>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</si>
  <si>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</si>
  <si>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</si>
  <si>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</si>
  <si>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</si>
  <si>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</si>
  <si>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</si>
  <si>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</si>
  <si>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</si>
  <si>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</si>
  <si>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</si>
  <si>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</si>
  <si>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</si>
  <si>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</si>
  <si>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</si>
  <si>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</si>
  <si>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</si>
  <si>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</si>
  <si>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</si>
  <si>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</si>
  <si>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</si>
  <si>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</si>
  <si>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</si>
  <si>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</si>
  <si>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</si>
  <si>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</si>
  <si>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</si>
  <si>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</si>
  <si>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</si>
  <si>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</si>
  <si>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</si>
  <si>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</si>
  <si>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</si>
  <si>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</si>
  <si>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</si>
  <si>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</si>
  <si>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</si>
  <si>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</si>
  <si>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</si>
  <si>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</si>
  <si>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</si>
  <si>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</si>
  <si>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</si>
  <si>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</si>
  <si>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</si>
  <si>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</si>
  <si>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</si>
  <si>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</si>
  <si>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</si>
  <si>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</si>
  <si>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</si>
  <si>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</si>
  <si>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</si>
  <si>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</si>
  <si>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</si>
  <si>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</si>
  <si>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</si>
  <si>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</si>
  <si>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</si>
  <si>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</si>
  <si>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</si>
  <si>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</si>
  <si>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</si>
  <si>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</si>
  <si>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</si>
  <si>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</si>
  <si>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</si>
  <si>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</si>
  <si>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</si>
  <si>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</si>
  <si>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</si>
  <si>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</si>
  <si>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</si>
  <si>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</si>
  <si>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</si>
  <si>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</si>
  <si>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</si>
  <si>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</si>
  <si>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</si>
  <si>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</si>
  <si>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</si>
  <si>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</si>
  <si>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</si>
  <si>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</si>
  <si>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</si>
  <si>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</si>
  <si>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</si>
  <si>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</si>
  <si>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</si>
  <si>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</si>
  <si>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</si>
  <si>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</si>
  <si>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</si>
  <si>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</si>
  <si>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</si>
  <si>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</si>
  <si>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</si>
  <si>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</si>
  <si>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</si>
  <si>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</si>
  <si>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</si>
  <si>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</si>
  <si>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</si>
  <si>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</si>
  <si>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</si>
  <si>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</si>
  <si>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</si>
  <si>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</si>
  <si>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</si>
  <si>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</si>
  <si>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</si>
  <si>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</si>
  <si>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</si>
  <si>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</si>
  <si>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</si>
  <si>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</si>
  <si>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</si>
  <si>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</si>
  <si>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</si>
  <si>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</si>
  <si>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</si>
  <si>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</si>
  <si>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</si>
  <si>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</si>
  <si>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</si>
  <si>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</si>
  <si>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</si>
  <si>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</si>
  <si>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</si>
  <si>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</si>
  <si>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</si>
  <si>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</si>
  <si>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</si>
  <si>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</si>
  <si>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</si>
  <si>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</si>
  <si>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</si>
  <si>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</si>
  <si>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</si>
  <si>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</si>
  <si>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</si>
  <si>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</si>
  <si>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</si>
  <si>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</si>
  <si>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</si>
  <si>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</si>
  <si>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</si>
  <si>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</si>
  <si>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</si>
  <si>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</si>
  <si>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</si>
  <si>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</si>
  <si>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</si>
  <si>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</si>
  <si>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</si>
  <si>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</si>
  <si>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</si>
  <si>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</si>
  <si>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</si>
  <si>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</si>
  <si>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</si>
  <si>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</si>
  <si>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</si>
  <si>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</si>
  <si>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</si>
  <si>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</si>
  <si>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</si>
  <si>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</si>
  <si>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</si>
  <si>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</si>
  <si>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</si>
  <si>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</si>
  <si>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</si>
  <si>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</si>
  <si>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</si>
  <si>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</si>
  <si>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</si>
  <si>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</si>
  <si>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</si>
  <si>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</si>
  <si>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</si>
  <si>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</si>
  <si>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</si>
  <si>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</si>
  <si>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</si>
  <si>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</si>
  <si>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</si>
  <si>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</si>
  <si>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</si>
  <si>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</si>
  <si>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</si>
  <si>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</si>
  <si>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</si>
  <si>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</si>
  <si>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</si>
  <si>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</si>
  <si>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</si>
  <si>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</si>
  <si>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</si>
  <si>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</si>
  <si>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</si>
  <si>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</si>
  <si>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</si>
  <si>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</si>
  <si>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</si>
  <si>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</si>
  <si>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</si>
  <si>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</si>
  <si>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</si>
  <si>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</si>
  <si>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</si>
  <si>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</si>
  <si>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</si>
  <si>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</si>
  <si>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</si>
  <si>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</si>
  <si>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</si>
  <si>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</si>
  <si>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</si>
  <si>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</si>
  <si>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</si>
  <si>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</si>
  <si>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</si>
  <si>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</si>
  <si>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</si>
  <si>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</si>
  <si>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</si>
  <si>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</si>
  <si>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</si>
  <si>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</si>
  <si>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</si>
  <si>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</si>
  <si>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</si>
  <si>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</si>
  <si>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</si>
  <si>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</si>
  <si>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</si>
  <si>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</si>
  <si>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</si>
  <si>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</si>
  <si>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</si>
  <si>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</si>
  <si>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</si>
  <si>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</si>
  <si>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</si>
  <si>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</si>
  <si>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</si>
  <si>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</si>
  <si>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</si>
  <si>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</si>
  <si>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</si>
  <si>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</si>
  <si>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</si>
  <si>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</si>
  <si>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</si>
  <si>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</si>
  <si>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</si>
  <si>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</si>
  <si>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</si>
  <si>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</si>
  <si>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</si>
  <si>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</si>
  <si>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</si>
  <si>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</si>
  <si>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</si>
  <si>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</si>
  <si>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</si>
  <si>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</si>
  <si>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</si>
  <si>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</si>
  <si>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</si>
  <si>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</si>
  <si>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</si>
  <si>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</si>
  <si>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</si>
  <si>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</si>
  <si>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</si>
  <si>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</si>
  <si>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</si>
  <si>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</si>
  <si>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</si>
  <si>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</si>
  <si>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</si>
  <si>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</si>
  <si>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</si>
  <si>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</si>
  <si>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</si>
  <si>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</si>
  <si>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</si>
  <si>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</si>
  <si>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</si>
  <si>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</si>
  <si>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</si>
  <si>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</si>
  <si>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</si>
  <si>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</si>
  <si>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</si>
  <si>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</si>
  <si>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</si>
  <si>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</si>
  <si>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</si>
  <si>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</si>
  <si>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</si>
  <si>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</si>
  <si>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</si>
  <si>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</si>
  <si>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</si>
  <si>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</si>
  <si>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</si>
  <si>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</si>
  <si>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</si>
  <si>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</si>
  <si>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</si>
  <si>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</si>
  <si>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</si>
  <si>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</si>
  <si>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</si>
  <si>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</si>
  <si>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</si>
  <si>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</si>
  <si>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</si>
  <si>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</si>
  <si>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</si>
  <si>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</si>
  <si>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</si>
  <si>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</si>
  <si>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</si>
  <si>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</si>
  <si>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</si>
  <si>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</si>
  <si>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</si>
  <si>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</si>
  <si>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</si>
  <si>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</si>
  <si>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</si>
  <si>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</si>
  <si>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</si>
  <si>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</si>
  <si>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</si>
  <si>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</si>
  <si>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</si>
  <si>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</si>
  <si>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</si>
  <si>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</si>
  <si>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</si>
  <si>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</si>
  <si>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</si>
  <si>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</si>
  <si>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</si>
  <si>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</si>
  <si>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</si>
  <si>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</si>
  <si>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</si>
  <si>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</si>
  <si>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</si>
  <si>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</si>
  <si>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</si>
  <si>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</si>
  <si>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</si>
  <si>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</si>
  <si>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</si>
  <si>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</si>
  <si>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</si>
  <si>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</si>
  <si>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</si>
  <si>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</si>
  <si>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</si>
  <si>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</si>
  <si>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</si>
  <si>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</si>
  <si>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</si>
  <si>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</si>
  <si>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</si>
  <si>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</si>
  <si>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</si>
  <si>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</si>
  <si>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</si>
  <si>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</si>
  <si>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</si>
  <si>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</si>
  <si>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</si>
  <si>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</si>
  <si>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</si>
  <si>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</si>
  <si>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</si>
  <si>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</si>
  <si>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</si>
  <si>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</si>
  <si>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</si>
  <si>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</si>
  <si>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</si>
  <si>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</si>
  <si>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</si>
  <si>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</si>
  <si>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</si>
  <si>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</si>
  <si>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</si>
  <si>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</si>
  <si>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</si>
  <si>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</si>
  <si>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</si>
  <si>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</si>
  <si>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</si>
  <si>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</si>
  <si>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</si>
  <si>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</si>
  <si>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</si>
  <si>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</si>
  <si>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</si>
  <si>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</si>
  <si>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</si>
  <si>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</si>
  <si>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</si>
  <si>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</si>
  <si>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</si>
  <si>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</si>
  <si>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</si>
  <si>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</si>
  <si>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</si>
  <si>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</si>
  <si>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</si>
  <si>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</si>
  <si>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</si>
  <si>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</si>
  <si>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</si>
  <si>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</si>
  <si>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</si>
  <si>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</si>
  <si>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</si>
  <si>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</si>
  <si>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</si>
  <si>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</si>
  <si>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</si>
  <si>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</si>
  <si>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</si>
  <si>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</si>
  <si>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</si>
  <si>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</si>
  <si>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</si>
  <si>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</si>
  <si>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</si>
  <si>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</si>
  <si>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</si>
  <si>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</si>
  <si>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</si>
  <si>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</si>
  <si>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</si>
  <si>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</si>
  <si>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</si>
  <si>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</si>
  <si>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</si>
  <si>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</si>
  <si>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</si>
  <si>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</si>
  <si>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</si>
  <si>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</si>
  <si>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</si>
  <si>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</si>
  <si>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</si>
  <si>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</si>
  <si>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</si>
  <si>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</si>
  <si>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</si>
  <si>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</si>
  <si>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</si>
  <si>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</si>
  <si>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</si>
  <si>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</si>
  <si>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</si>
  <si>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</si>
  <si>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</si>
  <si>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</si>
  <si>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</si>
  <si>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</si>
  <si>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</si>
  <si>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</si>
  <si>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</si>
  <si>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</si>
  <si>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</si>
  <si>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</si>
  <si>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</si>
  <si>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</si>
  <si>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</si>
  <si>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</si>
  <si>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</si>
  <si>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</si>
  <si>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</si>
  <si>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</si>
  <si>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</si>
  <si>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</si>
  <si>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</si>
  <si>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</si>
  <si>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</si>
  <si>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</si>
  <si>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</si>
  <si>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</si>
  <si>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</si>
  <si>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</si>
  <si>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</si>
  <si>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</si>
  <si>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</si>
  <si>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</si>
  <si>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</si>
  <si>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</si>
  <si>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</si>
  <si>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</si>
  <si>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</si>
  <si>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</si>
  <si>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</si>
  <si>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</si>
  <si>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</si>
  <si>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</si>
  <si>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</si>
  <si>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</si>
  <si>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</si>
  <si>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</si>
  <si>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</si>
  <si>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</si>
  <si>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</si>
  <si>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</si>
  <si>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</si>
  <si>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</si>
  <si>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</si>
  <si>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</si>
  <si>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</si>
  <si>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</si>
  <si>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</si>
  <si>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</si>
  <si>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</si>
  <si>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</si>
  <si>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</si>
  <si>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</si>
  <si>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</si>
  <si>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</si>
  <si>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</si>
  <si>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</si>
  <si>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</si>
  <si>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</si>
  <si>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</si>
  <si>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</si>
  <si>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</si>
  <si>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</si>
  <si>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</si>
  <si>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</si>
  <si>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</si>
  <si>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</si>
  <si>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</si>
  <si>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</si>
  <si>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</si>
  <si>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</si>
  <si>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</si>
  <si>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</si>
  <si>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</si>
  <si>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</si>
  <si>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</si>
  <si>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</si>
  <si>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</si>
  <si>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</si>
  <si>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</si>
  <si>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</si>
  <si>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</si>
  <si>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</si>
  <si>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</si>
  <si>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</si>
  <si>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</si>
  <si>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</si>
  <si>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</si>
  <si>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</si>
  <si>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</si>
  <si>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</si>
  <si>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</si>
  <si>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</si>
  <si>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</si>
  <si>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</si>
  <si>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</si>
  <si>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</si>
  <si>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</si>
  <si>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</si>
  <si>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</si>
  <si>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</si>
  <si>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</si>
  <si>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</si>
  <si>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</si>
  <si>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</si>
  <si>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</si>
  <si>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</si>
  <si>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</si>
  <si>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</si>
  <si>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</si>
  <si>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</si>
  <si>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</si>
  <si>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</si>
  <si>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</si>
  <si>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</si>
  <si>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</si>
  <si>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</si>
  <si>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</si>
  <si>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</si>
  <si>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</si>
  <si>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</si>
  <si>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</si>
  <si>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</si>
  <si>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</si>
  <si>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</si>
  <si>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</si>
  <si>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</si>
  <si>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</si>
  <si>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</si>
  <si>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</si>
  <si>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</si>
  <si>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</si>
  <si>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</si>
  <si>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</si>
  <si>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</si>
  <si>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</si>
  <si>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</si>
  <si>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</si>
  <si>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</si>
  <si>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</si>
  <si>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</si>
  <si>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</si>
  <si>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</si>
  <si>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</si>
  <si>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</si>
  <si>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</si>
  <si>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</si>
  <si>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</si>
  <si>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</si>
  <si>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</si>
  <si>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</si>
  <si>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</si>
  <si>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</si>
  <si>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</si>
  <si>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</si>
  <si>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</si>
  <si>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</si>
  <si>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</si>
  <si>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</si>
  <si>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</si>
  <si>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</si>
  <si>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</si>
  <si>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</si>
  <si>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</si>
  <si>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</si>
  <si>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</si>
  <si>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</si>
  <si>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</si>
  <si>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</si>
  <si>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</si>
  <si>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</si>
  <si>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</si>
  <si>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</si>
  <si>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</si>
  <si>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</si>
  <si>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</si>
  <si>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</si>
  <si>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</si>
  <si>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</si>
  <si>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</si>
  <si>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</si>
  <si>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</si>
  <si>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</si>
  <si>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</si>
  <si>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</si>
  <si>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</si>
  <si>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</si>
  <si>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</si>
  <si>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</si>
  <si>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</si>
  <si>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</si>
  <si>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</si>
  <si>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</si>
  <si>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</si>
  <si>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</si>
  <si>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</si>
  <si>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</si>
  <si>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</si>
  <si>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</si>
  <si>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</si>
  <si>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</si>
  <si>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</si>
  <si>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</si>
  <si>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</si>
  <si>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</si>
  <si>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</si>
  <si>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</si>
  <si>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</si>
  <si>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</si>
  <si>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</si>
  <si>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</si>
  <si>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</si>
  <si>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</si>
  <si>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</si>
  <si>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</si>
  <si>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</si>
  <si>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</si>
  <si>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</si>
  <si>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</si>
  <si>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</si>
  <si>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</si>
  <si>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</si>
  <si>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</si>
  <si>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</si>
  <si>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</si>
  <si>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</si>
  <si>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</si>
  <si>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</si>
  <si>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</si>
  <si>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</si>
  <si>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</si>
  <si>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</si>
  <si>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</si>
  <si>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</si>
  <si>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</si>
  <si>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</si>
  <si>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</si>
  <si>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</si>
  <si>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</si>
  <si>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</si>
  <si>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</si>
  <si>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</si>
  <si>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</si>
  <si>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</si>
  <si>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</si>
  <si>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</si>
  <si>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</si>
  <si>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</si>
  <si>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</si>
  <si>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</si>
  <si>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</si>
  <si>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</si>
  <si>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</si>
  <si>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</si>
  <si>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</si>
  <si>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</si>
  <si>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</si>
  <si>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</si>
  <si>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</si>
  <si>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</si>
  <si>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</si>
  <si>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</si>
  <si>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</si>
  <si>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</si>
  <si>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</si>
  <si>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</si>
  <si>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</si>
  <si>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</si>
  <si>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</si>
  <si>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</si>
  <si>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</si>
  <si>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</si>
  <si>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</si>
  <si>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</si>
  <si>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</si>
  <si>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</si>
  <si>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</si>
  <si>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</si>
  <si>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</si>
  <si>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</si>
  <si>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</si>
  <si>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</si>
  <si>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</si>
  <si>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</si>
  <si>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</si>
  <si>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</si>
  <si>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</si>
  <si>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</si>
  <si>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</si>
  <si>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</si>
  <si>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</si>
  <si>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</si>
  <si>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</si>
  <si>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</si>
  <si>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</si>
  <si>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</si>
  <si>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</si>
  <si>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</si>
  <si>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</si>
  <si>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</si>
  <si>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</si>
  <si>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</si>
  <si>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</si>
  <si>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</si>
  <si>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</si>
  <si>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</si>
  <si>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</si>
  <si>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</si>
  <si>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</si>
  <si>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</si>
  <si>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</si>
  <si>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</si>
  <si>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</si>
  <si>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</si>
  <si>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</si>
  <si>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</si>
  <si>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</si>
  <si>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</si>
  <si>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</si>
  <si>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</si>
  <si>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</si>
  <si>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</si>
  <si>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</si>
  <si>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</si>
  <si>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</si>
  <si>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</si>
  <si>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</si>
  <si>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</si>
  <si>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</si>
  <si>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</si>
  <si>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</si>
  <si>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</si>
  <si>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</si>
  <si>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</si>
  <si>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</si>
  <si>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</si>
  <si>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</si>
  <si>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</si>
  <si>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</si>
  <si>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</si>
  <si>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</si>
  <si>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</si>
  <si>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</si>
  <si>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</si>
  <si>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</si>
  <si>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</si>
  <si>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</si>
  <si>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</si>
  <si>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</si>
  <si>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</si>
  <si>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</si>
  <si>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</si>
  <si>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</si>
  <si>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</si>
  <si>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</si>
  <si>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</si>
  <si>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</si>
  <si>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</si>
  <si>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</si>
  <si>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</si>
  <si>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</si>
  <si>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</si>
  <si>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</si>
  <si>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</si>
  <si>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</si>
  <si>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</si>
  <si>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</si>
  <si>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</si>
  <si>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</si>
  <si>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</si>
  <si>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</si>
  <si>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</si>
  <si>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</si>
  <si>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</si>
  <si>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</si>
  <si>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</si>
  <si>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</si>
  <si>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</si>
  <si>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</si>
  <si>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</si>
  <si>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</si>
  <si>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</si>
  <si>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</si>
  <si>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</si>
  <si>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</si>
  <si>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</si>
  <si>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</si>
  <si>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</si>
  <si>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</si>
  <si>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</si>
  <si>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</si>
  <si>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</si>
  <si>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</si>
  <si>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</si>
  <si>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</si>
  <si>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</si>
  <si>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</si>
  <si>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</si>
  <si>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</si>
  <si>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</si>
  <si>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</si>
  <si>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</si>
  <si>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</si>
  <si>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</si>
  <si>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</si>
  <si>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</si>
  <si>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</si>
  <si>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</si>
  <si>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</si>
  <si>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</si>
  <si>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</si>
  <si>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</si>
  <si>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</si>
  <si>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</si>
  <si>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</si>
  <si>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</si>
  <si>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</si>
  <si>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</si>
  <si>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</si>
  <si>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</si>
  <si>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</si>
  <si>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</si>
  <si>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</si>
  <si>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</si>
  <si>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</si>
  <si>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</si>
  <si>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</si>
  <si>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</si>
  <si>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</si>
  <si>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</si>
  <si>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</si>
  <si>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</si>
  <si>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</si>
  <si>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</si>
  <si>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</si>
  <si>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</si>
  <si>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</si>
  <si>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</si>
  <si>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</si>
  <si>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</si>
  <si>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</si>
  <si>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</si>
  <si>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</si>
  <si>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</si>
  <si>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</si>
  <si>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</si>
  <si>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</si>
  <si>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</si>
  <si>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</si>
  <si>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</si>
  <si>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</si>
  <si>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</si>
  <si>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</si>
  <si>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</si>
  <si>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</si>
  <si>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</si>
  <si>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</si>
  <si>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</si>
  <si>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</si>
  <si>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</si>
  <si>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</si>
  <si>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</si>
  <si>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</si>
  <si>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</si>
  <si>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</si>
  <si>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</si>
  <si>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</si>
  <si>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</si>
  <si>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</si>
  <si>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</si>
  <si>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</si>
  <si>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</si>
  <si>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</si>
  <si>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</si>
  <si>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</si>
  <si>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</si>
  <si>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</si>
  <si>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</si>
  <si>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</si>
  <si>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</si>
  <si>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</si>
  <si>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</si>
  <si>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</si>
  <si>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</si>
  <si>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</si>
  <si>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</si>
  <si>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</si>
  <si>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</si>
  <si>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</si>
  <si>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</si>
  <si>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</si>
  <si>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</si>
  <si>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</si>
  <si>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</si>
  <si>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</si>
  <si>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</si>
  <si>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</si>
  <si>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</si>
  <si>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</si>
  <si>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</si>
  <si>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</si>
  <si>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</si>
  <si>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</si>
  <si>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</si>
  <si>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</si>
  <si>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</si>
  <si>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</si>
  <si>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</si>
  <si>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</si>
  <si>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</si>
  <si>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</si>
  <si>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</si>
  <si>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</si>
  <si>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</si>
  <si>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</si>
  <si>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</si>
  <si>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</si>
  <si>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</si>
  <si>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</si>
  <si>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</si>
  <si>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</si>
  <si>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</si>
  <si>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</si>
  <si>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</si>
  <si>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</si>
  <si>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</si>
  <si>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</si>
  <si>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</si>
  <si>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</si>
  <si>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</si>
  <si>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</si>
  <si>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</si>
  <si>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</si>
  <si>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</si>
  <si>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</si>
  <si>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</si>
  <si>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</si>
  <si>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</si>
  <si>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</si>
  <si>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</si>
  <si>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</si>
  <si>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</si>
  <si>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</si>
  <si>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</si>
  <si>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</si>
  <si>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</si>
  <si>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</si>
  <si>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</si>
  <si>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</si>
  <si>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</si>
  <si>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</si>
  <si>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</si>
  <si>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</si>
  <si>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</si>
  <si>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</si>
  <si>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</si>
  <si>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</si>
  <si>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</si>
  <si>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</si>
  <si>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</si>
  <si>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</si>
  <si>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</si>
  <si>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</si>
  <si>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</si>
  <si>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</si>
  <si>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</si>
  <si>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</si>
  <si>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</si>
  <si>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</si>
  <si>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</si>
  <si>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</si>
  <si>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</si>
  <si>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</si>
  <si>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</si>
  <si>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</si>
  <si>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</si>
  <si>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</si>
  <si>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</si>
  <si>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</si>
  <si>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</si>
  <si>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</si>
  <si>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</si>
  <si>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</si>
  <si>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</si>
  <si>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</si>
  <si>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</si>
  <si>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</si>
  <si>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</si>
  <si>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</si>
  <si>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</si>
  <si>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</si>
  <si>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</si>
  <si>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</si>
  <si>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</si>
  <si>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</si>
  <si>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</si>
  <si>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</si>
  <si>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</si>
  <si>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</si>
  <si>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</si>
  <si>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</si>
  <si>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</si>
  <si>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</si>
  <si>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</si>
  <si>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</si>
  <si>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</si>
  <si>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</si>
  <si>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</si>
  <si>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</si>
  <si>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</si>
  <si>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</si>
  <si>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</si>
  <si>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</si>
  <si>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</si>
  <si>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</si>
  <si>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</si>
  <si>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</si>
  <si>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</si>
  <si>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</si>
  <si>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</si>
  <si>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</si>
  <si>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</si>
  <si>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</si>
  <si>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</si>
  <si>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</si>
  <si>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</si>
  <si>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</si>
  <si>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</si>
  <si>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</si>
  <si>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</si>
  <si>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</si>
  <si>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</si>
  <si>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</si>
  <si>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</si>
  <si>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</si>
  <si>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</si>
  <si>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</si>
  <si>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</si>
  <si>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</si>
  <si>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</si>
  <si>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</si>
  <si>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</si>
  <si>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</si>
  <si>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</si>
  <si>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</si>
  <si>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</si>
  <si>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</si>
  <si>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</si>
  <si>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</si>
  <si>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</si>
  <si>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</si>
  <si>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</si>
  <si>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</si>
  <si>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</si>
  <si>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</si>
  <si>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</si>
  <si>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</si>
  <si>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</si>
  <si>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</si>
  <si>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</si>
  <si>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</si>
  <si>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</si>
  <si>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</si>
  <si>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</si>
  <si>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</si>
  <si>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</si>
  <si>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</si>
  <si>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</si>
  <si>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</si>
  <si>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</si>
  <si>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</si>
  <si>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</si>
  <si>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</si>
  <si>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</si>
  <si>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</si>
  <si>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</si>
  <si>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</si>
  <si>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</si>
  <si>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</si>
  <si>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</si>
  <si>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</si>
  <si>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</si>
  <si>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</si>
  <si>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</si>
  <si>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</si>
  <si>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</si>
  <si>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</si>
  <si>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</si>
  <si>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</si>
  <si>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</si>
  <si>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</si>
  <si>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</si>
  <si>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</si>
  <si>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</si>
  <si>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</si>
  <si>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</si>
  <si>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</si>
  <si>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</si>
  <si>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</si>
  <si>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</si>
  <si>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</si>
  <si>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</si>
  <si>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</si>
  <si>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</si>
  <si>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</si>
  <si>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</si>
  <si>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</si>
  <si>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</si>
  <si>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</si>
  <si>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</si>
  <si>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</si>
  <si>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</si>
  <si>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</si>
  <si>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</si>
  <si>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</si>
  <si>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</si>
  <si>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</si>
  <si>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</si>
  <si>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</si>
  <si>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</si>
  <si>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</si>
  <si>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</si>
  <si>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</si>
  <si>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</si>
  <si>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</si>
  <si>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</si>
  <si>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</si>
  <si>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</si>
  <si>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</si>
  <si>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</si>
  <si>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</si>
  <si>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</si>
  <si>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</si>
  <si>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</si>
  <si>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</si>
  <si>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</si>
  <si>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</si>
  <si>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</si>
  <si>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</si>
  <si>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</si>
  <si>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</si>
  <si>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</si>
  <si>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</si>
  <si>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</si>
  <si>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</si>
  <si>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</si>
  <si>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</si>
  <si>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</si>
  <si>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</si>
  <si>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</si>
  <si>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</si>
  <si>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</si>
  <si>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</si>
  <si>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</si>
  <si>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</si>
  <si>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</si>
  <si>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</si>
  <si>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</si>
  <si>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</si>
  <si>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</si>
  <si>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</si>
  <si>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</si>
  <si>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</si>
  <si>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</si>
  <si>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</si>
  <si>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</si>
  <si>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</si>
  <si>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</si>
  <si>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</si>
  <si>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</si>
  <si>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</si>
  <si>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</si>
  <si>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</si>
  <si>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</si>
  <si>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</si>
  <si>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</si>
  <si>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</si>
  <si>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</si>
  <si>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</si>
  <si>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</si>
  <si>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</si>
  <si>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</si>
  <si>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</si>
  <si>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</si>
  <si>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</si>
  <si>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</si>
  <si>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</si>
  <si>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</si>
  <si>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</si>
  <si>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</si>
  <si>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</si>
  <si>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</si>
  <si>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</si>
  <si>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</si>
  <si>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</si>
  <si>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</si>
  <si>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</si>
  <si>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</si>
  <si>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</si>
  <si>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</si>
  <si>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</si>
  <si>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</si>
  <si>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</si>
  <si>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</si>
  <si>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</si>
  <si>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</si>
  <si>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</si>
  <si>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</si>
  <si>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</si>
  <si>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</si>
  <si>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</si>
  <si>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</si>
  <si>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</si>
  <si>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</si>
  <si>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</si>
  <si>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</si>
  <si>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</si>
  <si>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</si>
  <si>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</si>
  <si>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</si>
  <si>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</si>
  <si>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</si>
  <si>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</si>
  <si>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</si>
  <si>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</si>
  <si>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</si>
  <si>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</si>
  <si>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</si>
  <si>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</si>
  <si>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</si>
  <si>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</si>
  <si>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</si>
  <si>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</si>
  <si>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</si>
  <si>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</si>
  <si>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</si>
  <si>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</si>
  <si>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</si>
  <si>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</si>
  <si>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</si>
  <si>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</si>
  <si>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</si>
  <si>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</si>
  <si>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</si>
  <si>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</si>
  <si>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</si>
  <si>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</si>
  <si>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</si>
  <si>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</si>
  <si>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</si>
  <si>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</si>
  <si>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</si>
  <si>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</si>
  <si>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</si>
  <si>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</si>
  <si>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</si>
  <si>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</si>
  <si>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</si>
  <si>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</si>
  <si>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</si>
  <si>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</si>
  <si>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</si>
  <si>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</si>
  <si>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</si>
  <si>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</si>
  <si>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</si>
  <si>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</si>
  <si>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</si>
  <si>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</si>
  <si>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</si>
  <si>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</si>
  <si>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</si>
  <si>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</si>
  <si>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</si>
  <si>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</si>
  <si>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</si>
  <si>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</si>
  <si>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</si>
  <si>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</si>
  <si>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</si>
  <si>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</si>
  <si>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</si>
  <si>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</si>
  <si>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</si>
  <si>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</si>
  <si>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</si>
  <si>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</si>
  <si>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</si>
  <si>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</si>
  <si>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</si>
  <si>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</si>
  <si>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</si>
  <si>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</si>
  <si>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</si>
  <si>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</si>
  <si>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</si>
  <si>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</si>
  <si>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</si>
  <si>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</si>
  <si>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</si>
  <si>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</si>
  <si>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</si>
  <si>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</si>
  <si>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</si>
  <si>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</si>
  <si>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</si>
  <si>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</si>
  <si>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</si>
  <si>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</si>
  <si>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</si>
  <si>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</si>
  <si>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</si>
  <si>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</si>
  <si>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</si>
  <si>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</si>
  <si>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</si>
  <si>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</si>
  <si>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</si>
  <si>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</si>
  <si>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</si>
  <si>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</si>
  <si>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</si>
  <si>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</si>
  <si>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</si>
  <si>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</si>
  <si>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</si>
  <si>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</si>
  <si>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</si>
  <si>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</si>
  <si>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</si>
  <si>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</si>
  <si>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</si>
  <si>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</si>
  <si>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</si>
  <si>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</si>
  <si>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</si>
  <si>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</si>
  <si>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</si>
  <si>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</si>
  <si>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</si>
  <si>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</si>
  <si>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</si>
  <si>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</si>
  <si>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</si>
  <si>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</si>
  <si>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</si>
  <si>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</si>
  <si>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</si>
  <si>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</si>
  <si>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</si>
  <si>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</si>
  <si>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</si>
  <si>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</si>
  <si>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</si>
  <si>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</si>
  <si>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</si>
  <si>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</si>
  <si>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</si>
  <si>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</si>
  <si>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</si>
  <si>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</si>
  <si>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</si>
  <si>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</si>
  <si>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</si>
  <si>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</si>
  <si>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</si>
  <si>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</si>
  <si>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</si>
  <si>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</si>
  <si>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</si>
  <si>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</si>
  <si>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</si>
  <si>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</si>
  <si>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</si>
  <si>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</si>
  <si>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</si>
  <si>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</si>
  <si>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</si>
  <si>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</si>
  <si>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</si>
  <si>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</si>
  <si>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</si>
  <si>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</si>
  <si>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</si>
  <si>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</si>
  <si>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</si>
  <si>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</si>
  <si>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</si>
  <si>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</si>
  <si>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</si>
  <si>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</si>
  <si>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</si>
  <si>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</si>
  <si>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</si>
  <si>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</si>
  <si>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</si>
  <si>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</si>
  <si>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</si>
  <si>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</si>
  <si>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</si>
  <si>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</si>
  <si>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</si>
  <si>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</si>
  <si>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</si>
  <si>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</si>
  <si>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</si>
  <si>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</si>
  <si>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</si>
  <si>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</si>
  <si>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</si>
  <si>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</si>
  <si>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</si>
  <si>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</si>
  <si>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</si>
  <si>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</si>
  <si>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</si>
  <si>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</si>
  <si>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</si>
  <si>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</si>
  <si>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</si>
  <si>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</si>
  <si>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</si>
  <si>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</si>
  <si>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</si>
  <si>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</si>
  <si>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</si>
  <si>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</si>
  <si>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</si>
  <si>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</si>
  <si>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</si>
  <si>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</si>
  <si>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</si>
  <si>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</si>
  <si>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</si>
  <si>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</si>
  <si>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</si>
  <si>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</si>
  <si>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</si>
  <si>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</si>
  <si>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</si>
  <si>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</si>
  <si>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</si>
  <si>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</si>
  <si>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</si>
  <si>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</si>
  <si>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</si>
  <si>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</si>
  <si>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</si>
  <si>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</si>
  <si>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</si>
  <si>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</si>
  <si>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</si>
  <si>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</si>
  <si>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</si>
  <si>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</si>
  <si>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</si>
  <si>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</si>
  <si>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</si>
  <si>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</si>
  <si>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</si>
  <si>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</si>
  <si>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</si>
  <si>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</si>
  <si>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</si>
  <si>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</si>
  <si>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</si>
  <si>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</si>
  <si>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</si>
  <si>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</si>
  <si>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</si>
  <si>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</si>
  <si>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</si>
  <si>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</si>
  <si>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</si>
  <si>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</si>
  <si>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</si>
  <si>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</si>
  <si>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</si>
  <si>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</si>
  <si>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</si>
  <si>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</si>
  <si>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</si>
  <si>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</si>
  <si>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</si>
  <si>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</si>
  <si>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</si>
  <si>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</si>
  <si>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</si>
  <si>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</si>
  <si>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</si>
  <si>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</si>
  <si>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</si>
  <si>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</si>
  <si>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</si>
  <si>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</si>
  <si>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</si>
  <si>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</si>
  <si>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</si>
  <si>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</si>
  <si>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</si>
  <si>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</si>
  <si>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</si>
  <si>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</si>
  <si>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</si>
  <si>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</si>
  <si>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</si>
  <si>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</si>
  <si>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</si>
  <si>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</si>
  <si>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</si>
  <si>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</si>
  <si>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</si>
  <si>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</si>
  <si>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</si>
  <si>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</si>
  <si>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</si>
  <si>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</si>
  <si>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</si>
  <si>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</si>
  <si>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</si>
  <si>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</si>
  <si>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</si>
  <si>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</si>
  <si>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</si>
  <si>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</si>
  <si>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</si>
  <si>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</si>
  <si>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</si>
  <si>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</si>
  <si>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</si>
  <si>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</si>
  <si>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</si>
  <si>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</si>
  <si>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</si>
  <si>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</si>
  <si>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</si>
  <si>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</si>
  <si>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</si>
  <si>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</si>
  <si>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</si>
  <si>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</si>
  <si>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</si>
  <si>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</si>
  <si>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</si>
  <si>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</si>
  <si>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</si>
  <si>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</si>
  <si>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</si>
  <si>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</si>
  <si>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</si>
  <si>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</si>
  <si>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</si>
  <si>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</si>
  <si>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</si>
  <si>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</si>
  <si>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</si>
  <si>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</si>
  <si>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</si>
  <si>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</si>
  <si>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</si>
  <si>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</si>
  <si>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</si>
  <si>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</si>
  <si>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</si>
  <si>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</si>
  <si>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</si>
  <si>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</si>
  <si>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</si>
  <si>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</si>
  <si>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</si>
  <si>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</si>
  <si>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</si>
  <si>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</si>
  <si>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</si>
  <si>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</si>
  <si>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</si>
  <si>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</si>
  <si>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</si>
  <si>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</si>
  <si>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</si>
  <si>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</si>
  <si>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</si>
  <si>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</si>
  <si>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</si>
  <si>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</si>
  <si>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</si>
  <si>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</si>
  <si>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</si>
  <si>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</si>
  <si>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</si>
  <si>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</si>
  <si>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</si>
  <si>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</si>
  <si>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</si>
  <si>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</si>
  <si>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</si>
  <si>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</si>
  <si>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</si>
  <si>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</si>
  <si>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</si>
  <si>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</si>
  <si>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</si>
  <si>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</si>
  <si>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</si>
  <si>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</si>
  <si>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</si>
  <si>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</si>
  <si>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</si>
  <si>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</si>
  <si>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</si>
  <si>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</si>
  <si>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</si>
  <si>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</si>
  <si>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</si>
  <si>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</si>
  <si>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</si>
  <si>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</si>
  <si>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</si>
  <si>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</si>
  <si>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</si>
  <si>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</si>
  <si>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</si>
  <si>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</si>
  <si>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</si>
  <si>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</si>
  <si>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</si>
  <si>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</si>
  <si>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</si>
  <si>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</si>
  <si>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</si>
  <si>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</si>
  <si>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</si>
  <si>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</si>
  <si>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</si>
  <si>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</si>
  <si>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</si>
  <si>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</si>
  <si>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</si>
  <si>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</si>
  <si>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</si>
  <si>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</si>
  <si>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</si>
  <si>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</si>
  <si>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</si>
  <si>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</si>
  <si>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</si>
  <si>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</si>
  <si>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</si>
  <si>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</si>
  <si>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</si>
  <si>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</si>
  <si>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</si>
  <si>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</si>
  <si>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</si>
  <si>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</si>
  <si>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</si>
  <si>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</si>
  <si>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</si>
  <si>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</si>
  <si>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</si>
  <si>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</si>
  <si>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</si>
  <si>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</si>
  <si>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</si>
  <si>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</si>
  <si>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</si>
  <si>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</si>
  <si>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</si>
  <si>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</si>
  <si>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</si>
  <si>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</si>
  <si>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</si>
  <si>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</si>
  <si>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</si>
  <si>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</si>
  <si>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</si>
  <si>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</si>
  <si>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</si>
  <si>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</si>
  <si>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</si>
  <si>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</si>
  <si>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</si>
  <si>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</si>
  <si>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</si>
  <si>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</si>
  <si>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</si>
  <si>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</si>
  <si>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</si>
  <si>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</si>
  <si>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</si>
  <si>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</si>
  <si>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</si>
  <si>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</si>
  <si>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</si>
  <si>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</si>
  <si>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</si>
  <si>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</si>
  <si>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</si>
  <si>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</si>
  <si>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</si>
  <si>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</si>
  <si>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</si>
  <si>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</si>
  <si>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</si>
  <si>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</si>
  <si>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</si>
  <si>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</si>
  <si>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</si>
  <si>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</si>
  <si>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</si>
  <si>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</si>
  <si>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</si>
  <si>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</si>
  <si>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</si>
  <si>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</si>
  <si>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</si>
  <si>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</si>
  <si>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</si>
  <si>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</si>
  <si>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</si>
  <si>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</si>
  <si>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</si>
  <si>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</si>
  <si>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</si>
  <si>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</si>
  <si>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</si>
  <si>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</si>
  <si>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</si>
  <si>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</si>
  <si>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</si>
  <si>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</si>
  <si>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</si>
  <si>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</si>
  <si>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</si>
  <si>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</si>
  <si>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</si>
  <si>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</si>
  <si>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</si>
  <si>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</si>
  <si>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</si>
  <si>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</si>
  <si>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</si>
  <si>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</si>
  <si>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</si>
  <si>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</si>
  <si>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</si>
  <si>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</si>
  <si>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</si>
  <si>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</si>
  <si>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</si>
  <si>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</si>
  <si>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</si>
  <si>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</si>
  <si>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</si>
  <si>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</si>
  <si>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</si>
  <si>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</si>
  <si>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</si>
  <si>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</si>
  <si>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</si>
  <si>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</si>
  <si>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</si>
  <si>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</si>
  <si>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</si>
  <si>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</si>
  <si>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</si>
  <si>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</si>
  <si>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</si>
  <si>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</si>
  <si>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</si>
  <si>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</si>
  <si>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</si>
  <si>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</si>
  <si>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</si>
  <si>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</si>
  <si>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</si>
  <si>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</si>
  <si>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</si>
  <si>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</si>
  <si>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</si>
  <si>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</si>
  <si>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</si>
  <si>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</si>
  <si>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</si>
  <si>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</si>
  <si>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</si>
  <si>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</si>
  <si>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</si>
  <si>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</si>
  <si>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</si>
  <si>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</si>
  <si>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</si>
  <si>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</si>
  <si>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</si>
  <si>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</si>
  <si>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</si>
  <si>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</si>
  <si>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</si>
  <si>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</si>
  <si>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</si>
  <si>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</si>
  <si>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</si>
  <si>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</si>
  <si>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</si>
  <si>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</si>
  <si>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</si>
  <si>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</si>
  <si>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</si>
  <si>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</si>
  <si>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</si>
  <si>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</si>
  <si>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</si>
  <si>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</si>
  <si>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</si>
  <si>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</si>
  <si>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</si>
  <si>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</si>
  <si>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</si>
  <si>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</si>
  <si>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</si>
  <si>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</si>
  <si>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</si>
  <si>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</si>
  <si>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</si>
  <si>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</si>
  <si>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</si>
  <si>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</si>
  <si>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</si>
  <si>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</si>
  <si>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</si>
  <si>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</si>
  <si>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</si>
  <si>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</si>
  <si>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</si>
  <si>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</si>
  <si>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</si>
  <si>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</si>
  <si>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</si>
  <si>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</si>
  <si>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</si>
  <si>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</si>
  <si>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</si>
  <si>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</si>
  <si>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</si>
  <si>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</si>
  <si>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</si>
  <si>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</si>
  <si>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</si>
  <si>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</si>
  <si>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</si>
  <si>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</si>
  <si>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</si>
  <si>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</si>
  <si>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</si>
  <si>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</si>
  <si>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</si>
  <si>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</si>
  <si>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</si>
  <si>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</si>
  <si>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</si>
  <si>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</si>
  <si>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</si>
  <si>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</si>
  <si>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</si>
  <si>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</si>
  <si>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</si>
  <si>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</si>
  <si>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</si>
  <si>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</si>
  <si>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</si>
  <si>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</si>
  <si>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</si>
  <si>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</si>
  <si>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</si>
  <si>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</si>
  <si>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</si>
  <si>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</si>
  <si>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</si>
  <si>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</si>
  <si>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</si>
  <si>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</si>
  <si>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</si>
  <si>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</si>
  <si>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</si>
  <si>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</si>
  <si>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</si>
  <si>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</si>
  <si>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</si>
  <si>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</si>
  <si>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</si>
  <si>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</si>
  <si>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</si>
  <si>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</si>
  <si>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</si>
  <si>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</si>
  <si>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</si>
  <si>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</si>
  <si>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</si>
  <si>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</si>
  <si>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</si>
  <si>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</si>
  <si>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</si>
  <si>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</si>
  <si>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</si>
  <si>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</si>
  <si>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</si>
  <si>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</si>
  <si>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</si>
  <si>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</si>
  <si>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</si>
  <si>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</si>
  <si>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</si>
  <si>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</si>
  <si>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</si>
  <si>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</si>
  <si>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</si>
  <si>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</si>
  <si>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</si>
  <si>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</si>
  <si>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</si>
  <si>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</si>
  <si>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</si>
  <si>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</si>
  <si>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</si>
  <si>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</si>
  <si>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</si>
  <si>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</si>
  <si>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</si>
  <si>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</si>
  <si>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</si>
  <si>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</si>
  <si>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</si>
  <si>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</si>
  <si>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</si>
  <si>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</si>
  <si>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</si>
  <si>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</si>
  <si>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</si>
  <si>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</si>
  <si>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</si>
  <si>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</si>
  <si>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</si>
  <si>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</si>
  <si>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</si>
  <si>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</si>
  <si>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</si>
  <si>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</si>
  <si>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</si>
  <si>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</si>
  <si>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</si>
  <si>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</si>
  <si>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</si>
  <si>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</si>
  <si>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</si>
  <si>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</si>
  <si>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</si>
  <si>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</si>
  <si>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</si>
  <si>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</si>
  <si>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</si>
  <si>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</si>
  <si>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</si>
  <si>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</si>
  <si>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</si>
  <si>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</si>
  <si>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</si>
  <si>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</si>
  <si>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</si>
  <si>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</si>
  <si>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</si>
  <si>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</si>
  <si>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</si>
  <si>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</si>
  <si>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</si>
  <si>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</si>
  <si>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</si>
  <si>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</si>
  <si>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</si>
  <si>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</si>
  <si>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</si>
  <si>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</si>
  <si>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</si>
  <si>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</si>
  <si>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</si>
  <si>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</si>
  <si>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</si>
  <si>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</si>
  <si>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</si>
  <si>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</si>
  <si>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</si>
  <si>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</si>
  <si>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</si>
  <si>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</si>
  <si>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</si>
  <si>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</si>
  <si>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</si>
  <si>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</si>
  <si>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</si>
  <si>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</si>
  <si>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</si>
  <si>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</si>
  <si>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</si>
  <si>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</si>
  <si>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</si>
  <si>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</si>
  <si>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</si>
  <si>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</si>
  <si>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</si>
  <si>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</si>
  <si>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</si>
  <si>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</si>
  <si>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</si>
  <si>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</si>
  <si>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</si>
  <si>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</si>
  <si>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</si>
  <si>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</si>
  <si>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</si>
  <si>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</si>
  <si>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</si>
  <si>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</si>
  <si>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</si>
  <si>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</si>
  <si>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</si>
  <si>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</si>
  <si>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</si>
  <si>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</si>
  <si>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</si>
  <si>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</si>
  <si>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</si>
  <si>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</si>
  <si>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</si>
  <si>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</si>
  <si>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</si>
  <si>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</si>
  <si>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</si>
  <si>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</si>
  <si>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</si>
  <si>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</si>
  <si>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</si>
  <si>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</si>
  <si>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</si>
  <si>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</si>
  <si>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</si>
  <si>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</si>
  <si>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</si>
  <si>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</si>
  <si>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</si>
  <si>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</si>
  <si>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</si>
  <si>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</si>
  <si>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</si>
  <si>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</si>
  <si>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</si>
  <si>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</si>
  <si>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</si>
  <si>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</si>
  <si>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</si>
  <si>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</si>
  <si>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</si>
  <si>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</si>
  <si>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</si>
  <si>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</si>
  <si>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</si>
  <si>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</si>
  <si>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</si>
  <si>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</si>
  <si>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</si>
  <si>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</si>
  <si>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</si>
  <si>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</si>
  <si>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</si>
  <si>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</si>
  <si>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</si>
  <si>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</si>
  <si>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</si>
  <si>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</si>
  <si>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</si>
  <si>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</si>
  <si>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</si>
  <si>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</si>
  <si>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</si>
  <si>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</si>
  <si>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</si>
  <si>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</si>
  <si>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</si>
  <si>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</si>
  <si>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</si>
  <si>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</si>
  <si>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</si>
  <si>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</si>
  <si>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</si>
  <si>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</si>
  <si>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</si>
  <si>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</si>
  <si>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</si>
  <si>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</si>
  <si>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</si>
  <si>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</si>
  <si>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</si>
  <si>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</si>
  <si>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</si>
  <si>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</si>
  <si>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</si>
  <si>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</si>
  <si>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</si>
  <si>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</si>
  <si>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</si>
  <si>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</si>
  <si>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</si>
  <si>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</si>
  <si>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</si>
  <si>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</si>
  <si>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</si>
  <si>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</si>
  <si>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</si>
  <si>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</si>
  <si>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</si>
  <si>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</si>
  <si>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</si>
  <si>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</si>
  <si>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</si>
  <si>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</si>
  <si>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</si>
  <si>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</si>
  <si>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</si>
  <si>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</si>
  <si>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</si>
  <si>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</si>
  <si>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</si>
  <si>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</si>
  <si>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</si>
  <si>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</si>
  <si>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</si>
  <si>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</si>
  <si>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</si>
  <si>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</si>
  <si>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</si>
  <si>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</si>
  <si>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</si>
  <si>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</si>
  <si>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</si>
  <si>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</si>
  <si>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</si>
  <si>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</si>
  <si>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</si>
  <si>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</si>
  <si>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</si>
  <si>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</si>
  <si>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</si>
  <si>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</si>
  <si>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</si>
  <si>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</si>
  <si>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</si>
  <si>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</si>
  <si>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</si>
  <si>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</si>
  <si>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</si>
  <si>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</si>
  <si>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</si>
  <si>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</si>
  <si>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</si>
  <si>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</si>
  <si>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</si>
  <si>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</si>
  <si>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</si>
  <si>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</si>
  <si>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</si>
  <si>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</si>
  <si>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</si>
  <si>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</si>
  <si>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</si>
  <si>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</si>
  <si>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</si>
  <si>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</si>
  <si>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</si>
  <si>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</si>
  <si>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</si>
  <si>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</si>
  <si>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</si>
  <si>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</si>
  <si>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</si>
  <si>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</si>
  <si>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</si>
  <si>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</si>
  <si>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</si>
  <si>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</si>
  <si>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</si>
  <si>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</si>
  <si>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</si>
  <si>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</si>
  <si>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</si>
  <si>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</si>
  <si>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</si>
  <si>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</si>
  <si>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</si>
  <si>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</si>
  <si>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</si>
  <si>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</si>
  <si>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</si>
  <si>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</si>
  <si>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</si>
  <si>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</si>
  <si>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</si>
  <si>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</si>
  <si>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</si>
  <si>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</si>
  <si>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</si>
  <si>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</si>
  <si>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</si>
  <si>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</si>
  <si>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</si>
  <si>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</si>
  <si>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</si>
  <si>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</si>
  <si>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</si>
  <si>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</si>
  <si>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</si>
  <si>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</si>
  <si>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</si>
  <si>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</si>
  <si>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</si>
  <si>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</si>
  <si>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</si>
  <si>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</si>
  <si>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</si>
  <si>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</si>
  <si>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</si>
  <si>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</si>
  <si>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</si>
  <si>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</si>
  <si>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</si>
  <si>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</si>
  <si>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</si>
  <si>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</si>
  <si>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</si>
  <si>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</si>
  <si>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</si>
  <si>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</si>
  <si>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</si>
  <si>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</si>
  <si>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</si>
  <si>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</si>
  <si>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</si>
  <si>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</si>
  <si>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</si>
  <si>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</si>
  <si>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</si>
  <si>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</si>
  <si>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</si>
  <si>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</si>
  <si>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</si>
  <si>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</si>
  <si>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</si>
  <si>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</si>
  <si>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</si>
  <si>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</si>
  <si>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</si>
  <si>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</si>
  <si>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</si>
  <si>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</si>
  <si>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</si>
  <si>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</si>
  <si>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</si>
  <si>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</si>
  <si>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</si>
  <si>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</si>
  <si>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</si>
  <si>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</si>
  <si>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</si>
  <si>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</si>
  <si>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</si>
  <si>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</si>
  <si>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</si>
  <si>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</si>
  <si>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</si>
  <si>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</si>
  <si>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</si>
  <si>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</si>
  <si>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</si>
  <si>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</si>
  <si>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</si>
  <si>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</si>
  <si>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</si>
  <si>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</si>
  <si>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</si>
  <si>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</si>
  <si>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</si>
  <si>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</si>
  <si>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</si>
  <si>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</si>
  <si>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</si>
  <si>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</si>
  <si>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</si>
  <si>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</si>
  <si>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</si>
  <si>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</si>
  <si>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</si>
  <si>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</si>
  <si>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</si>
  <si>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</si>
  <si>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</si>
  <si>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</si>
  <si>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</si>
  <si>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</si>
  <si>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</si>
  <si>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</si>
  <si>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</si>
  <si>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</si>
  <si>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</si>
  <si>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</si>
  <si>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</si>
  <si>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</si>
  <si>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</si>
  <si>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</si>
  <si>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</si>
  <si>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</si>
  <si>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</si>
  <si>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</si>
  <si>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</si>
  <si>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</si>
  <si>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</si>
  <si>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</si>
  <si>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</si>
  <si>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</si>
  <si>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</si>
  <si>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</si>
  <si>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</si>
  <si>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</si>
  <si>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</si>
  <si>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</si>
  <si>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</si>
  <si>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</si>
  <si>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</si>
  <si>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</si>
  <si>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</si>
  <si>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</si>
  <si>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</si>
  <si>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</si>
  <si>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</si>
  <si>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</si>
  <si>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</si>
  <si>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</si>
  <si>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</si>
  <si>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</si>
  <si>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</si>
  <si>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</si>
  <si>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</si>
  <si>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</si>
  <si>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</si>
  <si>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</si>
  <si>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</si>
  <si>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</si>
  <si>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</si>
  <si>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</si>
  <si>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</si>
  <si>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</si>
  <si>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</si>
  <si>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</si>
  <si>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</si>
  <si>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</si>
  <si>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</si>
  <si>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</si>
  <si>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</si>
  <si>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</si>
  <si>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</si>
  <si>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</si>
  <si>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</si>
  <si>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</si>
  <si>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</si>
  <si>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</si>
  <si>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</si>
  <si>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</si>
  <si>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</si>
  <si>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</si>
  <si>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</si>
  <si>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</si>
  <si>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</si>
  <si>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</si>
  <si>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</si>
  <si>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</si>
  <si>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</si>
  <si>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</si>
  <si>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</si>
  <si>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</si>
  <si>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</si>
  <si>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</si>
  <si>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</si>
  <si>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</si>
  <si>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</si>
  <si>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</si>
  <si>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</si>
  <si>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</si>
  <si>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</si>
  <si>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</si>
  <si>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</si>
  <si>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</si>
  <si>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</si>
  <si>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</si>
  <si>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</si>
  <si>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</si>
  <si>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</si>
  <si>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</si>
  <si>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</si>
  <si>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</si>
  <si>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</si>
  <si>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</si>
  <si>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</si>
  <si>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</si>
  <si>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</si>
  <si>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</si>
  <si>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</si>
  <si>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</si>
  <si>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</si>
  <si>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</si>
  <si>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</si>
  <si>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</si>
  <si>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</si>
  <si>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</si>
  <si>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</si>
  <si>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</si>
  <si>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</si>
  <si>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</si>
  <si>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</si>
  <si>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</si>
  <si>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</si>
  <si>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</si>
  <si>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</si>
  <si>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</si>
  <si>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</si>
  <si>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</si>
  <si>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</si>
  <si>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</si>
  <si>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</si>
  <si>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</si>
  <si>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</si>
  <si>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</si>
  <si>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</si>
  <si>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</si>
  <si>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</si>
  <si>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</si>
  <si>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</si>
  <si>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</si>
  <si>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</si>
  <si>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</si>
  <si>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</si>
  <si>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</si>
  <si>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</si>
  <si>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</si>
  <si>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</si>
  <si>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</si>
  <si>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</si>
  <si>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</si>
  <si>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</si>
  <si>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</si>
  <si>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</si>
  <si>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</si>
  <si>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</si>
  <si>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</si>
  <si>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</si>
  <si>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</si>
  <si>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</si>
  <si>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</si>
  <si>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</si>
  <si>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</si>
  <si>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</si>
  <si>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</si>
  <si>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</si>
  <si>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</si>
  <si>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</si>
  <si>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</si>
  <si>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</si>
  <si>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</si>
  <si>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</si>
  <si>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</si>
  <si>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</si>
  <si>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</si>
  <si>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</si>
  <si>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</si>
  <si>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</si>
  <si>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</si>
  <si>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</si>
  <si>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</si>
  <si>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</si>
  <si>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</si>
  <si>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</si>
  <si>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</si>
  <si>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</si>
  <si>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</si>
  <si>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</si>
  <si>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</si>
  <si>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</si>
  <si>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</si>
  <si>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</si>
  <si>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</si>
  <si>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</si>
  <si>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</si>
  <si>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</si>
  <si>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</si>
  <si>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</si>
  <si>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</si>
  <si>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</si>
  <si>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</si>
  <si>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</si>
  <si>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</si>
  <si>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</si>
  <si>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</si>
  <si>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</si>
  <si>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</si>
  <si>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</si>
  <si>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</si>
  <si>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</si>
  <si>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</si>
  <si>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</si>
  <si>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</si>
  <si>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</si>
  <si>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</si>
  <si>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</si>
  <si>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</si>
  <si>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</si>
  <si>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</si>
  <si>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</si>
  <si>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</si>
  <si>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</si>
  <si>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</si>
  <si>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</si>
  <si>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</si>
  <si>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</si>
  <si>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</si>
  <si>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</si>
  <si>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</si>
  <si>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</si>
  <si>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</si>
  <si>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</si>
  <si>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</si>
  <si>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</si>
  <si>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</si>
  <si>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</si>
  <si>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</si>
  <si>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</si>
  <si>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</si>
  <si>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</si>
  <si>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</si>
  <si>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</si>
  <si>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</si>
  <si>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</si>
  <si>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</si>
  <si>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</si>
  <si>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</si>
  <si>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</si>
  <si>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</si>
  <si>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</si>
  <si>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</si>
  <si>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</si>
  <si>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</si>
  <si>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</si>
  <si>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</si>
  <si>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</si>
  <si>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</si>
  <si>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</si>
  <si>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</si>
  <si>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</si>
  <si>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</si>
  <si>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</si>
  <si>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</si>
  <si>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</si>
  <si>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</si>
  <si>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</si>
  <si>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</si>
  <si>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</si>
  <si>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</si>
  <si>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</si>
  <si>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</si>
  <si>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</si>
  <si>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</si>
  <si>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</si>
  <si>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</si>
  <si>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</si>
  <si>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</si>
  <si>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</si>
  <si>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</si>
  <si>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</si>
  <si>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</si>
  <si>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</si>
  <si>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</si>
  <si>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</si>
  <si>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</si>
  <si>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</si>
  <si>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</si>
  <si>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</si>
  <si>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</si>
  <si>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</si>
  <si>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</si>
  <si>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</si>
  <si>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</si>
  <si>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</si>
  <si>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</si>
  <si>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</si>
  <si>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</si>
  <si>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</si>
  <si>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</si>
  <si>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</si>
  <si>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</si>
  <si>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</si>
  <si>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</si>
  <si>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</si>
  <si>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</si>
  <si>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</si>
  <si>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</si>
  <si>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</si>
  <si>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</si>
  <si>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</si>
  <si>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</si>
  <si>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</si>
  <si>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</si>
  <si>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</si>
  <si>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</si>
  <si>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</si>
  <si>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</si>
  <si>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</si>
  <si>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</si>
  <si>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</si>
  <si>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</si>
  <si>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</si>
  <si>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</si>
  <si>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</si>
  <si>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</si>
  <si>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</si>
  <si>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</si>
  <si>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</si>
  <si>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</si>
  <si>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</si>
  <si>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</si>
  <si>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</si>
  <si>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</si>
  <si>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</si>
  <si>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</si>
  <si>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</si>
  <si>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</si>
  <si>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</si>
  <si>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</si>
  <si>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</si>
  <si>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</si>
  <si>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</si>
  <si>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</si>
  <si>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</si>
  <si>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</si>
  <si>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</si>
  <si>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</si>
  <si>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</si>
  <si>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</si>
  <si>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</si>
  <si>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</si>
  <si>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</si>
  <si>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</si>
  <si>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</si>
  <si>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</si>
  <si>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</si>
  <si>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</si>
  <si>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</si>
  <si>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</si>
  <si>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</si>
  <si>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</si>
  <si>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</si>
  <si>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</si>
  <si>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</si>
  <si>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</si>
  <si>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</si>
  <si>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</si>
  <si>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</si>
  <si>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</si>
  <si>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</si>
  <si>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</si>
  <si>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</si>
  <si>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</si>
  <si>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</si>
  <si>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</si>
  <si>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</si>
  <si>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</si>
  <si>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</si>
  <si>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</si>
  <si>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</si>
  <si>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</si>
  <si>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</si>
  <si>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</si>
  <si>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</si>
  <si>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</si>
  <si>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</si>
  <si>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</si>
  <si>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</si>
  <si>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</si>
  <si>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</si>
  <si>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</si>
  <si>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</si>
  <si>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</si>
  <si>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</si>
  <si>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</si>
  <si>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</si>
  <si>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</si>
  <si>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</si>
  <si>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</si>
  <si>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</si>
  <si>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</si>
  <si>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</si>
  <si>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</si>
  <si>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</si>
  <si>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</si>
  <si>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</si>
  <si>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</si>
  <si>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</si>
  <si>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</si>
  <si>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</si>
  <si>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</si>
  <si>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</si>
  <si>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</si>
  <si>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</si>
  <si>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</si>
  <si>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</si>
  <si>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</si>
  <si>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</si>
  <si>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</si>
  <si>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</si>
  <si>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</si>
  <si>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</si>
  <si>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</si>
  <si>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</si>
  <si>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</si>
  <si>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</si>
  <si>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</si>
  <si>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</si>
  <si>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</si>
  <si>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</si>
  <si>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</si>
  <si>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</si>
  <si>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</si>
  <si>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</si>
  <si>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</si>
  <si>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</si>
  <si>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</si>
  <si>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</si>
  <si>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</si>
  <si>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</si>
  <si>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</si>
  <si>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</si>
  <si>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</si>
  <si>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</si>
  <si>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</si>
  <si>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</si>
  <si>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</si>
  <si>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</si>
  <si>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</si>
  <si>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</si>
  <si>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</si>
  <si>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</si>
  <si>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</si>
  <si>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</si>
  <si>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</si>
  <si>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</si>
  <si>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</si>
  <si>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</si>
  <si>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</si>
  <si>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</si>
  <si>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</si>
  <si>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</si>
  <si>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</si>
  <si>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</si>
  <si>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</si>
  <si>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</si>
  <si>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</si>
  <si>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</si>
  <si>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</si>
  <si>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</si>
  <si>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</si>
  <si>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</si>
  <si>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</si>
  <si>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</si>
  <si>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</si>
  <si>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</si>
  <si>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</si>
  <si>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</si>
  <si>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</si>
  <si>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</si>
  <si>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</si>
  <si>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</si>
  <si>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</si>
  <si>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</si>
  <si>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</si>
  <si>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</si>
  <si>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</si>
  <si>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</si>
  <si>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</si>
  <si>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</si>
  <si>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</si>
  <si>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</si>
  <si>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</si>
  <si>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</si>
  <si>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</si>
  <si>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</si>
  <si>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</si>
  <si>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</si>
  <si>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</si>
  <si>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</si>
  <si>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</si>
  <si>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</si>
  <si>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</si>
  <si>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</si>
  <si>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</si>
  <si>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</si>
  <si>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</si>
  <si>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</si>
  <si>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</si>
  <si>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</si>
  <si>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</si>
  <si>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</si>
  <si>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</si>
  <si>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</si>
  <si>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</si>
  <si>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</si>
  <si>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</si>
  <si>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</si>
  <si>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</si>
  <si>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</si>
  <si>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</si>
  <si>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</si>
  <si>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</si>
  <si>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</si>
  <si>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</si>
  <si>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</si>
  <si>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</si>
  <si>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</si>
  <si>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</si>
  <si>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</si>
  <si>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</si>
  <si>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</si>
  <si>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</si>
  <si>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</si>
  <si>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</si>
  <si>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</si>
  <si>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</si>
  <si>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</si>
  <si>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</si>
  <si>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</si>
  <si>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</si>
  <si>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</si>
  <si>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</si>
  <si>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</si>
  <si>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</si>
  <si>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</si>
  <si>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</si>
  <si>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</si>
  <si>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</si>
  <si>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</si>
  <si>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</si>
  <si>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</si>
  <si>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</si>
  <si>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</si>
  <si>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</si>
  <si>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</si>
  <si>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</si>
  <si>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</si>
  <si>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</si>
  <si>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</si>
  <si>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</si>
  <si>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</si>
  <si>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</si>
  <si>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</si>
  <si>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</si>
  <si>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</si>
  <si>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</si>
  <si>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</si>
  <si>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</si>
  <si>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</si>
  <si>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</si>
  <si>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</si>
  <si>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</si>
  <si>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</si>
  <si>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</si>
  <si>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</si>
  <si>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</si>
  <si>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</si>
  <si>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</si>
  <si>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</si>
  <si>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</si>
  <si>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</si>
  <si>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</si>
  <si>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</si>
  <si>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</si>
  <si>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</si>
  <si>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</si>
  <si>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</si>
  <si>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</si>
  <si>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</si>
  <si>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</si>
  <si>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</si>
  <si>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</si>
  <si>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</si>
  <si>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</si>
  <si>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</si>
  <si>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</si>
  <si>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</si>
  <si>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</si>
  <si>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</si>
  <si>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</si>
  <si>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</si>
  <si>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</si>
  <si>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</si>
  <si>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</si>
  <si>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</si>
  <si>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</si>
  <si>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</si>
  <si>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</si>
  <si>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</si>
  <si>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</si>
  <si>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</si>
  <si>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</si>
  <si>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</si>
  <si>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</si>
  <si>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</si>
  <si>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</si>
  <si>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</si>
  <si>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</si>
  <si>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</si>
  <si>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</si>
  <si>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</si>
  <si>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</si>
  <si>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</si>
  <si>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</si>
  <si>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</si>
  <si>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</si>
  <si>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</si>
  <si>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</si>
  <si>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</si>
  <si>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</si>
  <si>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</si>
  <si>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</si>
  <si>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</si>
  <si>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</si>
  <si>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</si>
  <si>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</si>
  <si>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</si>
  <si>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</si>
  <si>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</si>
  <si>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</si>
  <si>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</si>
  <si>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</si>
  <si>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</si>
  <si>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</si>
  <si>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</si>
  <si>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</si>
  <si>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</si>
  <si>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</si>
  <si>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</si>
  <si>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</si>
  <si>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</si>
  <si>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</si>
  <si>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</si>
  <si>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</si>
  <si>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</si>
  <si>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</si>
  <si>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</si>
  <si>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</si>
  <si>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</si>
  <si>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</si>
  <si>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</si>
  <si>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</si>
  <si>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</si>
  <si>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</si>
  <si>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</si>
  <si>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</si>
  <si>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</si>
  <si>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</si>
  <si>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</si>
  <si>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</si>
  <si>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</si>
  <si>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</si>
  <si>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</si>
  <si>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</si>
  <si>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</si>
  <si>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</si>
  <si>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</si>
  <si>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</si>
  <si>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</si>
  <si>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</si>
  <si>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</si>
  <si>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</si>
  <si>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</si>
  <si>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</si>
  <si>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</si>
  <si>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</si>
  <si>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</si>
  <si>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</si>
  <si>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</si>
  <si>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</si>
  <si>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</si>
  <si>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</si>
  <si>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</si>
  <si>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</si>
  <si>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</si>
  <si>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</si>
  <si>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</si>
  <si>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</si>
  <si>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</si>
  <si>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</si>
  <si>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</si>
  <si>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</si>
  <si>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</si>
  <si>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</si>
  <si>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</si>
  <si>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</si>
  <si>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</si>
  <si>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</si>
  <si>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</si>
  <si>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</si>
  <si>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</si>
  <si>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</si>
  <si>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</si>
  <si>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</si>
  <si>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</si>
  <si>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</si>
  <si>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</si>
  <si>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</si>
  <si>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</si>
  <si>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</si>
  <si>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</si>
  <si>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</si>
  <si>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</si>
  <si>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</si>
  <si>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</si>
  <si>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</si>
  <si>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</si>
  <si>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</si>
  <si>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</si>
  <si>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</si>
  <si>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</si>
  <si>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</si>
  <si>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</si>
  <si>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</si>
  <si>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</si>
  <si>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</si>
  <si>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</si>
  <si>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</si>
  <si>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</si>
  <si>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</si>
  <si>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</si>
  <si>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</si>
  <si>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</si>
  <si>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</si>
  <si>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</si>
  <si>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</si>
  <si>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</si>
  <si>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</si>
  <si>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</si>
  <si>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</si>
  <si>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</si>
  <si>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</si>
  <si>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</si>
  <si>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</si>
  <si>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</si>
  <si>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</si>
  <si>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</si>
  <si>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</si>
  <si>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</si>
  <si>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</si>
  <si>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</si>
  <si>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</si>
  <si>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</si>
  <si>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</si>
  <si>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</si>
  <si>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</si>
  <si>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</si>
  <si>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</si>
  <si>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</si>
  <si>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</si>
  <si>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</si>
  <si>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</si>
  <si>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</si>
  <si>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</si>
  <si>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</si>
  <si>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</si>
  <si>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</si>
  <si>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</si>
  <si>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</si>
  <si>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</si>
  <si>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</si>
  <si>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</si>
  <si>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</si>
  <si>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</si>
  <si>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</si>
  <si>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</si>
  <si>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</si>
  <si>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</si>
  <si>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</si>
  <si>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</si>
  <si>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</si>
  <si>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</si>
  <si>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</si>
  <si>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</si>
  <si>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</si>
  <si>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</si>
  <si>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</si>
  <si>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</si>
  <si>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</si>
  <si>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</si>
  <si>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</si>
  <si>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</si>
  <si>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</si>
  <si>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</si>
  <si>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</si>
  <si>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</si>
  <si>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</si>
  <si>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</si>
  <si>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</si>
  <si>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</si>
  <si>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</si>
  <si>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</si>
  <si>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</si>
  <si>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</si>
  <si>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</si>
  <si>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</si>
  <si>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</si>
  <si>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</si>
  <si>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</si>
  <si>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</si>
  <si>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</si>
  <si>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</si>
  <si>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</si>
  <si>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</si>
  <si>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</si>
  <si>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</si>
  <si>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</si>
  <si>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</si>
  <si>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</si>
  <si>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</si>
  <si>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</si>
  <si>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</si>
  <si>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</si>
  <si>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</si>
  <si>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</si>
  <si>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</si>
  <si>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</si>
  <si>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</si>
  <si>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</si>
  <si>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</si>
  <si>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</si>
  <si>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</si>
  <si>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</si>
  <si>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</si>
  <si>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</si>
  <si>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</si>
  <si>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</si>
  <si>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</si>
  <si>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</si>
  <si>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</si>
  <si>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</si>
  <si>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</si>
  <si>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</si>
  <si>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</si>
  <si>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</si>
  <si>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</si>
  <si>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</si>
  <si>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</si>
  <si>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</si>
  <si>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</si>
  <si>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</si>
  <si>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</si>
  <si>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</si>
  <si>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</si>
  <si>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</si>
  <si>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</si>
  <si>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</si>
  <si>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</si>
  <si>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</si>
  <si>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</si>
  <si>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</si>
  <si>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</si>
  <si>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</si>
  <si>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</si>
  <si>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</si>
  <si>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</si>
  <si>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</si>
  <si>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</si>
  <si>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</si>
  <si>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</si>
  <si>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</si>
  <si>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</si>
  <si>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</si>
  <si>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</si>
  <si>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</si>
  <si>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</si>
  <si>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</si>
  <si>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</si>
  <si>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</si>
  <si>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</si>
  <si>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</si>
  <si>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</si>
  <si>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</si>
  <si>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</si>
  <si>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</si>
  <si>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</si>
  <si>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</si>
  <si>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</si>
  <si>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</si>
  <si>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</si>
  <si>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</si>
  <si>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</si>
  <si>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</si>
  <si>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</si>
  <si>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</si>
  <si>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</si>
  <si>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</si>
  <si>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</si>
  <si>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</si>
  <si>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</si>
  <si>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</si>
  <si>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</si>
  <si>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</si>
  <si>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</si>
  <si>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</si>
  <si>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</si>
  <si>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</si>
  <si>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</si>
  <si>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</si>
  <si>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</si>
  <si>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</si>
  <si>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</si>
  <si>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</si>
  <si>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</si>
  <si>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</si>
  <si>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</si>
  <si>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</si>
  <si>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</si>
  <si>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</si>
  <si>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</si>
  <si>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</si>
  <si>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</si>
  <si>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</si>
  <si>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</si>
  <si>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</si>
  <si>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</si>
  <si>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</si>
  <si>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</si>
  <si>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</si>
  <si>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</si>
  <si>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</si>
  <si>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</si>
  <si>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</si>
  <si>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</si>
  <si>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</si>
  <si>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</si>
  <si>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</si>
  <si>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</si>
  <si>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</si>
  <si>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</si>
  <si>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</si>
  <si>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</si>
  <si>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</si>
  <si>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</si>
  <si>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</si>
  <si>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</si>
  <si>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</si>
  <si>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</si>
  <si>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</si>
  <si>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</si>
  <si>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</si>
  <si>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</si>
  <si>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</si>
  <si>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</si>
  <si>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</si>
  <si>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</si>
  <si>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</si>
  <si>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</si>
  <si>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</si>
  <si>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</si>
  <si>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</si>
  <si>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</si>
  <si>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</si>
  <si>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</si>
  <si>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</si>
  <si>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</si>
  <si>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</si>
  <si>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</si>
  <si>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</si>
  <si>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</si>
  <si>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</si>
  <si>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</si>
  <si>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</si>
  <si>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</si>
  <si>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</si>
  <si>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</si>
  <si>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</si>
  <si>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</si>
  <si>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</si>
  <si>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</si>
  <si>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</si>
  <si>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</si>
  <si>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</si>
  <si>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</si>
  <si>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</si>
  <si>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</si>
  <si>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</si>
  <si>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</si>
  <si>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</si>
  <si>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</si>
  <si>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</si>
  <si>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</si>
  <si>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</si>
  <si>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</si>
  <si>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</si>
  <si>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</si>
  <si>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</si>
  <si>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</si>
  <si>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</si>
  <si>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</si>
  <si>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</si>
  <si>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</si>
  <si>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</si>
  <si>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</si>
  <si>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</si>
  <si>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</si>
  <si>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</si>
  <si>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</si>
  <si>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</si>
  <si>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</si>
  <si>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</si>
  <si>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</si>
  <si>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</si>
  <si>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</si>
  <si>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</si>
  <si>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</si>
  <si>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</si>
  <si>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</si>
  <si>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</si>
  <si>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</si>
  <si>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</si>
  <si>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</si>
  <si>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</si>
  <si>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</si>
  <si>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</si>
  <si>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</si>
  <si>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</si>
  <si>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</si>
  <si>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</si>
  <si>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</si>
  <si>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</si>
  <si>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</si>
  <si>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</si>
  <si>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</si>
  <si>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</si>
  <si>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</si>
  <si>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</si>
  <si>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</si>
  <si>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</si>
  <si>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</si>
  <si>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</si>
  <si>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</si>
  <si>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</si>
  <si>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</si>
  <si>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</si>
  <si>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</si>
  <si>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</si>
  <si>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</si>
  <si>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</si>
  <si>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</si>
  <si>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</si>
  <si>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</si>
  <si>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</si>
  <si>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</si>
  <si>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</si>
  <si>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</si>
  <si>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</si>
  <si>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</si>
  <si>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</si>
  <si>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</si>
  <si>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</si>
  <si>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</si>
  <si>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</si>
  <si>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</si>
  <si>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</si>
  <si>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</si>
  <si>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</si>
  <si>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</si>
  <si>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</si>
  <si>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</si>
  <si>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</si>
  <si>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</si>
  <si>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</si>
  <si>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</si>
  <si>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</si>
  <si>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</si>
  <si>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</si>
  <si>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</si>
  <si>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</si>
  <si>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</si>
  <si>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</si>
  <si>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</si>
  <si>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</si>
  <si>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</si>
  <si>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</si>
  <si>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</si>
  <si>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</si>
  <si>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</si>
  <si>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</si>
  <si>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</si>
  <si>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</si>
  <si>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</si>
  <si>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</si>
  <si>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</si>
  <si>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</si>
  <si>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</si>
  <si>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</si>
  <si>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</si>
  <si>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</si>
  <si>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</si>
  <si>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</si>
  <si>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</si>
  <si>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</si>
  <si>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</si>
  <si>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</si>
  <si>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</si>
  <si>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</si>
  <si>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</si>
  <si>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</si>
  <si>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</si>
  <si>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</si>
  <si>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</si>
  <si>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</si>
  <si>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</si>
  <si>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</si>
  <si>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</si>
  <si>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</si>
  <si>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</si>
  <si>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</si>
  <si>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</si>
  <si>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</si>
  <si>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</si>
  <si>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</si>
  <si>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</si>
  <si>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</si>
  <si>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</si>
  <si>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</si>
  <si>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</si>
  <si>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</si>
  <si>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</si>
  <si>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</si>
  <si>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</si>
  <si>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</si>
  <si>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</si>
  <si>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</si>
  <si>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</si>
  <si>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</si>
  <si>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</si>
  <si>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</si>
  <si>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</si>
  <si>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</si>
  <si>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</si>
  <si>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</si>
  <si>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</si>
  <si>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</si>
  <si>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</si>
  <si>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</si>
  <si>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</si>
  <si>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</si>
  <si>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</si>
  <si>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</si>
  <si>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</si>
  <si>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</si>
  <si>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</si>
  <si>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</si>
  <si>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</si>
  <si>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</si>
  <si>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</si>
  <si>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</si>
  <si>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</si>
  <si>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</si>
  <si>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</si>
  <si>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</si>
  <si>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</si>
  <si>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</si>
  <si>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</si>
  <si>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</si>
  <si>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</si>
  <si>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</si>
  <si>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</si>
  <si>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</si>
  <si>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</si>
  <si>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</si>
  <si>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</si>
  <si>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</si>
  <si>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</si>
  <si>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</si>
  <si>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</si>
  <si>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</si>
  <si>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</si>
  <si>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</si>
  <si>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</si>
  <si>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</si>
  <si>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</si>
  <si>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</si>
  <si>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</si>
  <si>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</si>
  <si>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</si>
  <si>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</si>
  <si>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</si>
  <si>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</si>
  <si>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</si>
  <si>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</si>
  <si>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</si>
  <si>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</si>
  <si>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</si>
  <si>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</si>
  <si>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</si>
  <si>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</si>
  <si>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</si>
  <si>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</si>
  <si>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</si>
  <si>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</si>
  <si>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</si>
  <si>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</si>
  <si>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</si>
  <si>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</si>
  <si>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</si>
  <si>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</si>
  <si>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</si>
  <si>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</si>
  <si>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</si>
  <si>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</si>
  <si>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</si>
  <si>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</si>
  <si>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</si>
  <si>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</si>
  <si>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</si>
  <si>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</si>
  <si>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</si>
  <si>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</si>
  <si>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</si>
  <si>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</si>
  <si>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</si>
  <si>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</si>
  <si>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</si>
  <si>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</si>
  <si>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</si>
  <si>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</si>
  <si>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</si>
  <si>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</si>
  <si>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</si>
  <si>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</si>
  <si>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</si>
  <si>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</si>
  <si>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</si>
  <si>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</si>
  <si>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</si>
  <si>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</si>
  <si>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</si>
  <si>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</si>
  <si>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</si>
  <si>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</si>
  <si>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</si>
  <si>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</si>
  <si>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</si>
  <si>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</si>
  <si>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</si>
  <si>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</si>
  <si>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</si>
  <si>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</si>
  <si>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</si>
  <si>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</si>
  <si>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</si>
  <si>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</si>
  <si>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</si>
  <si>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</si>
  <si>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</si>
  <si>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</si>
  <si>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</si>
  <si>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</si>
  <si>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</si>
  <si>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</si>
  <si>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</si>
  <si>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</si>
  <si>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</si>
  <si>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</si>
  <si>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</si>
  <si>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</si>
  <si>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</si>
  <si>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</si>
  <si>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</si>
  <si>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</si>
  <si>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</si>
  <si>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</si>
  <si>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</si>
  <si>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</si>
  <si>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</si>
  <si>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</si>
  <si>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</si>
  <si>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</si>
  <si>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</si>
  <si>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</si>
  <si>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</si>
  <si>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</si>
  <si>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</si>
  <si>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</si>
  <si>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</si>
  <si>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</si>
  <si>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</si>
  <si>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</si>
  <si>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</si>
  <si>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</si>
  <si>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</si>
  <si>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</si>
  <si>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</si>
  <si>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</si>
  <si>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</si>
  <si>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</si>
  <si>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</si>
  <si>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</si>
  <si>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</si>
  <si>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</si>
  <si>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</si>
  <si>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</si>
  <si>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</si>
  <si>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</si>
  <si>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</si>
  <si>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</si>
  <si>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</si>
  <si>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</si>
  <si>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</si>
  <si>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</si>
  <si>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</si>
  <si>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</si>
  <si>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</si>
  <si>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</si>
  <si>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</si>
  <si>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</si>
  <si>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</si>
  <si>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</si>
  <si>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</si>
  <si>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</si>
  <si>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</si>
  <si>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</si>
  <si>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</si>
  <si>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</si>
  <si>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</si>
  <si>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</si>
  <si>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</si>
  <si>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</si>
  <si>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</si>
  <si>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</si>
  <si>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</si>
  <si>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</si>
  <si>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</si>
  <si>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</si>
  <si>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</si>
  <si>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</si>
  <si>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</si>
  <si>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</si>
  <si>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</si>
  <si>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</si>
  <si>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</si>
  <si>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</si>
  <si>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</si>
  <si>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</si>
  <si>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</si>
  <si>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</si>
  <si>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</si>
  <si>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</si>
  <si>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</si>
  <si>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</si>
  <si>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</si>
  <si>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</si>
  <si>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</si>
  <si>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</si>
  <si>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</si>
  <si>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</si>
  <si>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</si>
  <si>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</si>
  <si>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</si>
  <si>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</si>
  <si>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</si>
  <si>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</si>
  <si>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</si>
  <si>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</si>
  <si>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</si>
  <si>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</si>
  <si>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</si>
  <si>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</si>
  <si>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</si>
  <si>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</si>
  <si>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</si>
  <si>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</si>
  <si>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</si>
  <si>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</si>
  <si>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</si>
  <si>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</si>
  <si>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</si>
  <si>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</si>
  <si>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</si>
  <si>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</si>
  <si>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</si>
  <si>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</si>
  <si>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</si>
  <si>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</si>
  <si>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</si>
  <si>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</si>
  <si>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</si>
  <si>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</si>
  <si>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</si>
  <si>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</si>
  <si>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</si>
  <si>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</si>
  <si>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</si>
  <si>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</si>
  <si>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</si>
  <si>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</si>
  <si>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</si>
  <si>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</si>
  <si>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</si>
  <si>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</si>
  <si>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</si>
  <si>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</si>
  <si>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</si>
  <si>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</si>
  <si>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</si>
  <si>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</si>
  <si>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</si>
  <si>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</si>
  <si>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</si>
  <si>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</si>
  <si>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</si>
  <si>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</si>
  <si>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</si>
  <si>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</si>
  <si>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</si>
  <si>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</si>
  <si>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</si>
  <si>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</si>
  <si>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</si>
  <si>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</si>
  <si>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</si>
  <si>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</si>
  <si>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</si>
  <si>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</si>
  <si>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</si>
  <si>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</si>
  <si>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</si>
  <si>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</si>
  <si>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</si>
  <si>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</si>
  <si>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</si>
  <si>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</si>
  <si>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</si>
  <si>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</si>
  <si>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</si>
  <si>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</si>
  <si>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</si>
  <si>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</si>
  <si>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</si>
  <si>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</si>
  <si>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</si>
  <si>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</si>
  <si>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</si>
  <si>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</si>
  <si>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</si>
  <si>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</si>
  <si>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</si>
  <si>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</si>
  <si>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</si>
  <si>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</si>
  <si>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</si>
  <si>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</si>
  <si>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</si>
  <si>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</si>
  <si>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</si>
  <si>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</si>
  <si>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</si>
  <si>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</si>
  <si>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</si>
  <si>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</si>
  <si>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</si>
  <si>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</si>
  <si>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</si>
  <si>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</si>
  <si>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</si>
  <si>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</si>
  <si>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</si>
  <si>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</si>
  <si>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</si>
  <si>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</si>
  <si>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</si>
  <si>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</si>
  <si>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</si>
  <si>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</si>
  <si>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</si>
  <si>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</si>
  <si>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</si>
  <si>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</si>
  <si>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</si>
  <si>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</si>
  <si>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</si>
  <si>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</si>
  <si>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</si>
  <si>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</si>
  <si>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</si>
  <si>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</si>
  <si>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</si>
  <si>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</si>
  <si>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</si>
  <si>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</si>
  <si>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</si>
  <si>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</si>
  <si>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</si>
  <si>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</si>
  <si>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</si>
  <si>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</si>
  <si>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</si>
  <si>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</si>
  <si>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</si>
  <si>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</si>
  <si>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</si>
  <si>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</si>
  <si>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</si>
  <si>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</si>
  <si>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</si>
  <si>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</si>
  <si>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</si>
  <si>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</si>
  <si>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</si>
  <si>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</si>
  <si>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</si>
  <si>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</si>
  <si>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</si>
  <si>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</si>
  <si>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</si>
  <si>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</si>
  <si>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</si>
  <si>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</si>
  <si>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</si>
  <si>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</si>
  <si>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</si>
  <si>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</si>
  <si>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</si>
  <si>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</si>
  <si>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</si>
  <si>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</si>
  <si>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</si>
  <si>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</si>
  <si>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</si>
  <si>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</si>
  <si>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</si>
  <si>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</si>
  <si>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</si>
  <si>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</si>
  <si>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</si>
  <si>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</si>
  <si>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</si>
  <si>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</si>
  <si>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</si>
  <si>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</si>
  <si>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</si>
  <si>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</si>
  <si>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</si>
  <si>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</si>
  <si>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</si>
  <si>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</si>
  <si>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</si>
  <si>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</si>
  <si>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</si>
  <si>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</si>
  <si>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</si>
  <si>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</si>
  <si>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</si>
  <si>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</si>
  <si>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</si>
  <si>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</si>
  <si>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</si>
  <si>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</si>
  <si>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</si>
  <si>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</si>
  <si>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</si>
  <si>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</si>
  <si>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</si>
  <si>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</si>
  <si>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</si>
  <si>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</si>
  <si>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</si>
  <si>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</si>
  <si>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</si>
  <si>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</si>
  <si>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</si>
  <si>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</si>
  <si>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</si>
  <si>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</si>
  <si>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</si>
  <si>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</si>
  <si>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</si>
  <si>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</si>
  <si>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</si>
  <si>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</si>
  <si>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</si>
  <si>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</si>
  <si>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</si>
  <si>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</si>
  <si>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</si>
  <si>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</si>
  <si>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</si>
  <si>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</si>
  <si>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</si>
  <si>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</si>
  <si>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</si>
  <si>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</si>
  <si>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</si>
  <si>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</si>
  <si>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</si>
  <si>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</si>
  <si>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</si>
  <si>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</si>
  <si>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</si>
  <si>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</si>
  <si>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</si>
  <si>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</si>
  <si>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</si>
  <si>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</si>
  <si>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</si>
  <si>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</si>
  <si>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</si>
  <si>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</si>
  <si>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</si>
  <si>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</si>
  <si>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</si>
  <si>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</si>
  <si>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</si>
  <si>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</si>
  <si>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</si>
  <si>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</si>
  <si>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</si>
  <si>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</si>
  <si>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</si>
  <si>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</si>
  <si>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</si>
  <si>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</si>
  <si>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</si>
  <si>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</si>
  <si>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</si>
  <si>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</si>
  <si>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</si>
  <si>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</si>
  <si>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</si>
  <si>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</si>
  <si>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</si>
  <si>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</si>
  <si>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</si>
  <si>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</si>
  <si>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</si>
  <si>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</si>
  <si>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</si>
  <si>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</si>
  <si>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</si>
  <si>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</si>
  <si>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</si>
  <si>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</si>
  <si>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</si>
  <si>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</si>
  <si>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</si>
  <si>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</si>
  <si>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</si>
  <si>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</si>
  <si>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</si>
  <si>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</si>
  <si>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</si>
  <si>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</si>
  <si>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</si>
  <si>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</si>
  <si>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</si>
  <si>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</si>
  <si>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</si>
  <si>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</si>
  <si>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</si>
  <si>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</si>
  <si>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</si>
  <si>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</si>
  <si>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</si>
  <si>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</si>
  <si>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</si>
  <si>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</si>
  <si>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</si>
  <si>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</si>
  <si>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</si>
  <si>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</si>
  <si>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</si>
  <si>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</si>
  <si>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</si>
  <si>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</si>
  <si>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</si>
  <si>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</si>
  <si>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</si>
  <si>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</si>
  <si>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</si>
  <si>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</si>
  <si>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</si>
  <si>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</si>
  <si>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</si>
  <si>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</si>
  <si>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</si>
  <si>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</si>
  <si>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</si>
  <si>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</si>
  <si>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</si>
  <si>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</si>
  <si>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</si>
  <si>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</si>
  <si>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</si>
  <si>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</si>
  <si>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</si>
  <si>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</si>
  <si>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</si>
  <si>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</si>
  <si>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</si>
  <si>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</si>
  <si>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</si>
  <si>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</si>
  <si>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</si>
  <si>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</si>
  <si>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</si>
  <si>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</si>
  <si>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</si>
  <si>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</si>
  <si>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</si>
  <si>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</si>
  <si>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</si>
  <si>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</si>
  <si>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</si>
  <si>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</si>
  <si>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</si>
  <si>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</si>
  <si>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</si>
  <si>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</si>
  <si>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</si>
  <si>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</si>
  <si>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</si>
  <si>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</si>
  <si>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</si>
  <si>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</si>
  <si>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</si>
  <si>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</si>
  <si>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</si>
  <si>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</si>
  <si>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</si>
  <si>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</si>
  <si>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</si>
  <si>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</si>
  <si>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</si>
  <si>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</si>
  <si>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</si>
  <si>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</si>
  <si>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</si>
  <si>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</si>
  <si>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</si>
  <si>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</si>
  <si>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</si>
  <si>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</si>
  <si>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</si>
  <si>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</si>
  <si>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</si>
  <si>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</si>
  <si>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</si>
  <si>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</si>
  <si>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</si>
  <si>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</si>
  <si>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</si>
  <si>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</si>
  <si>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</si>
  <si>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</si>
  <si>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</si>
  <si>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</si>
  <si>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</si>
  <si>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</si>
  <si>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</si>
  <si>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</si>
  <si>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</si>
  <si>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</si>
  <si>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</si>
  <si>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</si>
  <si>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</si>
  <si>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</si>
  <si>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</si>
  <si>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</si>
  <si>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</si>
  <si>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</si>
  <si>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</si>
  <si>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</si>
  <si>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</si>
  <si>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</si>
  <si>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</si>
  <si>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</si>
  <si>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</si>
  <si>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</si>
  <si>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</si>
  <si>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</si>
  <si>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</si>
  <si>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</si>
  <si>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</si>
  <si>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</si>
  <si>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</si>
  <si>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</si>
  <si>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</si>
  <si>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</si>
  <si>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</si>
  <si>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</si>
  <si>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</si>
  <si>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</si>
  <si>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</si>
  <si>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</si>
  <si>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</si>
  <si>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</si>
  <si>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</si>
  <si>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</si>
  <si>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</si>
  <si>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</si>
  <si>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</si>
  <si>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</si>
  <si>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</si>
  <si>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</si>
  <si>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</si>
  <si>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</si>
  <si>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</si>
  <si>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</si>
  <si>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</si>
  <si>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</si>
  <si>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</si>
  <si>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</si>
  <si>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</si>
  <si>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</si>
  <si>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</si>
  <si>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</si>
  <si>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</si>
  <si>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</si>
  <si>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</si>
  <si>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</si>
  <si>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</si>
  <si>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</si>
  <si>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</si>
  <si>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</si>
  <si>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</si>
  <si>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</si>
  <si>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</si>
  <si>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</si>
  <si>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</si>
  <si>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</si>
  <si>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</si>
  <si>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</si>
  <si>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</si>
  <si>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</si>
  <si>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</si>
  <si>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</si>
  <si>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</si>
  <si>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</si>
  <si>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</si>
  <si>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</si>
  <si>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</si>
  <si>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</si>
  <si>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</si>
  <si>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</si>
  <si>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</si>
  <si>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</si>
  <si>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</si>
  <si>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</si>
  <si>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</si>
  <si>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</si>
  <si>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</si>
  <si>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</si>
  <si>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</si>
  <si>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</si>
  <si>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</si>
  <si>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</si>
  <si>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</si>
  <si>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</si>
  <si>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</si>
  <si>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</si>
  <si>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</si>
  <si>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</si>
  <si>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</si>
  <si>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</si>
  <si>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</si>
  <si>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</si>
  <si>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</si>
  <si>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</si>
  <si>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</si>
  <si>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</si>
  <si>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</si>
  <si>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</si>
  <si>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</si>
  <si>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</si>
  <si>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</si>
  <si>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</si>
  <si>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</si>
  <si>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</si>
  <si>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</si>
  <si>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</si>
  <si>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</si>
  <si>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</si>
  <si>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</si>
  <si>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</si>
  <si>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</si>
  <si>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</si>
  <si>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</si>
  <si>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</si>
  <si>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</si>
  <si>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</si>
  <si>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</si>
  <si>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</si>
  <si>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</si>
  <si>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</si>
  <si>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</si>
  <si>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</si>
  <si>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</si>
  <si>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</si>
  <si>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</si>
  <si>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</si>
  <si>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</si>
  <si>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</si>
  <si>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</si>
  <si>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</si>
  <si>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</si>
  <si>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</si>
  <si>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</si>
  <si>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</si>
  <si>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</si>
  <si>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</si>
  <si>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</si>
  <si>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</si>
  <si>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</si>
  <si>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</si>
  <si>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</si>
  <si>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</si>
  <si>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</si>
  <si>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</si>
  <si>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</si>
  <si>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</si>
  <si>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</si>
  <si>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</si>
  <si>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</si>
  <si>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</si>
  <si>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</si>
  <si>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</si>
  <si>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</si>
  <si>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</si>
  <si>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</si>
  <si>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</si>
  <si>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</si>
  <si>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</si>
  <si>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</si>
  <si>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</si>
  <si>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</si>
  <si>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</si>
  <si>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</si>
  <si>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</si>
  <si>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</si>
  <si>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</si>
  <si>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</si>
  <si>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</si>
  <si>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</si>
  <si>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</si>
  <si>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</si>
  <si>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</si>
  <si>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</si>
  <si>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</si>
  <si>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</si>
  <si>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</si>
  <si>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</si>
  <si>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</si>
  <si>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</si>
  <si>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</si>
  <si>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</si>
  <si>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</si>
  <si>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</si>
  <si>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</si>
  <si>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</si>
  <si>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</si>
  <si>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</si>
  <si>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</si>
  <si>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</si>
  <si>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</si>
  <si>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</si>
  <si>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</si>
  <si>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</si>
  <si>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</si>
  <si>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</si>
  <si>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</si>
  <si>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</si>
  <si>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</si>
  <si>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</si>
  <si>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</si>
  <si>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</si>
  <si>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</si>
  <si>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</si>
  <si>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</si>
  <si>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</si>
  <si>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</si>
  <si>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</si>
  <si>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</si>
  <si>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</si>
  <si>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</si>
  <si>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</si>
  <si>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</si>
  <si>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</si>
  <si>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</si>
  <si>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</si>
  <si>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</si>
  <si>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</si>
  <si>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</si>
  <si>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</si>
  <si>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</si>
  <si>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</si>
  <si>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</si>
  <si>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</si>
  <si>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</si>
  <si>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</si>
  <si>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</si>
  <si>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</si>
  <si>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</si>
  <si>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</si>
  <si>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</si>
  <si>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</si>
  <si>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</si>
  <si>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</si>
  <si>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</si>
  <si>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</si>
  <si>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</si>
  <si>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</si>
  <si>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</si>
  <si>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</si>
  <si>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</si>
  <si>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</si>
  <si>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</si>
  <si>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</si>
  <si>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</si>
  <si>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</si>
  <si>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</si>
  <si>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</si>
  <si>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</si>
  <si>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</si>
  <si>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</si>
  <si>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</si>
  <si>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</si>
  <si>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</si>
  <si>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</si>
  <si>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</si>
  <si>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</si>
  <si>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</si>
  <si>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</si>
  <si>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</si>
  <si>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</si>
  <si>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</si>
  <si>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</si>
  <si>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</si>
  <si>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</si>
  <si>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</si>
  <si>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</si>
  <si>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</si>
  <si>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</si>
  <si>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</si>
  <si>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</si>
  <si>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</si>
  <si>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</si>
  <si>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</si>
  <si>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</si>
  <si>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</si>
  <si>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</si>
  <si>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</si>
  <si>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</si>
  <si>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</si>
  <si>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</si>
  <si>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</si>
  <si>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</si>
  <si>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</si>
  <si>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</si>
  <si>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</si>
  <si>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</si>
  <si>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</si>
  <si>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</si>
  <si>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</si>
  <si>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</si>
  <si>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</si>
  <si>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</si>
  <si>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</si>
  <si>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</si>
  <si>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</si>
  <si>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</si>
  <si>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</si>
  <si>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</si>
  <si>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</si>
  <si>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</si>
  <si>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</si>
  <si>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</si>
  <si>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</si>
  <si>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</si>
  <si>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</si>
  <si>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</si>
  <si>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</si>
  <si>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</si>
  <si>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</si>
  <si>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</si>
  <si>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</si>
  <si>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</si>
  <si>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</si>
  <si>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</si>
  <si>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</si>
  <si>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</si>
  <si>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</si>
  <si>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</si>
  <si>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</si>
  <si>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</si>
  <si>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</si>
  <si>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</si>
  <si>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</si>
  <si>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</si>
  <si>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</si>
  <si>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</si>
  <si>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</si>
  <si>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</si>
  <si>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</si>
  <si>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</si>
  <si>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</si>
  <si>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</si>
  <si>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</si>
  <si>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</si>
  <si>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</si>
  <si>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</si>
  <si>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</si>
  <si>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</si>
  <si>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</si>
  <si>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</si>
  <si>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</si>
  <si>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</si>
  <si>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</si>
  <si>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</si>
  <si>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</si>
  <si>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</si>
  <si>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</si>
  <si>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</si>
  <si>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</si>
  <si>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</si>
  <si>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</si>
  <si>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</si>
  <si>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</si>
  <si>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</si>
  <si>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</si>
  <si>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</si>
  <si>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</si>
  <si>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</si>
  <si>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</si>
  <si>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</si>
  <si>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</si>
  <si>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</si>
  <si>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</si>
  <si>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</si>
  <si>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</si>
  <si>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</si>
  <si>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</si>
  <si>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</si>
  <si>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</si>
  <si>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</si>
  <si>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</si>
  <si>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</si>
  <si>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</si>
  <si>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</si>
  <si>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</si>
  <si>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</si>
  <si>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</si>
  <si>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</si>
  <si>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</si>
  <si>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</si>
  <si>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</si>
  <si>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</si>
  <si>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</si>
  <si>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</si>
  <si>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</si>
  <si>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</si>
  <si>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</si>
  <si>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</si>
  <si>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</si>
  <si>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</si>
  <si>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</si>
  <si>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</si>
  <si>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</si>
  <si>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</si>
  <si>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</si>
  <si>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</si>
  <si>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</si>
  <si>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</si>
  <si>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</si>
  <si>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</si>
  <si>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</si>
  <si>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</si>
  <si>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</si>
  <si>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</si>
  <si>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</si>
  <si>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</si>
  <si>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</si>
  <si>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</si>
  <si>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</si>
  <si>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</si>
  <si>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</si>
  <si>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</si>
  <si>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</si>
  <si>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</si>
  <si>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</si>
  <si>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</si>
  <si>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</si>
  <si>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</si>
  <si>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</si>
  <si>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</si>
  <si>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</si>
  <si>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</si>
  <si>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</si>
  <si>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</si>
  <si>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</si>
  <si>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</si>
  <si>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</si>
  <si>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</si>
  <si>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</si>
  <si>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</si>
  <si>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</si>
  <si>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</si>
  <si>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</si>
  <si>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</si>
  <si>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</si>
  <si>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</si>
  <si>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</si>
  <si>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</si>
  <si>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</si>
  <si>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</si>
  <si>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</si>
  <si>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</si>
  <si>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</si>
  <si>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</si>
  <si>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</si>
  <si>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</si>
  <si>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</si>
  <si>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</si>
  <si>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</si>
  <si>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</si>
  <si>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</si>
  <si>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</si>
  <si>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</si>
  <si>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</si>
  <si>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</si>
  <si>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</si>
  <si>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</si>
  <si>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</si>
  <si>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</si>
  <si>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</si>
  <si>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</si>
  <si>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</si>
  <si>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</si>
  <si>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</si>
  <si>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</si>
  <si>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</si>
  <si>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</si>
  <si>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</si>
  <si>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</si>
  <si>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</si>
  <si>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</si>
  <si>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</si>
  <si>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</si>
  <si>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</si>
  <si>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</si>
  <si>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</si>
  <si>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</si>
  <si>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</si>
  <si>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</si>
  <si>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</si>
  <si>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</si>
  <si>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</si>
  <si>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</si>
  <si>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</si>
  <si>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</si>
  <si>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</si>
  <si>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</si>
  <si>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</si>
  <si>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</si>
  <si>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</si>
  <si>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</si>
  <si>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</si>
  <si>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</si>
  <si>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</si>
  <si>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</si>
  <si>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</si>
  <si>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</si>
  <si>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</si>
  <si>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</si>
  <si>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</si>
  <si>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</si>
  <si>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</si>
  <si>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</si>
  <si>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</si>
  <si>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</si>
  <si>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</si>
  <si>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</si>
  <si>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</si>
  <si>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</si>
  <si>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</si>
  <si>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</si>
  <si>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</si>
  <si>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</si>
  <si>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</si>
  <si>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</si>
  <si>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</si>
  <si>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</si>
  <si>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</si>
  <si>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</si>
  <si>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</si>
  <si>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</si>
  <si>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</si>
  <si>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</si>
  <si>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</si>
  <si>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</si>
  <si>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</si>
  <si>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</si>
  <si>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</si>
  <si>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</si>
  <si>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</si>
  <si>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</si>
  <si>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</si>
  <si>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</si>
  <si>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</si>
  <si>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</si>
  <si>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</si>
  <si>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</si>
  <si>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</si>
  <si>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</si>
  <si>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</si>
  <si>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</si>
  <si>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</si>
  <si>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</si>
  <si>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</si>
  <si>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</si>
  <si>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</si>
  <si>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</si>
  <si>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</si>
  <si>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</si>
  <si>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</si>
  <si>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</si>
  <si>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</si>
  <si>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</si>
  <si>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</si>
  <si>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</si>
  <si>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</si>
  <si>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</si>
  <si>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</si>
  <si>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</si>
  <si>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</si>
  <si>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</si>
  <si>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</si>
  <si>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</si>
  <si>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</si>
  <si>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</si>
  <si>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</si>
  <si>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</si>
  <si>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</si>
  <si>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</si>
  <si>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</si>
  <si>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</si>
  <si>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</si>
  <si>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</si>
  <si>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</si>
  <si>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</si>
  <si>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</si>
  <si>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</si>
  <si>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</si>
  <si>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</si>
  <si>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</si>
  <si>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</si>
  <si>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</si>
  <si>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</si>
  <si>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</si>
  <si>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</si>
  <si>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</si>
  <si>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</si>
  <si>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</si>
  <si>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</si>
  <si>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</si>
  <si>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</si>
  <si>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</si>
  <si>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</si>
  <si>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</si>
  <si>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</si>
  <si>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</si>
  <si>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</si>
  <si>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</si>
  <si>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</si>
  <si>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</si>
  <si>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</si>
  <si>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</si>
  <si>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</si>
  <si>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</si>
  <si>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</si>
  <si>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</si>
  <si>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</si>
  <si>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</si>
  <si>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</si>
  <si>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</si>
  <si>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</si>
  <si>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</si>
  <si>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</si>
  <si>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</si>
  <si>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</si>
  <si>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</si>
  <si>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</si>
  <si>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</si>
  <si>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</si>
  <si>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</si>
  <si>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</si>
  <si>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</si>
  <si>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</si>
  <si>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</si>
  <si>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</si>
  <si>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</si>
  <si>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</si>
  <si>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</si>
  <si>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</si>
  <si>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</si>
  <si>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</si>
  <si>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</si>
  <si>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</si>
  <si>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</si>
  <si>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</si>
  <si>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</si>
  <si>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</si>
  <si>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</si>
  <si>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</si>
  <si>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</si>
  <si>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</si>
  <si>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</si>
  <si>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</si>
  <si>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</si>
  <si>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</si>
  <si>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</si>
  <si>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</si>
  <si>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</si>
  <si>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</si>
  <si>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</si>
  <si>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</si>
  <si>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</si>
  <si>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</si>
  <si>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</si>
  <si>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</si>
  <si>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</si>
  <si>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</si>
  <si>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</si>
  <si>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</si>
  <si>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</si>
  <si>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</si>
  <si>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</si>
  <si>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</si>
  <si>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</si>
  <si>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</si>
  <si>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</si>
  <si>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</si>
  <si>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</si>
  <si>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</si>
  <si>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</si>
  <si>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</si>
  <si>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</si>
  <si>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</si>
  <si>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</si>
  <si>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</si>
  <si>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</si>
  <si>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</si>
  <si>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</si>
  <si>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</si>
  <si>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</si>
  <si>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</si>
  <si>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</si>
  <si>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</si>
  <si>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</si>
  <si>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</si>
  <si>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</si>
  <si>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</si>
  <si>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</si>
  <si>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</si>
  <si>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</si>
  <si>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</si>
  <si>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</si>
  <si>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</si>
  <si>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</si>
  <si>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</si>
  <si>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</si>
  <si>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</si>
  <si>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</si>
  <si>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</si>
  <si>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</si>
  <si>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</si>
  <si>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</si>
  <si>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</si>
  <si>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</si>
  <si>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</si>
  <si>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</si>
  <si>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</si>
  <si>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</si>
  <si>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</si>
  <si>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</si>
  <si>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</si>
  <si>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</si>
  <si>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</si>
  <si>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</si>
  <si>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</si>
  <si>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</si>
  <si>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</si>
  <si>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</si>
  <si>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</si>
  <si>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</si>
  <si>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</si>
  <si>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</si>
  <si>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</si>
  <si>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</si>
  <si>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</si>
  <si>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</si>
  <si>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</si>
  <si>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</si>
  <si>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</si>
  <si>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</si>
  <si>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</si>
  <si>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</si>
  <si>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</si>
  <si>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</si>
  <si>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</si>
  <si>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</si>
  <si>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</si>
  <si>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</si>
  <si>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</si>
  <si>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</si>
  <si>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</si>
  <si>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</si>
  <si>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</si>
  <si>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</si>
  <si>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</si>
  <si>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</si>
  <si>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</si>
  <si>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</si>
  <si>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</si>
  <si>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</si>
  <si>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</si>
  <si>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</si>
  <si>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</si>
  <si>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</si>
  <si>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</si>
  <si>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</si>
  <si>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</si>
  <si>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</si>
  <si>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</si>
  <si>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</si>
  <si>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</si>
  <si>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</si>
  <si>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</si>
  <si>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</si>
  <si>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</si>
  <si>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</si>
  <si>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</si>
  <si>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</si>
  <si>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</si>
  <si>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</si>
  <si>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</si>
  <si>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</si>
  <si>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</si>
  <si>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</si>
  <si>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</si>
  <si>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</si>
  <si>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</si>
  <si>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</si>
  <si>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</si>
  <si>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</si>
  <si>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</si>
  <si>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</si>
  <si>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</si>
  <si>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</si>
  <si>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</si>
  <si>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</si>
  <si>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</si>
  <si>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</si>
  <si>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</si>
  <si>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</si>
  <si>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</si>
  <si>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</si>
  <si>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</si>
  <si>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</si>
  <si>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</si>
  <si>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</si>
  <si>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</si>
  <si>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</si>
  <si>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</si>
  <si>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</si>
  <si>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</si>
  <si>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</si>
  <si>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</si>
  <si>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</si>
  <si>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</si>
  <si>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</si>
  <si>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</si>
  <si>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</si>
  <si>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</si>
  <si>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</si>
  <si>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</si>
  <si>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</si>
  <si>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</si>
  <si>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</si>
  <si>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</si>
  <si>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</si>
  <si>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</si>
  <si>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</si>
  <si>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</si>
  <si>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</si>
  <si>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</si>
  <si>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</si>
  <si>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</si>
  <si>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</si>
  <si>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</si>
  <si>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</si>
  <si>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</si>
  <si>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</si>
  <si>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</si>
  <si>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</si>
  <si>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</si>
  <si>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</si>
  <si>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</si>
  <si>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</si>
  <si>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</si>
  <si>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</si>
  <si>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</si>
  <si>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</si>
  <si>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</si>
  <si>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</si>
  <si>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</si>
  <si>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</si>
  <si>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</si>
  <si>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</si>
  <si>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</si>
  <si>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</si>
  <si>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</si>
  <si>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</si>
  <si>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</si>
  <si>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</si>
  <si>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</si>
  <si>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</si>
  <si>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</si>
  <si>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</si>
  <si>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</si>
  <si>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</si>
  <si>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</si>
  <si>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</si>
  <si>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</si>
  <si>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</si>
  <si>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</si>
  <si>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</si>
  <si>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</si>
  <si>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</si>
  <si>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</si>
  <si>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</si>
  <si>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</si>
  <si>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</si>
  <si>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</si>
  <si>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</si>
  <si>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</si>
  <si>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</si>
  <si>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</si>
  <si>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</si>
  <si>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</si>
  <si>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</si>
  <si>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</si>
  <si>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</si>
  <si>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</si>
  <si>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</si>
  <si>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</si>
  <si>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</si>
  <si>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</si>
  <si>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</si>
  <si>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</si>
  <si>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</si>
  <si>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</si>
  <si>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</si>
  <si>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</si>
  <si>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</si>
  <si>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</si>
  <si>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</si>
  <si>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</si>
  <si>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</si>
  <si>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</si>
  <si>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</si>
  <si>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</si>
  <si>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</si>
  <si>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</si>
  <si>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</si>
  <si>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</si>
  <si>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</si>
  <si>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</si>
  <si>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</si>
  <si>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</si>
  <si>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</si>
  <si>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</si>
  <si>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</si>
  <si>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</si>
  <si>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</si>
  <si>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</si>
  <si>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</si>
  <si>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</si>
  <si>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</si>
  <si>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</si>
  <si>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</si>
  <si>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</si>
  <si>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</si>
  <si>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</si>
  <si>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</si>
  <si>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</si>
  <si>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</si>
  <si>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</si>
  <si>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</si>
  <si>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</si>
  <si>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</si>
  <si>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</si>
  <si>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</si>
  <si>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</si>
  <si>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</si>
  <si>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</si>
  <si>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</si>
  <si>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</si>
  <si>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</si>
  <si>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</si>
  <si>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</si>
  <si>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</si>
  <si>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</si>
  <si>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</si>
  <si>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</si>
  <si>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</si>
  <si>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</si>
  <si>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</si>
  <si>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</si>
  <si>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</si>
  <si>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</si>
  <si>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</si>
  <si>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</si>
  <si>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</si>
  <si>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</si>
  <si>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</si>
  <si>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</si>
  <si>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</si>
  <si>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</si>
  <si>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</si>
  <si>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</si>
  <si>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</si>
  <si>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</si>
  <si>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</si>
  <si>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</si>
  <si>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</si>
  <si>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</si>
  <si>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</si>
  <si>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</si>
  <si>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</si>
  <si>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</si>
  <si>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</si>
  <si>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</si>
  <si>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</si>
  <si>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</si>
  <si>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</si>
  <si>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</si>
  <si>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</si>
  <si>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</si>
  <si>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</si>
  <si>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</si>
  <si>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</si>
  <si>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</si>
  <si>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</si>
  <si>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</si>
  <si>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</si>
  <si>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</si>
  <si>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</si>
  <si>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</si>
  <si>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</si>
  <si>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</si>
  <si>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</si>
  <si>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</si>
  <si>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</si>
  <si>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</si>
  <si>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</si>
  <si>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</si>
  <si>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</si>
  <si>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</si>
  <si>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</si>
  <si>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</si>
  <si>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</si>
  <si>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</si>
  <si>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</si>
  <si>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</si>
  <si>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</si>
  <si>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</si>
  <si>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</si>
  <si>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</si>
  <si>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</si>
  <si>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</si>
  <si>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</si>
  <si>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</si>
  <si>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</si>
  <si>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</si>
  <si>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</si>
  <si>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</si>
  <si>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</si>
  <si>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</si>
  <si>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</si>
  <si>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</si>
  <si>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</si>
  <si>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</si>
  <si>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</si>
  <si>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</si>
  <si>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</si>
  <si>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</si>
  <si>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</si>
  <si>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</si>
  <si>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</si>
  <si>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</si>
  <si>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</si>
  <si>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</si>
  <si>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</si>
  <si>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</si>
  <si>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</si>
  <si>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</si>
  <si>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</si>
  <si>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</si>
  <si>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</si>
  <si>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</si>
  <si>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</si>
  <si>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</si>
  <si>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</si>
  <si>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</si>
  <si>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</si>
  <si>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</si>
  <si>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</si>
  <si>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</si>
  <si>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</si>
  <si>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</si>
  <si>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</si>
  <si>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</si>
  <si>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</si>
  <si>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</si>
  <si>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</si>
  <si>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</si>
  <si>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</si>
  <si>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</si>
  <si>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</si>
  <si>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</si>
  <si>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</si>
  <si>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</si>
  <si>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</si>
  <si>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</si>
  <si>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</si>
  <si>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</si>
  <si>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</si>
  <si>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</si>
  <si>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</si>
  <si>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</si>
  <si>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</si>
  <si>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</si>
  <si>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</si>
  <si>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</si>
  <si>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</si>
  <si>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</si>
  <si>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</si>
  <si>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</si>
  <si>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</si>
  <si>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</si>
  <si>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</si>
  <si>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</si>
  <si>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</si>
  <si>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</si>
  <si>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</si>
  <si>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</si>
  <si>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</si>
  <si>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</si>
  <si>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</si>
  <si>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</si>
  <si>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</si>
  <si>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</si>
  <si>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</si>
  <si>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</si>
  <si>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</si>
  <si>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</si>
  <si>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</si>
  <si>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</si>
  <si>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</si>
  <si>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</si>
  <si>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</si>
  <si>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</si>
  <si>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</si>
  <si>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</si>
  <si>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</si>
  <si>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</si>
  <si>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</si>
  <si>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</si>
  <si>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</si>
  <si>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</si>
  <si>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</si>
  <si>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</si>
  <si>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</si>
  <si>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</si>
  <si>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</si>
  <si>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</si>
  <si>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</si>
  <si>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</si>
  <si>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</si>
  <si>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</si>
  <si>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</si>
  <si>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</si>
  <si>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</si>
  <si>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</si>
  <si>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</si>
  <si>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</si>
  <si>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</si>
  <si>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</si>
  <si>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</si>
  <si>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</si>
  <si>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</si>
  <si>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</si>
  <si>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</si>
  <si>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</si>
  <si>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</si>
  <si>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</si>
  <si>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</si>
  <si>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</si>
  <si>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</si>
  <si>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</si>
  <si>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</si>
  <si>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</si>
  <si>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</si>
  <si>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</si>
  <si>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</si>
  <si>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</si>
  <si>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</si>
  <si>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</si>
  <si>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</si>
  <si>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</si>
  <si>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</si>
  <si>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</si>
  <si>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</si>
  <si>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</si>
  <si>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</si>
  <si>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</si>
  <si>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</si>
  <si>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</si>
  <si>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</si>
  <si>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</si>
  <si>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</si>
  <si>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</si>
  <si>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</si>
  <si>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</si>
  <si>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</si>
  <si>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</si>
  <si>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</si>
  <si>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</si>
  <si>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</si>
  <si>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</si>
  <si>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</si>
  <si>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</si>
  <si>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</si>
  <si>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</si>
  <si>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</si>
  <si>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</si>
  <si>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</si>
  <si>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</si>
  <si>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</si>
  <si>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</si>
  <si>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</si>
  <si>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</si>
  <si>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</si>
  <si>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</si>
  <si>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</si>
  <si>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</si>
  <si>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</si>
  <si>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</si>
  <si>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</si>
  <si>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</si>
  <si>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</si>
  <si>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</si>
  <si>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</si>
  <si>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</si>
  <si>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</si>
  <si>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</si>
  <si>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</si>
  <si>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</si>
  <si>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</si>
  <si>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</si>
  <si>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</si>
  <si>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</si>
  <si>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</si>
  <si>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</si>
  <si>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</si>
  <si>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</si>
  <si>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</si>
  <si>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</si>
  <si>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</si>
  <si>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</si>
  <si>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</si>
  <si>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</si>
  <si>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</si>
  <si>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</si>
  <si>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</si>
  <si>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</si>
  <si>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</si>
  <si>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</si>
  <si>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</si>
  <si>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</si>
  <si>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</si>
  <si>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</si>
  <si>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</si>
  <si>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</si>
  <si>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</si>
  <si>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</si>
  <si>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</si>
  <si>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</si>
  <si>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</si>
  <si>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</si>
  <si>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</si>
  <si>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</si>
  <si>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</si>
  <si>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</si>
  <si>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</si>
  <si>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</si>
  <si>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</si>
  <si>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</si>
  <si>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</si>
  <si>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</si>
  <si>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</si>
  <si>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</si>
  <si>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</si>
  <si>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</si>
  <si>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</si>
  <si>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</si>
  <si>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</si>
  <si>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</si>
  <si>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</si>
  <si>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</si>
  <si>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</si>
  <si>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</si>
  <si>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</si>
  <si>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</si>
  <si>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</si>
  <si>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</si>
  <si>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</si>
  <si>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</si>
  <si>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</si>
  <si>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</si>
  <si>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</si>
  <si>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</si>
  <si>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</si>
  <si>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</si>
  <si>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</si>
  <si>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</si>
  <si>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</si>
  <si>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</si>
  <si>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</si>
  <si>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</si>
  <si>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</si>
  <si>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</si>
  <si>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</si>
  <si>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</si>
  <si>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</si>
  <si>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</si>
  <si>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</si>
  <si>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</si>
  <si>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</si>
  <si>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</si>
  <si>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</si>
  <si>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</si>
  <si>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</si>
  <si>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</si>
  <si>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</si>
  <si>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</si>
  <si>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</si>
  <si>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</si>
  <si>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</si>
  <si>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</si>
  <si>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</si>
  <si>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</si>
  <si>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</si>
  <si>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</si>
  <si>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</si>
  <si>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</si>
  <si>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</si>
  <si>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</si>
  <si>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</si>
  <si>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</si>
  <si>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</si>
  <si>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</si>
  <si>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</si>
  <si>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</si>
  <si>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</si>
  <si>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</si>
  <si>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</si>
  <si>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</si>
  <si>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</si>
  <si>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</si>
  <si>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</si>
  <si>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</si>
  <si>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</si>
  <si>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</si>
  <si>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</si>
  <si>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</si>
  <si>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</si>
  <si>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</si>
  <si>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</si>
  <si>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</si>
  <si>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</si>
  <si>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</si>
  <si>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</si>
  <si>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</si>
  <si>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</si>
  <si>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</si>
  <si>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</si>
  <si>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</si>
  <si>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</si>
  <si>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</si>
  <si>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</si>
  <si>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</si>
  <si>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</si>
  <si>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</si>
  <si>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</si>
  <si>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</si>
  <si>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</si>
  <si>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</si>
  <si>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</si>
  <si>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</si>
  <si>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</si>
  <si>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</si>
  <si>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</si>
  <si>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</si>
  <si>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</si>
  <si>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</si>
  <si>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</si>
  <si>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</si>
  <si>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</si>
  <si>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</si>
  <si>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</si>
  <si>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</si>
  <si>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</si>
  <si>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</si>
  <si>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</si>
  <si>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</si>
  <si>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</si>
  <si>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</si>
  <si>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</si>
  <si>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</si>
  <si>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</si>
  <si>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</si>
  <si>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</si>
  <si>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</si>
  <si>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</si>
  <si>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</si>
  <si>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</si>
  <si>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</si>
  <si>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</si>
  <si>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</si>
  <si>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</si>
  <si>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</si>
  <si>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</si>
  <si>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</si>
  <si>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</si>
  <si>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</si>
  <si>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</si>
  <si>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</si>
  <si>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</si>
  <si>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</si>
  <si>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</si>
  <si>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</si>
  <si>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</si>
  <si>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</si>
  <si>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</si>
  <si>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</si>
  <si>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</si>
  <si>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</si>
  <si>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</si>
  <si>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</si>
  <si>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</si>
  <si>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</si>
  <si>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</si>
  <si>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</si>
  <si>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</si>
  <si>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</si>
  <si>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</si>
  <si>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</si>
  <si>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</si>
  <si>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</si>
  <si>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</si>
  <si>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</si>
  <si>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</si>
  <si>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</si>
  <si>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</si>
  <si>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</si>
  <si>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</si>
  <si>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</si>
  <si>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</si>
  <si>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</si>
  <si>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</si>
  <si>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</si>
  <si>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</si>
  <si>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</si>
  <si>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</si>
  <si>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</si>
  <si>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</si>
  <si>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</si>
  <si>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</si>
  <si>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</si>
  <si>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</si>
  <si>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</si>
  <si>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</si>
  <si>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</si>
  <si>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</si>
  <si>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</si>
  <si>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</si>
  <si>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</si>
  <si>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</si>
  <si>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</si>
  <si>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</si>
  <si>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</si>
  <si>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</si>
  <si>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</si>
  <si>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</si>
  <si>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</si>
  <si>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</si>
  <si>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</si>
  <si>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</si>
  <si>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</si>
  <si>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</si>
  <si>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</si>
  <si>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</si>
  <si>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</si>
  <si>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</si>
  <si>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</si>
  <si>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</si>
  <si>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</si>
  <si>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</si>
  <si>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</si>
  <si>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</si>
  <si>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</si>
  <si>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</si>
  <si>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</si>
  <si>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</si>
  <si>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</si>
  <si>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</si>
  <si>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</si>
  <si>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</si>
  <si>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</si>
  <si>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</si>
  <si>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</si>
  <si>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</si>
  <si>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</si>
  <si>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</si>
  <si>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</si>
  <si>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</si>
  <si>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</si>
  <si>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</si>
  <si>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</si>
  <si>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</si>
  <si>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</si>
  <si>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</si>
  <si>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</si>
  <si>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</si>
  <si>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</si>
  <si>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</si>
  <si>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</si>
  <si>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</si>
  <si>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</si>
  <si>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</si>
  <si>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</si>
  <si>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</si>
  <si>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</si>
  <si>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</si>
  <si>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</si>
  <si>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</si>
  <si>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</si>
  <si>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</si>
  <si>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</si>
  <si>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</si>
  <si>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</si>
  <si>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</si>
  <si>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</si>
  <si>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</si>
  <si>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</si>
  <si>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</si>
  <si>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</si>
  <si>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</si>
  <si>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</si>
  <si>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</si>
  <si>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</si>
  <si>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</si>
  <si>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</si>
  <si>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</si>
  <si>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</si>
  <si>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</si>
  <si>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</si>
  <si>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</si>
  <si>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</si>
  <si>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</si>
  <si>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</si>
  <si>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</si>
  <si>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</si>
  <si>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</si>
  <si>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</si>
  <si>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</si>
  <si>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</si>
  <si>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</si>
  <si>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</si>
  <si>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</si>
  <si>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</si>
  <si>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</si>
  <si>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</si>
  <si>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</si>
  <si>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</si>
  <si>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</si>
  <si>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</si>
  <si>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</si>
  <si>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</si>
  <si>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</si>
  <si>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</si>
  <si>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</si>
  <si>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</si>
  <si>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</si>
  <si>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</si>
  <si>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</si>
  <si>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</si>
  <si>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</si>
  <si>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</si>
  <si>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</si>
  <si>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</si>
  <si>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</si>
  <si>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</si>
  <si>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</si>
  <si>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</si>
  <si>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</si>
  <si>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</si>
  <si>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</si>
  <si>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</si>
  <si>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</si>
  <si>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</si>
  <si>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</si>
  <si>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</si>
  <si>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</si>
  <si>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</si>
  <si>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</si>
  <si>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</si>
  <si>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</si>
  <si>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</si>
  <si>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</si>
  <si>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</si>
  <si>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</si>
  <si>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</si>
  <si>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</si>
  <si>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</si>
  <si>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</si>
  <si>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</si>
  <si>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</si>
  <si>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</si>
  <si>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</si>
  <si>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</si>
  <si>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</si>
  <si>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</si>
  <si>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</si>
  <si>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</si>
  <si>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</si>
  <si>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</si>
  <si>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</si>
  <si>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</si>
  <si>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</si>
  <si>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</si>
  <si>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</si>
  <si>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</si>
  <si>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</si>
  <si>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</si>
  <si>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</si>
  <si>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</si>
  <si>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</si>
  <si>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</si>
  <si>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</si>
  <si>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</si>
  <si>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</si>
  <si>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</si>
  <si>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</si>
  <si>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</si>
  <si>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</si>
  <si>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</si>
  <si>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</si>
  <si>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</si>
  <si>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</si>
  <si>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</si>
  <si>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</si>
  <si>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</si>
  <si>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</si>
  <si>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</si>
  <si>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</si>
  <si>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</si>
  <si>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</si>
  <si>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</si>
  <si>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</si>
  <si>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</si>
  <si>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</si>
  <si>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</si>
  <si>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</si>
  <si>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</si>
  <si>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</si>
  <si>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</si>
  <si>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</si>
  <si>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</si>
  <si>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</si>
  <si>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</si>
  <si>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</si>
  <si>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</si>
  <si>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</si>
  <si>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</si>
  <si>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</si>
  <si>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</si>
  <si>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</si>
  <si>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</si>
  <si>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</si>
  <si>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</si>
  <si>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</si>
  <si>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</si>
  <si>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</si>
  <si>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</si>
  <si>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</si>
  <si>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</si>
  <si>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</si>
  <si>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</si>
  <si>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</si>
  <si>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</si>
  <si>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</si>
  <si>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</si>
  <si>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</si>
  <si>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</si>
  <si>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</si>
  <si>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</si>
  <si>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</si>
  <si>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</si>
  <si>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</si>
  <si>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</si>
  <si>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</si>
  <si>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</si>
  <si>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</si>
  <si>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</si>
  <si>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</si>
  <si>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</si>
  <si>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</si>
  <si>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</si>
  <si>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</si>
  <si>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</si>
  <si>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</si>
  <si>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</si>
  <si>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</si>
  <si>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</si>
  <si>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</si>
  <si>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</si>
  <si>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</si>
  <si>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</si>
  <si>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</si>
  <si>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</si>
  <si>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</si>
  <si>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</si>
  <si>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</si>
  <si>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</si>
  <si>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</si>
  <si>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</si>
  <si>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</si>
  <si>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</si>
  <si>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</si>
  <si>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</si>
  <si>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</si>
  <si>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</si>
  <si>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</si>
  <si>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</si>
  <si>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</si>
  <si>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</si>
  <si>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</si>
  <si>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</si>
  <si>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</si>
  <si>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</si>
  <si>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</si>
  <si>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</si>
  <si>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</si>
  <si>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</si>
  <si>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</si>
  <si>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</si>
  <si>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</si>
  <si>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</si>
  <si>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</si>
  <si>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</si>
  <si>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</si>
  <si>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</si>
  <si>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</si>
  <si>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</si>
  <si>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</si>
  <si>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</si>
  <si>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</si>
  <si>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</si>
  <si>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</si>
  <si>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</si>
  <si>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</si>
  <si>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</si>
  <si>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</si>
  <si>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</si>
  <si>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</si>
  <si>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</si>
  <si>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</si>
  <si>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</si>
  <si>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</si>
  <si>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</si>
  <si>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</si>
  <si>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</si>
  <si>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</si>
  <si>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</si>
  <si>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</si>
  <si>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</si>
  <si>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</si>
  <si>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</si>
  <si>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</si>
  <si>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</si>
  <si>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</si>
  <si>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</si>
  <si>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</si>
  <si>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</si>
  <si>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</si>
  <si>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</si>
  <si>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</si>
  <si>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</si>
  <si>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</si>
  <si>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</si>
  <si>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</si>
  <si>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</si>
  <si>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</si>
  <si>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</si>
  <si>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</si>
  <si>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</si>
  <si>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</si>
  <si>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</si>
  <si>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</si>
  <si>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</si>
  <si>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</si>
  <si>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</si>
  <si>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</si>
  <si>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</si>
  <si>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</si>
  <si>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</si>
  <si>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</si>
  <si>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</si>
  <si>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</si>
  <si>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</si>
  <si>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</si>
  <si>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</si>
  <si>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</si>
  <si>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</si>
  <si>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</si>
  <si>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</si>
  <si>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</si>
  <si>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</si>
  <si>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</si>
  <si>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</si>
  <si>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</si>
  <si>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</si>
  <si>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</si>
  <si>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</si>
  <si>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</si>
  <si>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</si>
  <si>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</si>
  <si>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</si>
  <si>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</si>
  <si>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</si>
  <si>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</si>
  <si>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</si>
  <si>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</si>
  <si>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</si>
  <si>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</si>
  <si>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</si>
  <si>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</si>
  <si>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</si>
  <si>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</si>
  <si>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</si>
  <si>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</si>
  <si>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</si>
  <si>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</si>
  <si>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</si>
  <si>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</si>
  <si>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</si>
  <si>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</si>
  <si>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</si>
  <si>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</si>
  <si>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</si>
  <si>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</si>
  <si>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</si>
  <si>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</si>
  <si>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</si>
  <si>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</si>
  <si>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</si>
  <si>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</si>
  <si>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</si>
  <si>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</si>
  <si>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</si>
  <si>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</si>
  <si>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</si>
  <si>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</si>
  <si>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</si>
  <si>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</si>
  <si>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</si>
  <si>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</si>
  <si>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</si>
  <si>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</si>
  <si>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</si>
  <si>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</si>
  <si>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</si>
  <si>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</si>
  <si>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</si>
  <si>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</si>
  <si>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</si>
  <si>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</si>
  <si>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</si>
  <si>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</si>
  <si>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</si>
  <si>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</si>
  <si>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</si>
  <si>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</si>
  <si>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</si>
  <si>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</si>
  <si>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</si>
  <si>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</si>
  <si>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</si>
  <si>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</si>
  <si>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</si>
  <si>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</si>
  <si>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</si>
  <si>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</si>
  <si>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</si>
  <si>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</si>
  <si>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</si>
  <si>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</si>
  <si>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</si>
  <si>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</si>
  <si>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</si>
  <si>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</si>
  <si>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</si>
  <si>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</si>
  <si>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</si>
  <si>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</si>
  <si>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</si>
  <si>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</si>
  <si>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</si>
  <si>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</si>
  <si>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</si>
  <si>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</si>
  <si>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</si>
  <si>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</si>
  <si>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</si>
  <si>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</si>
  <si>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</si>
  <si>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</si>
  <si>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</si>
  <si>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</si>
  <si>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</si>
  <si>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</si>
  <si>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</si>
  <si>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</si>
  <si>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</si>
  <si>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</si>
  <si>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</si>
  <si>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</si>
  <si>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</si>
  <si>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</si>
  <si>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</si>
  <si>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</si>
  <si>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</si>
  <si>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</si>
  <si>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</si>
  <si>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</si>
  <si>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</si>
  <si>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</si>
  <si>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</si>
  <si>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</si>
  <si>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</si>
  <si>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</si>
  <si>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</si>
  <si>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</si>
  <si>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</si>
  <si>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</si>
  <si>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</si>
  <si>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</si>
  <si>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</si>
  <si>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</si>
  <si>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</si>
  <si>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</si>
  <si>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</si>
  <si>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</si>
  <si>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</si>
  <si>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</si>
  <si>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</si>
  <si>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</si>
  <si>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</si>
  <si>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</si>
  <si>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</si>
  <si>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</si>
  <si>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</si>
  <si>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</si>
  <si>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</si>
  <si>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</si>
  <si>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</si>
  <si>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</si>
  <si>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</si>
  <si>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</si>
  <si>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</si>
  <si>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</si>
  <si>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</si>
  <si>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</si>
  <si>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</si>
  <si>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</si>
  <si>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</si>
  <si>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</si>
  <si>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</si>
  <si>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</si>
  <si>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</si>
  <si>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</si>
  <si>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</si>
  <si>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</si>
  <si>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</si>
  <si>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</si>
  <si>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</si>
  <si>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</si>
  <si>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</si>
  <si>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</si>
  <si>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</si>
  <si>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</si>
  <si>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</si>
  <si>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</si>
  <si>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</si>
  <si>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</si>
  <si>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</si>
  <si>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</si>
  <si>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</si>
  <si>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</si>
  <si>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</si>
  <si>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</si>
  <si>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</si>
  <si>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</si>
  <si>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</si>
  <si>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</si>
  <si>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</si>
  <si>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</si>
  <si>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</si>
  <si>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</si>
  <si>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</si>
  <si>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</si>
  <si>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</si>
  <si>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</si>
  <si>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</si>
  <si>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</si>
  <si>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</si>
  <si>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</si>
  <si>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</si>
  <si>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</si>
  <si>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</si>
  <si>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</si>
  <si>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</si>
  <si>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</si>
  <si>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</si>
  <si>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</si>
  <si>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</si>
  <si>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</si>
  <si>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</si>
  <si>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</si>
  <si>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</si>
  <si>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</si>
  <si>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</si>
  <si>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</si>
  <si>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</si>
  <si>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</si>
  <si>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</si>
  <si>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</si>
  <si>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</si>
  <si>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</si>
  <si>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</si>
  <si>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</si>
  <si>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</si>
  <si>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</si>
  <si>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</si>
  <si>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</si>
  <si>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</si>
  <si>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</si>
  <si>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</si>
  <si>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</si>
  <si>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</si>
  <si>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</si>
  <si>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</si>
  <si>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</si>
  <si>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</si>
  <si>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</si>
  <si>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</si>
  <si>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</si>
  <si>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</si>
  <si>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</si>
  <si>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</si>
  <si>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</si>
  <si>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</si>
  <si>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</si>
  <si>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</si>
  <si>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</si>
  <si>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</si>
  <si>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</si>
  <si>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</si>
  <si>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</si>
  <si>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</si>
  <si>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</si>
  <si>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</si>
  <si>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</si>
  <si>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</si>
  <si>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</si>
  <si>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</si>
  <si>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</si>
  <si>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</si>
  <si>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</si>
  <si>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</si>
  <si>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</si>
  <si>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</si>
  <si>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</si>
  <si>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</si>
  <si>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</si>
  <si>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</si>
  <si>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</si>
  <si>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</si>
  <si>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</si>
  <si>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</si>
  <si>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</si>
  <si>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</si>
  <si>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</si>
  <si>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</si>
  <si>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</si>
  <si>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</si>
  <si>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</si>
  <si>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</si>
  <si>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</si>
  <si>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</si>
  <si>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</si>
  <si>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</si>
  <si>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</si>
  <si>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</si>
  <si>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</si>
  <si>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</si>
  <si>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</si>
  <si>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</si>
  <si>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</si>
  <si>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</si>
  <si>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</si>
  <si>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</si>
  <si>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</si>
  <si>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</si>
  <si>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</si>
  <si>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</si>
  <si>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</si>
  <si>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</si>
  <si>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</si>
  <si>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</si>
  <si>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</si>
  <si>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</si>
  <si>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</si>
  <si>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</si>
  <si>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</si>
  <si>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</si>
  <si>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</si>
  <si>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</si>
  <si>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</si>
  <si>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</si>
  <si>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</si>
  <si>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</si>
  <si>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</si>
  <si>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</si>
  <si>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</si>
  <si>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</si>
  <si>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</si>
  <si>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</si>
  <si>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</si>
  <si>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</si>
  <si>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</si>
  <si>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</si>
  <si>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</si>
  <si>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</si>
  <si>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</si>
  <si>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</si>
  <si>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</si>
  <si>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</si>
  <si>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</si>
  <si>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</si>
  <si>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</si>
  <si>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</si>
  <si>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</si>
  <si>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</si>
  <si>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</si>
  <si>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</si>
  <si>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</si>
  <si>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</si>
  <si>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</si>
  <si>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</si>
  <si>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</si>
  <si>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</si>
  <si>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</si>
  <si>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</si>
  <si>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</si>
  <si>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</si>
  <si>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</si>
  <si>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</si>
  <si>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</si>
  <si>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</si>
  <si>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</si>
  <si>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</si>
  <si>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</si>
  <si>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</si>
  <si>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</si>
  <si>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</si>
  <si>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</si>
  <si>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</si>
  <si>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</si>
  <si>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</si>
  <si>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</si>
  <si>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</si>
  <si>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</si>
  <si>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</si>
  <si>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</si>
  <si>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</si>
  <si>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</si>
  <si>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</si>
  <si>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</si>
  <si>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</si>
  <si>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</si>
  <si>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</si>
  <si>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</si>
  <si>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</si>
  <si>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</si>
  <si>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</si>
  <si>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</si>
  <si>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</si>
  <si>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</si>
  <si>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</si>
  <si>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</si>
  <si>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</si>
  <si>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</si>
  <si>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</si>
  <si>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</si>
  <si>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</si>
  <si>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</si>
  <si>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</si>
  <si>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</si>
  <si>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</si>
  <si>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</si>
  <si>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</si>
  <si>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</si>
  <si>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</si>
  <si>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</si>
  <si>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</si>
  <si>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</si>
  <si>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</si>
  <si>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</si>
  <si>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</si>
  <si>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</si>
  <si>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</si>
  <si>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</si>
  <si>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</si>
  <si>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</si>
  <si>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</si>
  <si>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</si>
  <si>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</si>
  <si>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</si>
  <si>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</si>
  <si>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</si>
  <si>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</si>
  <si>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</si>
  <si>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</si>
  <si>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</si>
  <si>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</si>
  <si>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</si>
  <si>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</si>
  <si>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</si>
  <si>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</si>
  <si>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</si>
  <si>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</si>
  <si>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</si>
  <si>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</si>
  <si>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</si>
  <si>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</si>
  <si>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</si>
  <si>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</si>
  <si>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</si>
  <si>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</si>
  <si>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</si>
  <si>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</si>
  <si>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</si>
  <si>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</si>
  <si>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</si>
  <si>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</si>
  <si>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</si>
  <si>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</si>
  <si>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</si>
  <si>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</si>
  <si>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</si>
  <si>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</si>
  <si>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</si>
  <si>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</si>
  <si>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</si>
  <si>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</si>
  <si>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</si>
  <si>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</si>
  <si>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</si>
  <si>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</si>
  <si>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</si>
  <si>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</si>
  <si>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</si>
  <si>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</si>
  <si>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</si>
  <si>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</si>
  <si>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</si>
  <si>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</si>
  <si>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</si>
  <si>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</si>
  <si>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</si>
  <si>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</si>
  <si>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</si>
  <si>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</si>
  <si>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</si>
  <si>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</si>
  <si>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</si>
  <si>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</si>
  <si>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</si>
  <si>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</si>
  <si>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</si>
  <si>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</si>
  <si>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</si>
  <si>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</si>
  <si>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</si>
  <si>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</si>
  <si>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</si>
  <si>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</si>
  <si>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</si>
  <si>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</si>
  <si>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</si>
  <si>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</si>
  <si>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</si>
  <si>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</si>
  <si>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</si>
  <si>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</si>
  <si>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</si>
  <si>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</si>
  <si>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</si>
  <si>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</si>
  <si>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</si>
  <si>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</si>
  <si>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</si>
  <si>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</si>
  <si>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</si>
  <si>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</si>
  <si>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</si>
  <si>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</si>
  <si>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</si>
  <si>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</si>
  <si>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</si>
  <si>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</si>
  <si>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</si>
  <si>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</si>
  <si>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</si>
  <si>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</si>
  <si>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</si>
  <si>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</si>
  <si>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</si>
  <si>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</si>
  <si>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</si>
  <si>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</si>
  <si>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</si>
  <si>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</si>
  <si>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</si>
  <si>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</si>
  <si>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</si>
  <si>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</si>
  <si>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</si>
  <si>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</si>
  <si>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</si>
  <si>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</si>
  <si>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</si>
  <si>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</si>
  <si>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</si>
  <si>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</si>
  <si>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</si>
  <si>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</si>
  <si>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</si>
  <si>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</si>
  <si>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</si>
  <si>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</si>
  <si>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</si>
  <si>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</si>
  <si>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</si>
  <si>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</si>
  <si>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</si>
  <si>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</si>
  <si>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</si>
  <si>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</si>
  <si>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</si>
  <si>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</si>
  <si>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</si>
  <si>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</si>
  <si>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</si>
  <si>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</si>
  <si>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</si>
  <si>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</si>
  <si>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</si>
  <si>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</si>
  <si>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</si>
  <si>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</si>
  <si>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</si>
  <si>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</si>
  <si>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</si>
  <si>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</si>
  <si>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</si>
  <si>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</si>
  <si>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</si>
  <si>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</si>
  <si>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</si>
  <si>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</si>
  <si>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</si>
  <si>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</si>
  <si>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</si>
  <si>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</si>
  <si>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</si>
  <si>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</si>
  <si>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</si>
  <si>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</si>
  <si>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</si>
  <si>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</si>
  <si>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</si>
  <si>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</si>
  <si>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</si>
  <si>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</si>
  <si>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</si>
  <si>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</si>
  <si>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</si>
  <si>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</si>
  <si>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</si>
  <si>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</si>
  <si>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</si>
  <si>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</si>
  <si>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</si>
  <si>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</si>
  <si>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</si>
  <si>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</si>
  <si>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</si>
  <si>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</si>
  <si>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</si>
  <si>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</si>
  <si>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</si>
  <si>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</si>
  <si>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</si>
  <si>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</si>
  <si>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</si>
  <si>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</si>
  <si>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</si>
  <si>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</si>
  <si>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</si>
  <si>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</si>
  <si>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</si>
  <si>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</si>
  <si>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</si>
  <si>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</si>
  <si>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</si>
  <si>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</si>
  <si>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</si>
  <si>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</si>
  <si>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</si>
  <si>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</si>
  <si>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</si>
  <si>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</si>
  <si>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</si>
  <si>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</si>
  <si>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</si>
  <si>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</si>
  <si>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</si>
  <si>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</si>
  <si>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</si>
  <si>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</si>
  <si>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</si>
  <si>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</si>
  <si>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</si>
  <si>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</si>
  <si>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</si>
  <si>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</si>
  <si>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</si>
  <si>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</si>
  <si>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</si>
  <si>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</si>
  <si>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</si>
  <si>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</si>
  <si>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</si>
  <si>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</si>
  <si>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</si>
  <si>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</si>
  <si>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</si>
  <si>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</si>
  <si>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</si>
  <si>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</si>
  <si>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</si>
  <si>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</si>
  <si>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</si>
  <si>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</si>
  <si>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</si>
  <si>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</si>
  <si>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</si>
  <si>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</si>
  <si>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</si>
  <si>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</si>
  <si>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</si>
  <si>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</si>
  <si>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</si>
  <si>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</si>
  <si>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</si>
  <si>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</si>
  <si>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</si>
  <si>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</si>
  <si>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</si>
  <si>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</si>
  <si>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</si>
  <si>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</si>
  <si>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</si>
  <si>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</si>
  <si>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</si>
  <si>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</si>
  <si>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</si>
  <si>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</si>
  <si>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</si>
  <si>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</si>
  <si>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</si>
  <si>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</si>
  <si>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</si>
  <si>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</si>
  <si>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</si>
  <si>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</si>
  <si>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</si>
  <si>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</si>
  <si>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</si>
  <si>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</si>
  <si>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</si>
  <si>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</si>
  <si>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</si>
  <si>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</si>
  <si>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</si>
  <si>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</si>
  <si>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</si>
  <si>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</si>
  <si>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</si>
  <si>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</si>
  <si>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</si>
  <si>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</si>
  <si>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</si>
  <si>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</si>
  <si>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</si>
  <si>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</si>
  <si>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</si>
  <si>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</si>
  <si>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</si>
  <si>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</si>
  <si>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</si>
  <si>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</si>
  <si>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</si>
  <si>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</si>
  <si>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</si>
  <si>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</si>
  <si>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</si>
  <si>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</si>
  <si>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</si>
  <si>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</si>
  <si>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</si>
  <si>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</si>
  <si>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</si>
  <si>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</si>
  <si>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</si>
  <si>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</si>
  <si>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</si>
  <si>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</si>
  <si>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</si>
  <si>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</si>
  <si>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</si>
  <si>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</si>
  <si>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</si>
  <si>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</si>
  <si>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</si>
  <si>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</si>
  <si>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</si>
  <si>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</si>
  <si>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</si>
  <si>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</si>
  <si>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</si>
  <si>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</si>
  <si>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</si>
  <si>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</si>
  <si>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</si>
  <si>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</si>
  <si>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</si>
  <si>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</si>
  <si>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</si>
  <si>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</si>
  <si>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</si>
  <si>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</si>
  <si>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</si>
  <si>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</si>
  <si>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</si>
  <si>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</si>
  <si>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</si>
  <si>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</si>
  <si>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</si>
  <si>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</si>
  <si>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</si>
  <si>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</si>
  <si>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</si>
  <si>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</si>
  <si>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</si>
  <si>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</si>
  <si>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</si>
  <si>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</si>
  <si>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</si>
  <si>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</si>
  <si>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</si>
  <si>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</si>
  <si>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</si>
  <si>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</si>
  <si>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</si>
  <si>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</si>
  <si>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</si>
  <si>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</si>
  <si>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</si>
  <si>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</si>
  <si>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</si>
  <si>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</si>
  <si>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</si>
  <si>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</si>
  <si>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</si>
  <si>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</si>
  <si>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</si>
  <si>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</si>
  <si>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</si>
  <si>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</si>
  <si>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</si>
  <si>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</si>
  <si>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</si>
  <si>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</si>
  <si>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</si>
  <si>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</si>
  <si>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</si>
  <si>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</si>
  <si>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</si>
  <si>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</si>
  <si>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</si>
  <si>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</si>
  <si>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</si>
  <si>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</si>
  <si>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</si>
  <si>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</si>
  <si>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</si>
  <si>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</si>
  <si>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</si>
  <si>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</si>
  <si>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</si>
  <si>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</si>
  <si>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</si>
  <si>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</si>
  <si>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</si>
  <si>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</si>
  <si>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</si>
  <si>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</si>
  <si>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</si>
  <si>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</si>
  <si>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</si>
  <si>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</si>
  <si>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</si>
  <si>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</si>
  <si>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</si>
  <si>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</si>
  <si>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</si>
  <si>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</si>
  <si>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</si>
  <si>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</si>
  <si>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</si>
  <si>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</si>
  <si>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</si>
  <si>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</si>
  <si>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</si>
  <si>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</si>
  <si>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</si>
  <si>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</si>
  <si>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</si>
  <si>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</si>
  <si>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</si>
  <si>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</si>
  <si>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</si>
  <si>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</si>
  <si>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</si>
  <si>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</si>
  <si>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</si>
  <si>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</si>
  <si>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</si>
  <si>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</si>
  <si>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</si>
  <si>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</si>
  <si>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</si>
  <si>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</si>
  <si>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</si>
  <si>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</si>
  <si>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</si>
  <si>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</si>
  <si>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</si>
  <si>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</si>
  <si>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</si>
  <si>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</si>
  <si>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</si>
  <si>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</si>
  <si>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</si>
  <si>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</si>
  <si>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</si>
  <si>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</si>
  <si>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</si>
  <si>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</si>
  <si>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</si>
  <si>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</si>
  <si>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</si>
  <si>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</si>
  <si>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</si>
  <si>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</si>
  <si>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</si>
  <si>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</si>
  <si>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</si>
  <si>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</si>
  <si>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</si>
  <si>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</si>
  <si>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</si>
  <si>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</si>
  <si>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</si>
  <si>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</si>
  <si>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</si>
  <si>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</si>
  <si>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</si>
  <si>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</si>
  <si>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</si>
  <si>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</si>
  <si>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</si>
  <si>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</si>
  <si>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</si>
  <si>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</si>
  <si>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</si>
  <si>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</si>
  <si>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</si>
  <si>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</si>
  <si>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</si>
  <si>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</si>
  <si>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</si>
  <si>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</si>
  <si>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</si>
  <si>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</si>
  <si>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</si>
  <si>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</si>
  <si>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</si>
  <si>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</si>
  <si>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</si>
  <si>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</si>
  <si>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</si>
  <si>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</si>
  <si>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</si>
  <si>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</si>
  <si>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</si>
  <si>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</si>
  <si>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</si>
  <si>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</si>
  <si>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</si>
  <si>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</si>
  <si>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</si>
  <si>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</si>
  <si>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</si>
  <si>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</si>
  <si>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</si>
  <si>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</si>
  <si>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</si>
  <si>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</si>
  <si>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</si>
  <si>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</si>
  <si>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</si>
  <si>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</si>
  <si>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</si>
  <si>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</si>
  <si>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</si>
  <si>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</si>
  <si>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</si>
  <si>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</si>
  <si>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</si>
  <si>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</si>
  <si>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</si>
  <si>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</si>
  <si>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</si>
  <si>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</si>
  <si>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</si>
  <si>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</si>
  <si>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</si>
  <si>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</si>
  <si>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</si>
  <si>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</si>
  <si>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</si>
  <si>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</si>
  <si>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</si>
  <si>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</si>
  <si>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</si>
  <si>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</si>
  <si>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</si>
  <si>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</si>
  <si>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</si>
  <si>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</si>
  <si>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</si>
  <si>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</si>
  <si>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</si>
  <si>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</si>
  <si>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</si>
  <si>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</si>
  <si>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</si>
  <si>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</si>
  <si>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</si>
  <si>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</si>
  <si>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</si>
  <si>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</si>
  <si>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</si>
  <si>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</si>
  <si>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</si>
  <si>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</si>
  <si>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</si>
  <si>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</si>
  <si>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</si>
  <si>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</si>
  <si>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</si>
  <si>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</si>
  <si>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</si>
  <si>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</si>
  <si>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</si>
  <si>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</si>
  <si>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</si>
  <si>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</si>
  <si>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</si>
  <si>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</si>
  <si>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</si>
  <si>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</si>
  <si>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</si>
  <si>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</si>
  <si>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</si>
  <si>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</si>
  <si>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</si>
  <si>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</si>
  <si>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</si>
  <si>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</si>
  <si>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</si>
  <si>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</si>
  <si>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</si>
  <si>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</si>
  <si>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</si>
  <si>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</si>
  <si>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</si>
  <si>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</si>
  <si>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</si>
  <si>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</si>
  <si>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</si>
  <si>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</si>
  <si>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</si>
  <si>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</si>
  <si>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</si>
  <si>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</si>
  <si>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</si>
  <si>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</si>
  <si>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</si>
  <si>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</si>
  <si>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</si>
  <si>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</si>
  <si>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</si>
  <si>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</si>
  <si>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</si>
  <si>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</si>
  <si>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</si>
  <si>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</si>
  <si>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</si>
  <si>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</si>
  <si>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</si>
  <si>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</si>
  <si>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</si>
  <si>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</si>
  <si>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</si>
  <si>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</si>
  <si>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</si>
  <si>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</si>
  <si>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</si>
  <si>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</si>
  <si>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</si>
  <si>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</si>
  <si>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</si>
  <si>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</si>
  <si>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</si>
  <si>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</si>
  <si>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</si>
  <si>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</si>
  <si>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</si>
  <si>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</si>
  <si>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</si>
  <si>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</si>
  <si>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</si>
  <si>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</si>
  <si>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</si>
  <si>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</si>
  <si>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</si>
  <si>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https://edgardoraul.github.io/imagenes_rerda/8520220/1.jpg,https://edgardoraul.github.io/imagenes_rerda/8520220/2.jpg,https://edgardoraul.github.io/imagenes_rerda/8520220/3.jpg,https://edgardoraul.github.io/imagenes_rerda/8520220/4.jpg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</si>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</sst>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13060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13061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13062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13062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13063</v>
      </c>
      <c r="E165" t="str">
        <f>IFERROR(VLOOKUP(1*LEFT(C165,7),DF!$A$1:$G$9812,2,FALSE),"")</f>
        <v>BOMB TERMICA NEGRA 56/60 RER</v>
      </c>
      <c r="F165">
        <v>1120414</v>
      </c>
      <c r="G165" t="s">
        <v>13062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13064</v>
      </c>
      <c r="E166" t="str">
        <f>IFERROR(VLOOKUP(1*LEFT(C166,7),DF!$A$1:$G$9812,2,FALSE),"")</f>
        <v>BOMB TERMICA NEGRA 62/66 RER</v>
      </c>
      <c r="F166">
        <v>1120414</v>
      </c>
      <c r="G166" t="s">
        <v>13062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13065</v>
      </c>
      <c r="E169" t="str">
        <f>IFERROR(VLOOKUP(1*LEFT(C169,7),DF!$A$1:$G$9812,2,FALSE),"")</f>
        <v>BOMB TERMICA AZUL 56/60 RER</v>
      </c>
      <c r="F169">
        <v>1120173</v>
      </c>
      <c r="G169" t="s">
        <v>13067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13066</v>
      </c>
      <c r="E170" t="str">
        <f>IFERROR(VLOOKUP(1*LEFT(C170,7),DF!$A$1:$G$9812,2,FALSE),"")</f>
        <v>BOMB TERMICA AZUL 62/66 RER</v>
      </c>
      <c r="F170">
        <v>1120173</v>
      </c>
      <c r="G170" t="s">
        <v>13067</v>
      </c>
      <c r="H170">
        <v>3</v>
      </c>
      <c r="I170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13055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13056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13052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13057</v>
      </c>
      <c r="H47" s="7">
        <v>2</v>
      </c>
      <c r="I47" s="11" t="s">
        <v>13053</v>
      </c>
      <c r="J47" s="11" t="s">
        <v>13054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8520220##</v>
      </c>
      <c r="E33" t="str">
        <f>IFERROR(VLOOKUP(1*LEFT(C33,7),DF!$A$1:$G$9812,2,FALSE),"")</f>
        <v>NAVAJA 17 CM MARIPOSA 0891</v>
      </c>
      <c r="F33">
        <v>8520220</v>
      </c>
      <c r="G33" t="s">
        <v>13051</v>
      </c>
      <c r="H33">
        <v>4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8520230##</v>
      </c>
      <c r="E34" t="str">
        <f>IFERROR(VLOOKUP(1*LEFT(C34,7),DF!$A$1:$G$9812,2,FALSE),"")</f>
        <v>NAVAJA MARIPOSA GRIS  19-12/3</v>
      </c>
      <c r="F34">
        <v>8520230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8503125##</v>
      </c>
      <c r="E35" t="str">
        <f>IFERROR(VLOOKUP(1*LEFT(C35,7),DF!$A$1:$G$9812,2,FALSE),"")</f>
        <v>BASTON EXTENSIBLE CROM.5736</v>
      </c>
      <c r="F35">
        <v>8503125</v>
      </c>
      <c r="G35" t="s">
        <v>13059</v>
      </c>
      <c r="H35">
        <v>3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8703950##</v>
      </c>
      <c r="E36" t="str">
        <f>IFERROR(VLOOKUP(1*LEFT(C36,7),DF!$A$1:$G$9812,2,FALSE),"")</f>
        <v>PIST. NIVEL 2 BERETTA 92/96 XTR</v>
      </c>
      <c r="F36">
        <v>8703950</v>
      </c>
      <c r="G36" t="s">
        <v>13068</v>
      </c>
      <c r="H36">
        <v>7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8520986##</v>
      </c>
      <c r="E37" t="str">
        <f>IFERROR(VLOOKUP(1*LEFT(C37,7),DF!$A$1:$G$9812,2,FALSE),"")</f>
        <v>LAPICERA TACTICA KUBOTAN B3</v>
      </c>
      <c r="F37">
        <v>8520986</v>
      </c>
      <c r="G37" t="s">
        <v>13070</v>
      </c>
      <c r="H37">
        <v>6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8520165##</v>
      </c>
      <c r="E38" t="str">
        <f>IFERROR(VLOOKUP(1*LEFT(C38,7),DF!$A$1:$G$9812,2,FALSE),"")</f>
        <v>LINTERNA CON BALIZA RECARG. 0658</v>
      </c>
      <c r="F38">
        <v>8520165</v>
      </c>
      <c r="G38" t="s">
        <v>13069</v>
      </c>
      <c r="H38">
        <v>4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7800000##</v>
      </c>
      <c r="E39" t="str">
        <f>IFERROR(VLOOKUP(1*LEFT(C39,7),DF!$A$1:$G$9812,2,FALSE),"")</f>
        <v>CABLE USB</v>
      </c>
      <c r="F39">
        <v>7800000</v>
      </c>
      <c r="G39" t="s">
        <v>13071</v>
      </c>
      <c r="H39">
        <v>2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8601050##</v>
      </c>
      <c r="E40" t="str">
        <f>IFERROR(VLOOKUP(1*LEFT(C40,7),DF!$A$1:$G$9812,2,FALSE),"")</f>
        <v>CINTA DUCT TAPE DOBLE TELA SILVER PLATEA</v>
      </c>
      <c r="F40">
        <v>8601050</v>
      </c>
      <c r="G40" t="s">
        <v>13072</v>
      </c>
      <c r="H40">
        <v>4</v>
      </c>
    </row>
    <row r="41" spans="1:8" x14ac:dyDescent="0.25">
      <c r="A41">
        <v>16522</v>
      </c>
      <c r="B41" t="s">
        <v>4</v>
      </c>
      <c r="C41" t="str">
        <f t="shared" ref="C41" si="16">CONCATENATE(F41,"##")</f>
        <v>8520511##</v>
      </c>
      <c r="E41" t="str">
        <f>IFERROR(VLOOKUP(1*LEFT(C41,7),DF!$A$1:$G$9812,2,FALSE),"")</f>
        <v>MOSQUETON POLIM PLASTICO 2072</v>
      </c>
      <c r="F41">
        <v>8520511</v>
      </c>
      <c r="G41" t="s">
        <v>13073</v>
      </c>
      <c r="H41">
        <v>2</v>
      </c>
    </row>
    <row r="42" spans="1:8" x14ac:dyDescent="0.25">
      <c r="A42">
        <v>16522</v>
      </c>
      <c r="B42" t="s">
        <v>4</v>
      </c>
      <c r="C42" t="str">
        <f t="shared" ref="C42:C44" si="17">CONCATENATE(F42,"##")</f>
        <v>8701090##</v>
      </c>
      <c r="E42" t="str">
        <f>IFERROR(VLOOKUP(1*LEFT(C42,7),DF!$A$1:$G$9812,2,FALSE),"")</f>
        <v>CINTO DELTA XTL 549 NEGRO XTR</v>
      </c>
      <c r="F42">
        <v>8701090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7"/>
        <v>8701092##</v>
      </c>
      <c r="E43" t="str">
        <f>IFERROR(VLOOKUP(1*LEFT(C43,7),DF!$A$1:$G$9812,2,FALSE),"")</f>
        <v>CINTO DELTA XTL 549 VERDE XTR</v>
      </c>
      <c r="F43">
        <v>8701092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si="17"/>
        <v>8701093##</v>
      </c>
      <c r="E44" t="str">
        <f>IFERROR(VLOOKUP(1*LEFT(C44,7),DF!$A$1:$G$9812,2,FALSE),"")</f>
        <v>CINTO DELTA XTL 549 BEIGE XTR</v>
      </c>
      <c r="F44">
        <v>8701093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:C46" si="18">CONCATENATE(F45,"##")</f>
        <v>7711676##</v>
      </c>
      <c r="E45" t="str">
        <f>IFERROR(VLOOKUP(1*LEFT(C45,7),DF!$A$1:$G$9812,2,FALSE),"")</f>
        <v>ROMBO BORD ORO DG</v>
      </c>
      <c r="F45">
        <v>7711676</v>
      </c>
      <c r="G45" t="s">
        <v>13077</v>
      </c>
      <c r="H45">
        <v>1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8703028##</v>
      </c>
      <c r="E46" t="str">
        <f>IFERROR(VLOOKUP(1*LEFT(C46,7),DF!$A$1:$G$9812,2,FALSE),"")</f>
        <v>PIST. NIVEL 2 MULTIMARCA 2070-1</v>
      </c>
      <c r="F46">
        <v>8703028</v>
      </c>
      <c r="G46" t="s">
        <v>13078</v>
      </c>
      <c r="H46">
        <v>4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2023-09-08T19:22:51Z</dcterms:modified>
</cp:coreProperties>
</file>