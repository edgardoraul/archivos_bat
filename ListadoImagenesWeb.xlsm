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13" i="2" l="1"/>
  <c r="E413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3" i="2" l="1"/>
  <c r="E183" i="2" s="1"/>
  <c r="C195" i="2"/>
  <c r="E195" i="2" s="1"/>
  <c r="C174" i="2"/>
  <c r="E174" i="2" s="1"/>
  <c r="C178" i="2"/>
  <c r="E178" i="2" s="1"/>
  <c r="C158" i="2"/>
  <c r="E158" i="2" s="1"/>
  <c r="C3" i="2" l="1"/>
  <c r="E3" i="2" s="1"/>
  <c r="C172" i="2"/>
  <c r="E172" i="2" s="1"/>
  <c r="C4" i="2" l="1"/>
  <c r="E4" i="2" s="1"/>
  <c r="C363" i="2"/>
  <c r="E363" i="2" s="1"/>
  <c r="C405" i="2"/>
  <c r="E405" i="2" s="1"/>
  <c r="C242" i="2" l="1"/>
  <c r="E242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81" i="2" l="1"/>
  <c r="E281" i="2" s="1"/>
  <c r="C282" i="2"/>
  <c r="E282" i="2" s="1"/>
  <c r="C280" i="2"/>
  <c r="E280" i="2" s="1"/>
  <c r="C277" i="2"/>
  <c r="E277" i="2" s="1"/>
  <c r="C279" i="2"/>
  <c r="E279" i="2" s="1"/>
  <c r="C278" i="2"/>
  <c r="E278" i="2" s="1"/>
  <c r="C276" i="2"/>
  <c r="E276" i="2" s="1"/>
  <c r="C321" i="2" l="1"/>
  <c r="E321" i="2" s="1"/>
  <c r="C323" i="2"/>
  <c r="E323" i="2" s="1"/>
  <c r="C325" i="2"/>
  <c r="E325" i="2" s="1"/>
  <c r="C322" i="2"/>
  <c r="E322" i="2" s="1"/>
  <c r="C324" i="2"/>
  <c r="E324" i="2" s="1"/>
  <c r="C326" i="2"/>
  <c r="E326" i="2" s="1"/>
  <c r="C96" i="4" l="1"/>
  <c r="E96" i="4" s="1"/>
  <c r="C94" i="4" l="1"/>
  <c r="E94" i="4" s="1"/>
  <c r="C95" i="4"/>
  <c r="E95" i="4" s="1"/>
  <c r="C331" i="2"/>
  <c r="E331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32" i="2" l="1"/>
  <c r="E332" i="2" s="1"/>
  <c r="E382" i="3" l="1"/>
  <c r="C381" i="3"/>
  <c r="E378" i="3" l="1"/>
  <c r="E379" i="3"/>
  <c r="C377" i="3"/>
  <c r="E377" i="3" s="1"/>
  <c r="E381" i="3"/>
  <c r="E380" i="3"/>
  <c r="C417" i="2" l="1"/>
  <c r="E417" i="2" s="1"/>
  <c r="C418" i="2"/>
  <c r="E418" i="2" s="1"/>
  <c r="C429" i="2"/>
  <c r="E429" i="2" s="1"/>
  <c r="C430" i="2"/>
  <c r="E430" i="2" s="1"/>
  <c r="C428" i="2"/>
  <c r="E428" i="2" s="1"/>
  <c r="C312" i="2" l="1"/>
  <c r="E31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49" i="2"/>
  <c r="E249" i="2" s="1"/>
  <c r="C247" i="2"/>
  <c r="E247" i="2" s="1"/>
  <c r="C250" i="2"/>
  <c r="E250" i="2" s="1"/>
  <c r="C318" i="2"/>
  <c r="E318" i="2" s="1"/>
  <c r="C126" i="2"/>
  <c r="E126" i="2" s="1"/>
  <c r="C248" i="2"/>
  <c r="E248" i="2" s="1"/>
  <c r="C246" i="2"/>
  <c r="E24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03" i="2" l="1"/>
  <c r="E303" i="2" s="1"/>
  <c r="C297" i="2"/>
  <c r="E297" i="2" s="1"/>
  <c r="C73" i="2" l="1"/>
  <c r="E73" i="2" s="1"/>
  <c r="C66" i="2"/>
  <c r="E66" i="2" s="1"/>
  <c r="C49" i="2" l="1"/>
  <c r="E49" i="2" s="1"/>
  <c r="C105" i="2" l="1"/>
  <c r="E105" i="2" s="1"/>
  <c r="C458" i="2"/>
  <c r="E458" i="2" s="1"/>
  <c r="C67" i="2" l="1"/>
  <c r="E67" i="2" s="1"/>
  <c r="C63" i="2" l="1"/>
  <c r="E63" i="2" s="1"/>
  <c r="C76" i="2"/>
  <c r="E76" i="2" s="1"/>
  <c r="C80" i="2"/>
  <c r="E80" i="2" s="1"/>
  <c r="C82" i="2"/>
  <c r="E82" i="2" s="1"/>
  <c r="C77" i="2"/>
  <c r="E77" i="2" s="1"/>
  <c r="C62" i="2"/>
  <c r="E62" i="2" s="1"/>
  <c r="C64" i="2"/>
  <c r="E64" i="2" s="1"/>
  <c r="C78" i="2"/>
  <c r="E78" i="2" s="1"/>
  <c r="C70" i="2"/>
  <c r="E70" i="2" s="1"/>
  <c r="C65" i="2"/>
  <c r="E65" i="2" s="1"/>
  <c r="C79" i="2"/>
  <c r="E79" i="2" s="1"/>
  <c r="C60" i="2" l="1"/>
  <c r="E60" i="2" s="1"/>
  <c r="C83" i="2"/>
  <c r="E83" i="2" s="1"/>
  <c r="C75" i="2"/>
  <c r="E75" i="2" s="1"/>
  <c r="C68" i="2" l="1"/>
  <c r="E68" i="2" s="1"/>
  <c r="C81" i="2" l="1"/>
  <c r="E81" i="2" s="1"/>
  <c r="C74" i="2" l="1"/>
  <c r="E74" i="2" s="1"/>
  <c r="C245" i="2"/>
  <c r="E245" i="2" s="1"/>
  <c r="C127" i="2" l="1"/>
  <c r="E127" i="2" s="1"/>
  <c r="C346" i="2"/>
  <c r="E346" i="2" s="1"/>
  <c r="C348" i="2"/>
  <c r="E348" i="2" s="1"/>
  <c r="C347" i="2"/>
  <c r="E347" i="2" s="1"/>
  <c r="C350" i="2"/>
  <c r="E350" i="2" s="1"/>
  <c r="C349" i="2"/>
  <c r="E349" i="2" s="1"/>
  <c r="C155" i="2" l="1"/>
  <c r="E155" i="2" s="1"/>
  <c r="C217" i="2"/>
  <c r="E217" i="2" s="1"/>
  <c r="C140" i="2"/>
  <c r="E140" i="2" s="1"/>
  <c r="C214" i="2" l="1"/>
  <c r="E214" i="2" s="1"/>
  <c r="C215" i="2"/>
  <c r="E215" i="2" s="1"/>
  <c r="C222" i="2" l="1"/>
  <c r="E222" i="2" s="1"/>
  <c r="C219" i="2"/>
  <c r="E219" i="2" s="1"/>
  <c r="C220" i="2"/>
  <c r="E220" i="2" s="1"/>
  <c r="C218" i="2"/>
  <c r="E218" i="2" s="1"/>
  <c r="C5" i="2"/>
  <c r="E5" i="2" s="1"/>
  <c r="C402" i="2" l="1"/>
  <c r="E402" i="2" s="1"/>
  <c r="C450" i="2" l="1"/>
  <c r="E450" i="2" s="1"/>
  <c r="C444" i="2" l="1"/>
  <c r="E444" i="2" s="1"/>
  <c r="C442" i="2" l="1"/>
  <c r="E442" i="2" s="1"/>
  <c r="C441" i="2" l="1"/>
  <c r="E441" i="2" s="1"/>
  <c r="C427" i="2" l="1"/>
  <c r="E427" i="2" s="1"/>
  <c r="C410" i="2" l="1"/>
  <c r="E410" i="2" s="1"/>
  <c r="C335" i="2"/>
  <c r="E335" i="2" s="1"/>
  <c r="C333" i="2"/>
  <c r="E333" i="2" s="1"/>
  <c r="C334" i="2"/>
  <c r="E334" i="2" s="1"/>
  <c r="C419" i="2" l="1"/>
  <c r="E419" i="2" s="1"/>
  <c r="C411" i="2" l="1"/>
  <c r="E411" i="2" s="1"/>
  <c r="C443" i="2"/>
  <c r="E443" i="2" s="1"/>
  <c r="C421" i="2" l="1"/>
  <c r="E421" i="2" s="1"/>
  <c r="C426" i="2"/>
  <c r="E426" i="2" s="1"/>
  <c r="C137" i="2" l="1"/>
  <c r="E137" i="2" s="1"/>
  <c r="C207" i="2"/>
  <c r="E207" i="2" s="1"/>
  <c r="C216" i="2"/>
  <c r="E216" i="2" s="1"/>
  <c r="C236" i="2" l="1"/>
  <c r="E236" i="2" s="1"/>
  <c r="C211" i="2" l="1"/>
  <c r="E211" i="2" s="1"/>
  <c r="C210" i="2"/>
  <c r="E210" i="2" s="1"/>
  <c r="C232" i="2"/>
  <c r="E232" i="2" s="1"/>
  <c r="C224" i="2" l="1"/>
  <c r="E224" i="2" s="1"/>
  <c r="C223" i="2"/>
  <c r="E223" i="2" s="1"/>
  <c r="C139" i="2"/>
  <c r="C375" i="2"/>
  <c r="E375" i="2" s="1"/>
  <c r="C357" i="2"/>
  <c r="E357" i="2" s="1"/>
  <c r="C353" i="2"/>
  <c r="E353" i="2" s="1"/>
  <c r="C355" i="2"/>
  <c r="E355" i="2" s="1"/>
  <c r="C361" i="2"/>
  <c r="E361" i="2" s="1"/>
  <c r="C354" i="2"/>
  <c r="E354" i="2" s="1"/>
  <c r="C359" i="2"/>
  <c r="E359" i="2" s="1"/>
  <c r="C378" i="2"/>
  <c r="E378" i="2" s="1"/>
  <c r="C376" i="2"/>
  <c r="C6" i="2" l="1"/>
  <c r="C235" i="2"/>
  <c r="C221" i="2"/>
  <c r="C309" i="2" l="1"/>
  <c r="E309" i="2" s="1"/>
  <c r="C296" i="2"/>
  <c r="E296" i="2" s="1"/>
  <c r="C208" i="2" l="1"/>
  <c r="E208" i="2" s="1"/>
  <c r="C209" i="2"/>
  <c r="E209" i="2" s="1"/>
  <c r="C285" i="2"/>
  <c r="C293" i="2"/>
  <c r="C308" i="2"/>
  <c r="C292" i="2"/>
  <c r="C286" i="2"/>
  <c r="E286" i="2" s="1"/>
  <c r="C283" i="2"/>
  <c r="E283" i="2" s="1"/>
  <c r="C284" i="2"/>
  <c r="E284" i="2" s="1"/>
  <c r="C291" i="2"/>
  <c r="E291" i="2" s="1"/>
  <c r="C288" i="2"/>
  <c r="E288" i="2" s="1"/>
  <c r="C287" i="2"/>
  <c r="E287" i="2" s="1"/>
  <c r="C294" i="2"/>
  <c r="E294" i="2" s="1"/>
  <c r="C298" i="2"/>
  <c r="E298" i="2" s="1"/>
  <c r="C300" i="2"/>
  <c r="E300" i="2" s="1"/>
  <c r="C299" i="2"/>
  <c r="E299" i="2" s="1"/>
  <c r="C295" i="2"/>
  <c r="E295" i="2" s="1"/>
  <c r="C289" i="2"/>
  <c r="E289" i="2" s="1"/>
  <c r="C290" i="2"/>
  <c r="E290" i="2" s="1"/>
  <c r="C306" i="2" l="1"/>
  <c r="E306" i="2" s="1"/>
  <c r="C212" i="2" l="1"/>
  <c r="E212" i="2" s="1"/>
  <c r="C152" i="2"/>
  <c r="E152" i="2" s="1"/>
  <c r="C161" i="2"/>
  <c r="E161" i="2" s="1"/>
  <c r="C157" i="2"/>
  <c r="E157" i="2" s="1"/>
  <c r="C136" i="2"/>
  <c r="E136" i="2" s="1"/>
  <c r="C135" i="2"/>
  <c r="E135" i="2" s="1"/>
  <c r="E292" i="2"/>
  <c r="E308" i="2"/>
  <c r="E293" i="2"/>
  <c r="E285" i="2"/>
  <c r="E221" i="2"/>
  <c r="E235" i="2"/>
  <c r="E6" i="2"/>
  <c r="E376" i="2"/>
  <c r="E139" i="2"/>
  <c r="C165" i="2"/>
  <c r="E165" i="2" s="1"/>
  <c r="C162" i="2"/>
  <c r="E162" i="2" s="1"/>
  <c r="C128" i="2"/>
  <c r="E128" i="2" s="1"/>
  <c r="C130" i="2"/>
  <c r="E130" i="2" s="1"/>
  <c r="C129" i="2"/>
  <c r="E129" i="2" s="1"/>
  <c r="C35" i="2" l="1"/>
  <c r="E35" i="2" s="1"/>
  <c r="C305" i="2"/>
  <c r="E305" i="2" s="1"/>
  <c r="C304" i="2"/>
  <c r="E304" i="2" s="1"/>
  <c r="C310" i="2"/>
  <c r="E310" i="2" s="1"/>
  <c r="C307" i="2"/>
  <c r="E307" i="2" s="1"/>
  <c r="C302" i="2"/>
  <c r="E302" i="2" s="1"/>
  <c r="C301" i="2"/>
  <c r="E301" i="2" s="1"/>
  <c r="C374" i="2" l="1"/>
  <c r="E374" i="2" s="1"/>
  <c r="C2" i="2"/>
  <c r="E2" i="2" s="1"/>
  <c r="C273" i="2"/>
  <c r="E273" i="2" s="1"/>
  <c r="C272" i="2"/>
  <c r="E272" i="2" s="1"/>
  <c r="C269" i="2" l="1"/>
  <c r="E269" i="2" s="1"/>
  <c r="C364" i="2"/>
  <c r="E364" i="2" s="1"/>
  <c r="C397" i="2"/>
  <c r="E397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3" i="2" l="1"/>
  <c r="E133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456" i="2" l="1"/>
  <c r="E456" i="2" s="1"/>
  <c r="C455" i="2"/>
  <c r="E455" i="2" s="1"/>
  <c r="E112" i="3" l="1"/>
  <c r="E114" i="3"/>
  <c r="C110" i="3"/>
  <c r="E110" i="3" s="1"/>
  <c r="C84" i="2"/>
  <c r="E84" i="2" s="1"/>
  <c r="E122" i="2"/>
  <c r="E123" i="2"/>
  <c r="C372" i="2" l="1"/>
  <c r="E372" i="2" s="1"/>
  <c r="C368" i="2"/>
  <c r="E368" i="2" s="1"/>
  <c r="C371" i="2"/>
  <c r="E371" i="2" s="1"/>
  <c r="C370" i="2"/>
  <c r="E370" i="2" s="1"/>
  <c r="C373" i="2"/>
  <c r="E373" i="2" s="1"/>
  <c r="C369" i="2"/>
  <c r="E369" i="2" s="1"/>
  <c r="C124" i="2"/>
  <c r="E124" i="2" s="1"/>
  <c r="C125" i="2"/>
  <c r="E125" i="2" s="1"/>
  <c r="E156" i="3"/>
  <c r="C155" i="3"/>
  <c r="E155" i="3" s="1"/>
  <c r="C398" i="2" l="1"/>
  <c r="E398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1" i="2"/>
  <c r="E71" i="2" s="1"/>
  <c r="C69" i="2"/>
  <c r="E69" i="2" s="1"/>
  <c r="C57" i="2"/>
  <c r="E57" i="2" s="1"/>
  <c r="C87" i="2"/>
  <c r="E87" i="2" s="1"/>
  <c r="C89" i="2"/>
  <c r="E89" i="2" s="1"/>
  <c r="C90" i="2"/>
  <c r="E90" i="2" s="1"/>
  <c r="C100" i="2"/>
  <c r="E100" i="2" s="1"/>
  <c r="C88" i="2"/>
  <c r="E88" i="2" s="1"/>
  <c r="C91" i="2"/>
  <c r="E91" i="2" s="1"/>
  <c r="C92" i="2"/>
  <c r="E92" i="2" s="1"/>
  <c r="C94" i="2"/>
  <c r="E94" i="2" s="1"/>
  <c r="C95" i="2"/>
  <c r="E95" i="2" s="1"/>
  <c r="C93" i="2"/>
  <c r="E93" i="2" s="1"/>
  <c r="C98" i="2"/>
  <c r="E98" i="2" s="1"/>
  <c r="C99" i="2"/>
  <c r="E99" i="2" s="1"/>
  <c r="C102" i="2"/>
  <c r="E102" i="2" s="1"/>
  <c r="C103" i="2"/>
  <c r="E103" i="2" s="1"/>
  <c r="C112" i="2"/>
  <c r="E112" i="2" s="1"/>
  <c r="C445" i="2"/>
  <c r="E445" i="2" s="1"/>
  <c r="C241" i="2"/>
  <c r="E241" i="2" s="1"/>
  <c r="C240" i="2"/>
  <c r="E240" i="2" s="1"/>
  <c r="C243" i="2"/>
  <c r="E243" i="2" s="1"/>
  <c r="C252" i="2"/>
  <c r="E252" i="2" s="1"/>
  <c r="C251" i="2"/>
  <c r="E251" i="2" s="1"/>
  <c r="C253" i="2"/>
  <c r="E253" i="2" s="1"/>
  <c r="C256" i="2"/>
  <c r="E256" i="2" s="1"/>
  <c r="C260" i="2"/>
  <c r="E260" i="2" s="1"/>
  <c r="C319" i="2"/>
  <c r="E319" i="2" s="1"/>
  <c r="C320" i="2"/>
  <c r="E320" i="2" s="1"/>
  <c r="C408" i="2"/>
  <c r="E408" i="2" s="1"/>
  <c r="C414" i="2"/>
  <c r="E414" i="2" s="1"/>
  <c r="C423" i="2"/>
  <c r="E423" i="2" s="1"/>
  <c r="C412" i="2"/>
  <c r="E412" i="2" s="1"/>
  <c r="C425" i="2"/>
  <c r="E425" i="2" s="1"/>
  <c r="C424" i="2"/>
  <c r="E424" i="2" s="1"/>
  <c r="C432" i="2"/>
  <c r="E432" i="2" s="1"/>
  <c r="C433" i="2"/>
  <c r="E433" i="2" s="1"/>
  <c r="C434" i="2"/>
  <c r="E434" i="2" s="1"/>
  <c r="C435" i="2"/>
  <c r="E435" i="2" s="1"/>
  <c r="C437" i="2"/>
  <c r="E437" i="2" s="1"/>
  <c r="C459" i="2"/>
  <c r="E459" i="2" s="1"/>
  <c r="C460" i="2"/>
  <c r="E460" i="2" s="1"/>
  <c r="C461" i="2"/>
  <c r="E461" i="2" s="1"/>
  <c r="C462" i="2"/>
  <c r="E462" i="2" s="1"/>
  <c r="C464" i="2"/>
  <c r="E464" i="2" s="1"/>
  <c r="C463" i="2"/>
  <c r="E463" i="2" s="1"/>
  <c r="C465" i="2"/>
  <c r="E465" i="2" s="1"/>
  <c r="C466" i="2"/>
  <c r="E466" i="2" s="1"/>
  <c r="C467" i="2"/>
  <c r="E467" i="2" s="1"/>
  <c r="C468" i="2"/>
  <c r="E468" i="2" s="1"/>
  <c r="C469" i="2"/>
  <c r="E469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93" i="2"/>
  <c r="E493" i="2" s="1"/>
  <c r="C482" i="2"/>
  <c r="E482" i="2" s="1"/>
  <c r="C483" i="2"/>
  <c r="E483" i="2" s="1"/>
  <c r="C484" i="2"/>
  <c r="E484" i="2" s="1"/>
  <c r="C494" i="2"/>
  <c r="E494" i="2" s="1"/>
  <c r="C495" i="2"/>
  <c r="E495" i="2" s="1"/>
  <c r="C362" i="2" l="1"/>
  <c r="E362" i="2" s="1"/>
  <c r="C400" i="2"/>
  <c r="E400" i="2" s="1"/>
  <c r="C401" i="2"/>
  <c r="E401" i="2" s="1"/>
  <c r="C379" i="2"/>
  <c r="E379" i="2" s="1"/>
  <c r="C366" i="2"/>
  <c r="E366" i="2" s="1"/>
  <c r="C403" i="2"/>
  <c r="E403" i="2" s="1"/>
  <c r="C358" i="2"/>
  <c r="E358" i="2" s="1"/>
  <c r="C352" i="2"/>
  <c r="E352" i="2" s="1"/>
  <c r="C387" i="2"/>
  <c r="E387" i="2" s="1"/>
  <c r="C388" i="2"/>
  <c r="E388" i="2" s="1"/>
  <c r="C356" i="2"/>
  <c r="E356" i="2" s="1"/>
  <c r="C389" i="2"/>
  <c r="E389" i="2" s="1"/>
  <c r="C390" i="2"/>
  <c r="E390" i="2" s="1"/>
  <c r="C360" i="2"/>
  <c r="E360" i="2" s="1"/>
  <c r="C377" i="2"/>
  <c r="E377" i="2" s="1"/>
  <c r="C391" i="2"/>
  <c r="E391" i="2" s="1"/>
  <c r="C392" i="2"/>
  <c r="E392" i="2" s="1"/>
  <c r="C380" i="2"/>
  <c r="E380" i="2" s="1"/>
  <c r="C393" i="2"/>
  <c r="E393" i="2" s="1"/>
  <c r="C395" i="2"/>
  <c r="E395" i="2" s="1"/>
  <c r="C394" i="2"/>
  <c r="E394" i="2" s="1"/>
  <c r="C399" i="2"/>
  <c r="E399" i="2" s="1"/>
  <c r="C396" i="2"/>
  <c r="E396" i="2" s="1"/>
  <c r="C404" i="2"/>
  <c r="E404" i="2" s="1"/>
  <c r="C365" i="2"/>
  <c r="E365" i="2" s="1"/>
  <c r="C344" i="2"/>
  <c r="E344" i="2" s="1"/>
  <c r="C367" i="2"/>
  <c r="E367" i="2" s="1"/>
  <c r="C381" i="2"/>
  <c r="E381" i="2" s="1"/>
  <c r="C382" i="2"/>
  <c r="E382" i="2" s="1"/>
  <c r="C383" i="2"/>
  <c r="E383" i="2" s="1"/>
  <c r="C384" i="2"/>
  <c r="E384" i="2" s="1"/>
  <c r="C385" i="2"/>
  <c r="E385" i="2" s="1"/>
  <c r="C386" i="2"/>
  <c r="E386" i="2" s="1"/>
  <c r="C226" i="2" l="1"/>
  <c r="E226" i="2" s="1"/>
  <c r="C230" i="2"/>
  <c r="E230" i="2" s="1"/>
  <c r="C228" i="2"/>
  <c r="E228" i="2" s="1"/>
  <c r="C229" i="2"/>
  <c r="E229" i="2" s="1"/>
  <c r="C225" i="2"/>
  <c r="E225" i="2" s="1"/>
  <c r="C227" i="2"/>
  <c r="E227" i="2" s="1"/>
  <c r="C179" i="2"/>
  <c r="E179" i="2" s="1"/>
  <c r="C175" i="2"/>
  <c r="E175" i="2" s="1"/>
  <c r="C142" i="2"/>
  <c r="E142" i="2" s="1"/>
  <c r="C141" i="2"/>
  <c r="E141" i="2" s="1"/>
  <c r="C159" i="2"/>
  <c r="E159" i="2" s="1"/>
  <c r="C164" i="2"/>
  <c r="E164" i="2" s="1"/>
  <c r="C180" i="2"/>
  <c r="E180" i="2" s="1"/>
  <c r="C150" i="2"/>
  <c r="E150" i="2" s="1"/>
  <c r="C138" i="2"/>
  <c r="E138" i="2" s="1"/>
  <c r="C177" i="2"/>
  <c r="E177" i="2" s="1"/>
  <c r="C151" i="2"/>
  <c r="E151" i="2" s="1"/>
  <c r="C156" i="2"/>
  <c r="E156" i="2" s="1"/>
  <c r="C171" i="2"/>
  <c r="E171" i="2" s="1"/>
  <c r="C160" i="2"/>
  <c r="E160" i="2" s="1"/>
  <c r="C163" i="2"/>
  <c r="E163" i="2" s="1"/>
  <c r="C166" i="2"/>
  <c r="E166" i="2" s="1"/>
  <c r="C167" i="2"/>
  <c r="E167" i="2" s="1"/>
  <c r="C170" i="2"/>
  <c r="E170" i="2" s="1"/>
  <c r="C184" i="2"/>
  <c r="E184" i="2" s="1"/>
  <c r="C182" i="2"/>
  <c r="E182" i="2" s="1"/>
  <c r="C233" i="2"/>
  <c r="E233" i="2" s="1"/>
  <c r="C181" i="2"/>
  <c r="E181" i="2" s="1"/>
  <c r="C185" i="2"/>
  <c r="E185" i="2" s="1"/>
  <c r="C154" i="2"/>
  <c r="E154" i="2" s="1"/>
  <c r="C191" i="2"/>
  <c r="E191" i="2" s="1"/>
  <c r="C197" i="2"/>
  <c r="E197" i="2" s="1"/>
  <c r="C187" i="2"/>
  <c r="E187" i="2" s="1"/>
  <c r="C153" i="2"/>
  <c r="E153" i="2" s="1"/>
  <c r="C201" i="2"/>
  <c r="E201" i="2" s="1"/>
  <c r="C186" i="2"/>
  <c r="E186" i="2" s="1"/>
  <c r="C176" i="2"/>
  <c r="E176" i="2" s="1"/>
  <c r="C173" i="2"/>
  <c r="E173" i="2" s="1"/>
  <c r="C237" i="2"/>
  <c r="E237" i="2" s="1"/>
  <c r="C194" i="2"/>
  <c r="E194" i="2" s="1"/>
  <c r="C192" i="2"/>
  <c r="E192" i="2" s="1"/>
  <c r="C198" i="2"/>
  <c r="E198" i="2" s="1"/>
  <c r="C200" i="2"/>
  <c r="E200" i="2" s="1"/>
  <c r="C169" i="2"/>
  <c r="E169" i="2" s="1"/>
  <c r="C188" i="2"/>
  <c r="E188" i="2" s="1"/>
  <c r="C144" i="2"/>
  <c r="E144" i="2" s="1"/>
  <c r="C146" i="2"/>
  <c r="E146" i="2" s="1"/>
  <c r="C147" i="2"/>
  <c r="E147" i="2" s="1"/>
  <c r="C143" i="2"/>
  <c r="E143" i="2" s="1"/>
  <c r="C148" i="2"/>
  <c r="E148" i="2" s="1"/>
  <c r="C213" i="2"/>
  <c r="E213" i="2" s="1"/>
  <c r="C145" i="2"/>
  <c r="E145" i="2" s="1"/>
  <c r="C149" i="2"/>
  <c r="E149" i="2" s="1"/>
  <c r="C190" i="2"/>
  <c r="E190" i="2" s="1"/>
  <c r="C196" i="2"/>
  <c r="E196" i="2" s="1"/>
  <c r="C193" i="2"/>
  <c r="E193" i="2" s="1"/>
  <c r="C199" i="2"/>
  <c r="E199" i="2" s="1"/>
  <c r="C168" i="2" l="1"/>
  <c r="E168" i="2" s="1"/>
  <c r="C231" i="2"/>
  <c r="E231" i="2" s="1"/>
  <c r="C189" i="2"/>
  <c r="E189" i="2" s="1"/>
  <c r="C202" i="2" l="1"/>
  <c r="E202" i="2" s="1"/>
  <c r="C204" i="2"/>
  <c r="E204" i="2" s="1"/>
  <c r="C206" i="2" l="1"/>
  <c r="E206" i="2" s="1"/>
  <c r="C234" i="2"/>
  <c r="E234" i="2" s="1"/>
  <c r="C203" i="2"/>
  <c r="E203" i="2" s="1"/>
  <c r="C205" i="2"/>
  <c r="E20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436" i="2" l="1"/>
  <c r="E436" i="2" s="1"/>
  <c r="C446" i="2"/>
  <c r="E446" i="2" s="1"/>
  <c r="C58" i="2"/>
  <c r="E58" i="2" s="1"/>
  <c r="C59" i="2"/>
  <c r="E59" i="2" s="1"/>
  <c r="C34" i="2" l="1"/>
  <c r="E34" i="2" s="1"/>
  <c r="C239" i="2" l="1"/>
  <c r="E239" i="2" s="1"/>
  <c r="C131" i="2" l="1"/>
  <c r="E131" i="2" s="1"/>
  <c r="C439" i="2" l="1"/>
  <c r="E439" i="2" s="1"/>
  <c r="C244" i="2" l="1"/>
  <c r="E244" i="2" s="1"/>
  <c r="C54" i="2" l="1"/>
  <c r="E54" i="2" s="1"/>
  <c r="C55" i="2"/>
  <c r="E55" i="2" s="1"/>
  <c r="C56" i="2"/>
  <c r="E56" i="2" s="1"/>
  <c r="C46" i="2"/>
  <c r="E46" i="2" s="1"/>
  <c r="C47" i="2"/>
  <c r="E47" i="2" s="1"/>
  <c r="C45" i="2"/>
  <c r="E45" i="2" s="1"/>
  <c r="E227" i="3" l="1"/>
  <c r="C336" i="2"/>
  <c r="E336" i="2" s="1"/>
  <c r="C61" i="2" l="1"/>
  <c r="E61" i="2" s="1"/>
  <c r="C254" i="2" l="1"/>
  <c r="E254" i="2" s="1"/>
  <c r="C258" i="2"/>
  <c r="E258" i="2" s="1"/>
  <c r="C259" i="2"/>
  <c r="E259" i="2" s="1"/>
  <c r="C255" i="2"/>
  <c r="E255" i="2" s="1"/>
  <c r="C257" i="2"/>
  <c r="E257" i="2" s="1"/>
  <c r="C84" i="4"/>
  <c r="E84" i="4" s="1"/>
  <c r="C83" i="4"/>
  <c r="E83" i="4" s="1"/>
  <c r="C82" i="4"/>
  <c r="E82" i="4" s="1"/>
  <c r="C80" i="4"/>
  <c r="E80" i="4" s="1"/>
  <c r="C81" i="4"/>
  <c r="E81" i="4" s="1"/>
  <c r="C132" i="2" l="1"/>
  <c r="E132" i="2" s="1"/>
  <c r="C343" i="2" l="1"/>
  <c r="E343" i="2" s="1"/>
  <c r="C96" i="2" l="1"/>
  <c r="E96" i="2" s="1"/>
  <c r="C43" i="2"/>
  <c r="E43" i="2" s="1"/>
  <c r="C44" i="2"/>
  <c r="E44" i="2" s="1"/>
  <c r="C454" i="2" l="1"/>
  <c r="E454" i="2" s="1"/>
  <c r="C38" i="2" l="1"/>
  <c r="E38" i="2" s="1"/>
  <c r="C101" i="2"/>
  <c r="E101" i="2" s="1"/>
  <c r="C339" i="2"/>
  <c r="E339" i="2" s="1"/>
  <c r="C338" i="2" l="1"/>
  <c r="E338" i="2" s="1"/>
  <c r="C317" i="2" l="1"/>
  <c r="E317" i="2" s="1"/>
  <c r="C75" i="4" l="1"/>
  <c r="E75" i="4" s="1"/>
  <c r="C76" i="4"/>
  <c r="E76" i="4" s="1"/>
  <c r="C77" i="4"/>
  <c r="E77" i="4" s="1"/>
  <c r="C78" i="4"/>
  <c r="E78" i="4" s="1"/>
  <c r="C79" i="4"/>
  <c r="E79" i="4" s="1"/>
  <c r="C407" i="2" l="1"/>
  <c r="E407" i="2" s="1"/>
  <c r="C406" i="2"/>
  <c r="E406" i="2" s="1"/>
  <c r="C40" i="2" l="1"/>
  <c r="E40" i="2" s="1"/>
  <c r="C42" i="2"/>
  <c r="E42" i="2" s="1"/>
  <c r="C41" i="2"/>
  <c r="E41" i="2" s="1"/>
  <c r="C409" i="2" l="1"/>
  <c r="E409" i="2" s="1"/>
  <c r="C72" i="2" l="1"/>
  <c r="E7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1" i="2" l="1"/>
  <c r="E351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45" i="2"/>
  <c r="E345" i="2" s="1"/>
  <c r="C453" i="2" l="1"/>
  <c r="E453" i="2" s="1"/>
  <c r="C37" i="2" l="1"/>
  <c r="E37" i="2" s="1"/>
  <c r="C440" i="2"/>
  <c r="E440" i="2" s="1"/>
  <c r="C340" i="2" l="1"/>
  <c r="E340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6" i="2" l="1"/>
  <c r="E116" i="2" s="1"/>
  <c r="C110" i="2"/>
  <c r="E110" i="2" s="1"/>
  <c r="C58" i="4" l="1"/>
  <c r="E58" i="4" s="1"/>
  <c r="C57" i="4"/>
  <c r="E57" i="4" s="1"/>
  <c r="C56" i="4"/>
  <c r="E56" i="4" s="1"/>
  <c r="C51" i="2" l="1"/>
  <c r="E51" i="2" s="1"/>
  <c r="C415" i="2"/>
  <c r="E41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1" i="2" l="1"/>
  <c r="E121" i="2" s="1"/>
  <c r="C329" i="2" l="1"/>
  <c r="E329" i="2" s="1"/>
  <c r="C328" i="2"/>
  <c r="E328" i="2" s="1"/>
  <c r="C327" i="2" l="1"/>
  <c r="E327" i="2" s="1"/>
  <c r="C438" i="2"/>
  <c r="E438" i="2" s="1"/>
  <c r="C449" i="2"/>
  <c r="E449" i="2" s="1"/>
  <c r="C330" i="2" l="1"/>
  <c r="E330" i="2" s="1"/>
  <c r="C104" i="2"/>
  <c r="E104" i="2" s="1"/>
  <c r="C52" i="2" l="1"/>
  <c r="E52" i="2" s="1"/>
  <c r="C134" i="2"/>
  <c r="E134" i="2" s="1"/>
  <c r="C41" i="4" l="1"/>
  <c r="E41" i="4" s="1"/>
  <c r="C115" i="2" l="1"/>
  <c r="E115" i="2" s="1"/>
  <c r="C114" i="2"/>
  <c r="E114" i="2" s="1"/>
  <c r="C113" i="2"/>
  <c r="E113" i="2" s="1"/>
  <c r="C243" i="3"/>
  <c r="E243" i="3" s="1"/>
  <c r="C313" i="2" l="1"/>
  <c r="E313" i="2" s="1"/>
  <c r="C447" i="2" l="1"/>
  <c r="E447" i="2" s="1"/>
  <c r="C448" i="2"/>
  <c r="E448" i="2" s="1"/>
  <c r="C431" i="2"/>
  <c r="E431" i="2" s="1"/>
  <c r="C246" i="3" l="1"/>
  <c r="E246" i="3" s="1"/>
  <c r="C248" i="3"/>
  <c r="E248" i="3" s="1"/>
  <c r="C245" i="3"/>
  <c r="E245" i="3" s="1"/>
  <c r="C86" i="2"/>
  <c r="E86" i="2" s="1"/>
  <c r="C85" i="2"/>
  <c r="E85" i="2" s="1"/>
  <c r="C97" i="2"/>
  <c r="E97" i="2" s="1"/>
  <c r="C457" i="2" l="1"/>
  <c r="E457" i="2" s="1"/>
  <c r="C420" i="2" l="1"/>
  <c r="E42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481" i="2" l="1"/>
  <c r="E481" i="2" s="1"/>
  <c r="C341" i="2" l="1"/>
  <c r="E341" i="2" s="1"/>
  <c r="C337" i="2"/>
  <c r="E337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0" i="2" l="1"/>
  <c r="E120" i="2" s="1"/>
  <c r="C316" i="2" l="1"/>
  <c r="E316" i="2" s="1"/>
  <c r="C422" i="2" l="1"/>
  <c r="E422" i="2" s="1"/>
  <c r="C470" i="2" l="1"/>
  <c r="E470" i="2" s="1"/>
  <c r="C108" i="2" l="1"/>
  <c r="E108" i="2" s="1"/>
  <c r="C109" i="2"/>
  <c r="E109" i="2" s="1"/>
  <c r="C107" i="2"/>
  <c r="E107" i="2" s="1"/>
  <c r="C106" i="2" l="1"/>
  <c r="E106" i="2" s="1"/>
  <c r="C50" i="2"/>
  <c r="E50" i="2" s="1"/>
  <c r="C315" i="2" l="1"/>
  <c r="E315" i="2" s="1"/>
  <c r="C314" i="2"/>
  <c r="E314" i="2" s="1"/>
  <c r="C416" i="2" l="1"/>
  <c r="E416" i="2" s="1"/>
  <c r="C40" i="3"/>
  <c r="E40" i="3" s="1"/>
  <c r="C44" i="3" l="1"/>
  <c r="E44" i="3" s="1"/>
  <c r="C164" i="3"/>
  <c r="E164" i="3" s="1"/>
  <c r="C36" i="2" l="1"/>
  <c r="E36" i="2" s="1"/>
  <c r="C342" i="2" l="1"/>
  <c r="E342" i="2" s="1"/>
  <c r="C45" i="4"/>
  <c r="E45" i="4" s="1"/>
  <c r="C46" i="4"/>
  <c r="E46" i="4" s="1"/>
  <c r="C47" i="4"/>
  <c r="E47" i="4" s="1"/>
  <c r="C262" i="3" l="1"/>
  <c r="E262" i="3" s="1"/>
  <c r="C117" i="2"/>
  <c r="E117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1" i="2" l="1"/>
  <c r="E311" i="2" s="1"/>
  <c r="C2" i="3" l="1"/>
  <c r="E2" i="3" s="1"/>
  <c r="C452" i="2" l="1"/>
  <c r="E452" i="2" s="1"/>
  <c r="C451" i="2" l="1"/>
  <c r="E451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7" i="2" l="1"/>
  <c r="E477" i="2" s="1"/>
  <c r="C480" i="2"/>
  <c r="E480" i="2" s="1"/>
  <c r="C472" i="2"/>
  <c r="E472" i="2" s="1"/>
  <c r="C474" i="2"/>
  <c r="E474" i="2" s="1"/>
  <c r="C473" i="2"/>
  <c r="E473" i="2" s="1"/>
  <c r="C471" i="2"/>
  <c r="E471" i="2" s="1"/>
  <c r="C476" i="2"/>
  <c r="E476" i="2" s="1"/>
  <c r="C475" i="2"/>
  <c r="E475" i="2" s="1"/>
  <c r="C479" i="2"/>
  <c r="E479" i="2" s="1"/>
  <c r="C478" i="2"/>
  <c r="E478" i="2" s="1"/>
  <c r="C270" i="3" l="1"/>
  <c r="E270" i="3" s="1"/>
  <c r="C271" i="3"/>
  <c r="E271" i="3" s="1"/>
  <c r="C26" i="3" l="1"/>
  <c r="E26" i="3" s="1"/>
  <c r="C24" i="3"/>
  <c r="E24" i="3" s="1"/>
  <c r="C119" i="2" l="1"/>
  <c r="E119" i="2" s="1"/>
  <c r="C118" i="2"/>
  <c r="E118" i="2" s="1"/>
  <c r="C111" i="2"/>
  <c r="E111" i="2" s="1"/>
  <c r="C238" i="2" l="1"/>
  <c r="E238" i="2" s="1"/>
  <c r="C63" i="3" l="1"/>
  <c r="E63" i="3" s="1"/>
  <c r="C32" i="3" l="1"/>
  <c r="E32" i="3" s="1"/>
  <c r="C22" i="3"/>
  <c r="E22" i="3" s="1"/>
  <c r="C251" i="3" l="1"/>
  <c r="E251" i="3" s="1"/>
  <c r="C268" i="2" l="1"/>
  <c r="E268" i="2" s="1"/>
  <c r="C271" i="2"/>
  <c r="E271" i="2" s="1"/>
  <c r="C270" i="2"/>
  <c r="E27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74" i="2" l="1"/>
  <c r="E274" i="2" s="1"/>
  <c r="C275" i="2"/>
  <c r="E27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61" i="2" l="1"/>
  <c r="E261" i="2" s="1"/>
  <c r="C262" i="2"/>
  <c r="E262" i="2" s="1"/>
  <c r="C267" i="2"/>
  <c r="E267" i="2" s="1"/>
  <c r="C263" i="2"/>
  <c r="E263" i="2" s="1"/>
  <c r="C264" i="2"/>
  <c r="E264" i="2" s="1"/>
  <c r="C266" i="2"/>
  <c r="E26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65" i="2" l="1"/>
  <c r="E26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<sst xmlns="http://schemas.openxmlformats.org/spreadsheetml/2006/main" count="25500" uniqueCount="14011">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</sst>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13923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13856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13856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13854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13856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13855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13856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13857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13857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13857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13857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13859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13859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13858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13859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13860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13860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13860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13861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13861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13861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13861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13863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13862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13863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13864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13864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13864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13864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13866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13866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13865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13866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13867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13867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13867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13867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13870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13870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13868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13870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13869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13870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13871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13871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13871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13871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13872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13872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13872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13872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13873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13873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13875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13874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13875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13907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13876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13907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13084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13901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13901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13908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13900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13908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13125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13125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13126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13126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13124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13124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13081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13080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13080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13080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13079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13080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13887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13887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13887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13887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13889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13887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13888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13884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13888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13885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13888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13886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13888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13891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13891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13891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13890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13891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13894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13894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13892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13894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13893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13894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13895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13895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13895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13895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13896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13896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13896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13896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13897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13897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13897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13897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13906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13903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13906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13904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13906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13905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13906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13875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13874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13875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13916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13917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13917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13918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13918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13919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13919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13920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13920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13921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13914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13921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13922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13915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13922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13925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13924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13927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13926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13927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13098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13101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13101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13102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13103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13103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13998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13998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13999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13999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13939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13122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14000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14003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14001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14003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14002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14003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14006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14006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14005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14006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14004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14006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14009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14009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14007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14009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14008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14009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12963</v>
      </c>
      <c r="H46" s="7">
        <v>2</v>
      </c>
      <c r="I46" s="11" t="s">
        <v>7028</v>
      </c>
      <c r="J46" s="11" t="s">
        <v>10867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12964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12965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12967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12968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12969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12970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12972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12973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12974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12975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12977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12978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12979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12980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12981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12982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12981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12983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12984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12987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12988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12989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12990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12991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12992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12993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12994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12995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12996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12997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12998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12999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13000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13001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13002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13003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13004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13005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13006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13007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13008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13009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13930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13931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13932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13947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13948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95"/>
  <sheetViews>
    <sheetView tabSelected="1" workbookViewId="0">
      <pane ySplit="1" topLeftCell="A478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13014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13990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13954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13089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13055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13928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13899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13898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13030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13128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>
        <v>16522</v>
      </c>
      <c r="B54" t="s">
        <v>4</v>
      </c>
      <c r="C54" t="str">
        <f>CONCATENATE(F54,"##")</f>
        <v>8612057##</v>
      </c>
      <c r="E54" t="str">
        <f>IFERROR(VLOOKUP(1*LEFT(C54,7),DF!$A$1:$F$9447,2,FALSE),"")</f>
        <v>CARPA 16986-3</v>
      </c>
      <c r="F54">
        <v>8612057</v>
      </c>
      <c r="G54" t="s">
        <v>12437</v>
      </c>
      <c r="H54">
        <v>4</v>
      </c>
    </row>
    <row r="55" spans="1:8" x14ac:dyDescent="0.25">
      <c r="A55">
        <v>16522</v>
      </c>
      <c r="B55" t="s">
        <v>4</v>
      </c>
      <c r="C55" t="str">
        <f>CONCATENATE(F55,"##")</f>
        <v>8612056##</v>
      </c>
      <c r="E55" t="str">
        <f>IFERROR(VLOOKUP(1*LEFT(C55,7),DF!$A$1:$F$9447,2,FALSE),"")</f>
        <v>CARPA 3 PERS 16986-1</v>
      </c>
      <c r="F55">
        <v>8612056</v>
      </c>
      <c r="G55" t="s">
        <v>12438</v>
      </c>
      <c r="H55">
        <v>6</v>
      </c>
    </row>
    <row r="56" spans="1:8" x14ac:dyDescent="0.25">
      <c r="A56">
        <v>16522</v>
      </c>
      <c r="B56" t="s">
        <v>4</v>
      </c>
      <c r="C56" t="str">
        <f>CONCATENATE(F56,"##")</f>
        <v>8612058##</v>
      </c>
      <c r="E56" t="str">
        <f>IFERROR(VLOOKUP(1*LEFT(C56,7),DF!$A$1:$F$9447,2,FALSE),"")</f>
        <v>CARPA CAMPING A03</v>
      </c>
      <c r="F56">
        <v>8612058</v>
      </c>
      <c r="G56" t="s">
        <v>12439</v>
      </c>
      <c r="H56">
        <v>4</v>
      </c>
    </row>
    <row r="57" spans="1:8" x14ac:dyDescent="0.25">
      <c r="A57" s="2">
        <v>16522</v>
      </c>
      <c r="B57" s="2" t="s">
        <v>4</v>
      </c>
      <c r="C57" s="2" t="str">
        <f>CONCATENATE(F57,"##")</f>
        <v>8303123##</v>
      </c>
      <c r="D57" s="2"/>
      <c r="E57" s="2" t="str">
        <f>IFERROR(VLOOKUP(1*LEFT(C57,7),DF!$A$1:$F$9447,2,FALSE),"")</f>
        <v>CASQ AMER REVER RIP STOP</v>
      </c>
      <c r="F57" s="7">
        <v>8303123</v>
      </c>
      <c r="G57" t="s">
        <v>13132</v>
      </c>
      <c r="H57">
        <v>7</v>
      </c>
    </row>
    <row r="58" spans="1:8" x14ac:dyDescent="0.25">
      <c r="A58">
        <v>16522</v>
      </c>
      <c r="B58" t="s">
        <v>4</v>
      </c>
      <c r="C58" t="str">
        <f>CONCATENATE(F58,"##")</f>
        <v>8303665##</v>
      </c>
      <c r="E58" s="2" t="str">
        <f>IFERROR(VLOOKUP(1*LEFT(C58,7),DF!$A$1:$F$9447,2,FALSE),"")</f>
        <v>CASQ ARMADO  VERDE</v>
      </c>
      <c r="F58">
        <v>8303665</v>
      </c>
      <c r="G58" t="s">
        <v>12440</v>
      </c>
      <c r="H58">
        <v>5</v>
      </c>
    </row>
    <row r="59" spans="1:8" x14ac:dyDescent="0.25">
      <c r="A59">
        <v>16522</v>
      </c>
      <c r="B59" t="s">
        <v>4</v>
      </c>
      <c r="C59" t="str">
        <f>CONCATENATE(F59,"##")</f>
        <v>8303222##</v>
      </c>
      <c r="E59" s="2" t="str">
        <f>IFERROR(VLOOKUP(1*LEFT(C59,7),DF!$A$1:$F$9447,2,FALSE),"")</f>
        <v>CASQ ARMADO GAB AZUL</v>
      </c>
      <c r="F59">
        <v>8303222</v>
      </c>
      <c r="G59" t="s">
        <v>12441</v>
      </c>
      <c r="H59">
        <v>5</v>
      </c>
    </row>
    <row r="60" spans="1:8" x14ac:dyDescent="0.25">
      <c r="A60" s="2">
        <v>16522</v>
      </c>
      <c r="B60" s="2" t="s">
        <v>4</v>
      </c>
      <c r="C60" s="2" t="str">
        <f>CONCATENATE(F60,"##")</f>
        <v>8303014##</v>
      </c>
      <c r="D60" s="2"/>
      <c r="E60" s="2" t="str">
        <f>IFERROR(VLOOKUP(1*LEFT(C60,7),DF!$A$1:$F$9447,2,FALSE),"")</f>
        <v>CASQ AZUL URBANO TUCUMAN</v>
      </c>
      <c r="F60">
        <v>8303014</v>
      </c>
      <c r="G60" t="s">
        <v>13115</v>
      </c>
      <c r="H60">
        <v>5</v>
      </c>
    </row>
    <row r="61" spans="1:8" x14ac:dyDescent="0.25">
      <c r="A61">
        <v>16522</v>
      </c>
      <c r="B61" t="s">
        <v>4</v>
      </c>
      <c r="C61" t="str">
        <f>CONCATENATE(F61,"##")</f>
        <v>8303677##</v>
      </c>
      <c r="E61" s="2" t="str">
        <f>IFERROR(VLOOKUP(1*LEFT(C61,7),DF!$A$1:$F$9447,2,FALSE),"")</f>
        <v>CASQ GAB AZUL AJUSTABLE C/TRABA 4674</v>
      </c>
      <c r="F61">
        <v>8303677</v>
      </c>
      <c r="G61" t="s">
        <v>13849</v>
      </c>
      <c r="H61">
        <v>6</v>
      </c>
    </row>
    <row r="62" spans="1:8" x14ac:dyDescent="0.25">
      <c r="A62" s="2">
        <v>16522</v>
      </c>
      <c r="B62" s="2" t="s">
        <v>4</v>
      </c>
      <c r="C62" s="2" t="str">
        <f>CONCATENATE(F62,"##")</f>
        <v>8303005##</v>
      </c>
      <c r="D62" s="2"/>
      <c r="E62" s="2" t="str">
        <f>IFERROR(VLOOKUP(1*LEFT(C62,7),DF!$A$1:$F$9447,2,FALSE),"")</f>
        <v>CASQ GAB AZUL CON ABROJO</v>
      </c>
      <c r="F62" s="2">
        <v>8303005</v>
      </c>
      <c r="G62" t="s">
        <v>13116</v>
      </c>
      <c r="H62">
        <v>4</v>
      </c>
    </row>
    <row r="63" spans="1:8" x14ac:dyDescent="0.25">
      <c r="A63" s="2">
        <v>16522</v>
      </c>
      <c r="B63" s="2" t="s">
        <v>4</v>
      </c>
      <c r="C63" s="2" t="str">
        <f>CONCATENATE(F63,"##")</f>
        <v>8303010##</v>
      </c>
      <c r="D63" s="2"/>
      <c r="E63" s="2" t="str">
        <f>IFERROR(VLOOKUP(1*LEFT(C63,7),DF!$A$1:$F$9447,2,FALSE),"")</f>
        <v>CASQ GAB AZUL CON ABROJO</v>
      </c>
      <c r="F63" s="2">
        <v>8303010</v>
      </c>
      <c r="G63" t="s">
        <v>13117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8303114##</v>
      </c>
      <c r="D64" s="2"/>
      <c r="E64" s="2" t="str">
        <f>IFERROR(VLOOKUP(1*LEFT(C64,7),DF!$A$1:$F$9447,2,FALSE),"")</f>
        <v>CASQ GAB GRIS ABROJO</v>
      </c>
      <c r="F64">
        <v>8303114</v>
      </c>
      <c r="G64" t="s">
        <v>13123</v>
      </c>
      <c r="H64">
        <v>5</v>
      </c>
    </row>
    <row r="65" spans="1:8" x14ac:dyDescent="0.25">
      <c r="A65" s="2">
        <v>16522</v>
      </c>
      <c r="B65" s="2" t="s">
        <v>4</v>
      </c>
      <c r="C65" s="2" t="str">
        <f>CONCATENATE(F65,"##")</f>
        <v>8303674##</v>
      </c>
      <c r="D65" s="2"/>
      <c r="E65" s="2" t="str">
        <f>IFERROR(VLOOKUP(1*LEFT(C65,7),DF!$A$1:$F$9447,2,FALSE),"")</f>
        <v>CASQ GAB NEGRO AJUSTABLE C/TRABA 4674</v>
      </c>
      <c r="F65">
        <v>8303674</v>
      </c>
      <c r="G65" t="s">
        <v>13133</v>
      </c>
      <c r="H65">
        <v>6</v>
      </c>
    </row>
    <row r="66" spans="1:8" x14ac:dyDescent="0.25">
      <c r="A66" s="2">
        <v>16522</v>
      </c>
      <c r="B66" s="2" t="s">
        <v>4</v>
      </c>
      <c r="C66" s="2" t="str">
        <f>CONCATENATE(F66,"##")</f>
        <v>8303006##</v>
      </c>
      <c r="D66" s="2"/>
      <c r="E66" s="2" t="str">
        <f>IFERROR(VLOOKUP(1*LEFT(C66,7),DF!$A$1:$F$9447,2,FALSE),"")</f>
        <v>CASQ GAB NEGRO CON ABROJO</v>
      </c>
      <c r="F66" s="7">
        <v>8303006</v>
      </c>
      <c r="G66" t="s">
        <v>13131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>CONCATENATE(F67,"##")</f>
        <v>8303112##</v>
      </c>
      <c r="D67" s="2"/>
      <c r="E67" s="2" t="str">
        <f>IFERROR(VLOOKUP(1*LEFT(C67,7),DF!$A$1:$F$9447,2,FALSE),"")</f>
        <v>CASQ GRIS BORD NEUQUEN</v>
      </c>
      <c r="F67" s="7">
        <v>8303112</v>
      </c>
      <c r="G67" t="s">
        <v>13121</v>
      </c>
      <c r="H67">
        <v>6</v>
      </c>
    </row>
    <row r="68" spans="1:8" x14ac:dyDescent="0.25">
      <c r="A68" s="2">
        <v>16522</v>
      </c>
      <c r="B68" s="2" t="s">
        <v>4</v>
      </c>
      <c r="C68" s="2" t="str">
        <f>CONCATENATE(F68,"##")</f>
        <v>8303111##</v>
      </c>
      <c r="D68" s="2"/>
      <c r="E68" s="2" t="str">
        <f>IFERROR(VLOOKUP(1*LEFT(C68,7),DF!$A$1:$F$9447,2,FALSE),"")</f>
        <v>CASQ NEGRO BORD NEUQUEN</v>
      </c>
      <c r="F68">
        <v>8303111</v>
      </c>
      <c r="G68" t="s">
        <v>13112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8303120##</v>
      </c>
      <c r="D69" s="2"/>
      <c r="E69" s="2" t="str">
        <f>IFERROR(VLOOKUP(1*LEFT(C69,7),DF!$A$1:$F$9447,2,FALSE),"")</f>
        <v>CASQ REVER GABARD.</v>
      </c>
      <c r="F69" s="7">
        <v>8303120</v>
      </c>
      <c r="G69" t="s">
        <v>12442</v>
      </c>
      <c r="H69">
        <v>8</v>
      </c>
    </row>
    <row r="70" spans="1:8" x14ac:dyDescent="0.25">
      <c r="A70" s="2">
        <v>16522</v>
      </c>
      <c r="B70" s="2" t="s">
        <v>4</v>
      </c>
      <c r="C70" s="2" t="str">
        <f>CONCATENATE(F70,"##")</f>
        <v>8303495##</v>
      </c>
      <c r="D70" s="2"/>
      <c r="E70" s="2" t="str">
        <f>IFERROR(VLOOKUP(1*LEFT(C70,7),DF!$A$1:$F$9447,2,FALSE),"")</f>
        <v>CASQ RIP AZUL C ABROJO</v>
      </c>
      <c r="F70">
        <v>8303495</v>
      </c>
      <c r="G70" t="s">
        <v>13129</v>
      </c>
      <c r="H70">
        <v>5</v>
      </c>
    </row>
    <row r="71" spans="1:8" x14ac:dyDescent="0.25">
      <c r="A71" s="2">
        <v>16522</v>
      </c>
      <c r="B71" s="2" t="s">
        <v>4</v>
      </c>
      <c r="C71" s="2" t="str">
        <f>CONCATENATE(F71,"##")</f>
        <v>8303130##</v>
      </c>
      <c r="D71" s="2"/>
      <c r="E71" s="2" t="str">
        <f>IFERROR(VLOOKUP(1*LEFT(C71,7),DF!$A$1:$F$9447,2,FALSE),"")</f>
        <v>CASQ RIP AZUL C/OJALILLOS IMP</v>
      </c>
      <c r="F71" s="7">
        <v>8303130</v>
      </c>
      <c r="G71" t="s">
        <v>12443</v>
      </c>
      <c r="H71">
        <v>3</v>
      </c>
    </row>
    <row r="72" spans="1:8" x14ac:dyDescent="0.25">
      <c r="A72">
        <v>16522</v>
      </c>
      <c r="B72" t="s">
        <v>4</v>
      </c>
      <c r="C72" t="str">
        <f>CONCATENATE(F72,"##")</f>
        <v>8303003##</v>
      </c>
      <c r="E72" s="2" t="str">
        <f>IFERROR(VLOOKUP(1*LEFT(C72,7),DF!$A$1:$F$9447,2,FALSE),"")</f>
        <v>CASQ RIP AZUL CRIO GENERAL VISERA BORD</v>
      </c>
      <c r="F72">
        <v>8303003</v>
      </c>
      <c r="G72" t="s">
        <v>12444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>CONCATENATE(F73,"##")</f>
        <v>8303442##</v>
      </c>
      <c r="D73" s="2"/>
      <c r="E73" s="2" t="str">
        <f>IFERROR(VLOOKUP(1*LEFT(C73,7),DF!$A$1:$F$9447,2,FALSE),"")</f>
        <v>CASQ RIP AZUL NOCHE 442 C/ABR</v>
      </c>
      <c r="F73" s="7">
        <v>8303442</v>
      </c>
      <c r="G73" t="s">
        <v>13850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>CONCATENATE(F74,"##")</f>
        <v>8303800##</v>
      </c>
      <c r="D74" s="2"/>
      <c r="E74" s="2" t="str">
        <f>IFERROR(VLOOKUP(1*LEFT(C74,7),DF!$A$1:$F$9447,2,FALSE),"")</f>
        <v>CASQ RIP AZUL NQUEN. RER</v>
      </c>
      <c r="F74">
        <v>8303800</v>
      </c>
      <c r="G74" t="s">
        <v>13110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8303902##</v>
      </c>
      <c r="D75" s="2"/>
      <c r="E75" s="2" t="str">
        <f>IFERROR(VLOOKUP(1*LEFT(C75,7),DF!$A$1:$F$9447,2,FALSE),"")</f>
        <v>CASQ RIP BEIGE ABROJO</v>
      </c>
      <c r="F75">
        <v>8303902</v>
      </c>
      <c r="G75" t="s">
        <v>13113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>CONCATENATE(F76,"##")</f>
        <v>8303128##</v>
      </c>
      <c r="D76" s="2"/>
      <c r="E76" s="2" t="str">
        <f>IFERROR(VLOOKUP(1*LEFT(C76,7),DF!$A$1:$F$9447,2,FALSE),"")</f>
        <v>CASQ RIP DIGITAL ACU</v>
      </c>
      <c r="F76" s="7">
        <v>8303128</v>
      </c>
      <c r="G76" t="s">
        <v>13851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>CONCATENATE(F77,"##")</f>
        <v>8303113##</v>
      </c>
      <c r="D77" s="2"/>
      <c r="E77" s="2" t="str">
        <f>IFERROR(VLOOKUP(1*LEFT(C77,7),DF!$A$1:$F$9447,2,FALSE),"")</f>
        <v>CASQ RIP GRIS ABROJO</v>
      </c>
      <c r="F77">
        <v>8303113</v>
      </c>
      <c r="G77" t="s">
        <v>13852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8303544##</v>
      </c>
      <c r="D78" s="2"/>
      <c r="E78" s="2" t="str">
        <f>IFERROR(VLOOKUP(1*LEFT(C78,7),DF!$A$1:$F$9447,2,FALSE),"")</f>
        <v>CASQ RIP INFANTERIA CON ABROJO</v>
      </c>
      <c r="F78">
        <v>8303544</v>
      </c>
      <c r="G78" t="s">
        <v>13118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>CONCATENATE(F79,"##")</f>
        <v>8303900##</v>
      </c>
      <c r="D79" s="2"/>
      <c r="E79" s="2" t="str">
        <f>IFERROR(VLOOKUP(1*LEFT(C79,7),DF!$A$1:$F$9447,2,FALSE),"")</f>
        <v>CASQ RIP NEGRO ABROJO</v>
      </c>
      <c r="F79">
        <v>8303900</v>
      </c>
      <c r="G79" t="s">
        <v>13130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>CONCATENATE(F80,"##")</f>
        <v>8303129##</v>
      </c>
      <c r="D80" s="2"/>
      <c r="E80" s="2" t="str">
        <f>IFERROR(VLOOKUP(1*LEFT(C80,7),DF!$A$1:$F$9447,2,FALSE),"")</f>
        <v>CASQ RIP NEGRO C/OJALILLOS IMP</v>
      </c>
      <c r="F80" s="7">
        <v>8303129</v>
      </c>
      <c r="G80" t="s">
        <v>13119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8303701##</v>
      </c>
      <c r="D81" s="2"/>
      <c r="E81" s="2" t="str">
        <f>IFERROR(VLOOKUP(1*LEFT(C81,7),DF!$A$1:$F$9447,2,FALSE),"")</f>
        <v>CASQ RIP NEGRO NQUEN. VISERA BORDADA RER</v>
      </c>
      <c r="F81">
        <v>8303701</v>
      </c>
      <c r="G81" t="s">
        <v>13111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8303007##</v>
      </c>
      <c r="D82" s="2"/>
      <c r="E82" s="2" t="str">
        <f>IFERROR(VLOOKUP(1*LEFT(C82,7),DF!$A$1:$F$9447,2,FALSE),"")</f>
        <v>CASQ RIP REQUISA</v>
      </c>
      <c r="F82">
        <v>8303007</v>
      </c>
      <c r="G82" t="s">
        <v>13120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8303133##</v>
      </c>
      <c r="D83" s="2"/>
      <c r="E83" s="2" t="str">
        <f>IFERROR(VLOOKUP(1*LEFT(C83,7),DF!$A$1:$F$9447,2,FALSE),"")</f>
        <v>CASQ RIP RURAL  C/ABROJO</v>
      </c>
      <c r="F83">
        <v>8303133</v>
      </c>
      <c r="G83" t="s">
        <v>13114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2401101##</v>
      </c>
      <c r="D84" s="2"/>
      <c r="E84" s="2" t="str">
        <f>IFERROR(VLOOKUP(1*LEFT(C84,7),DF!$A$1:$F$9447,2,FALSE),"")</f>
        <v>CHALECO ARNES ISARELI C/REFLACTARIORRD2B</v>
      </c>
      <c r="F84">
        <v>2401101</v>
      </c>
      <c r="G84" t="s">
        <v>12824</v>
      </c>
      <c r="H84">
        <v>5</v>
      </c>
    </row>
    <row r="85" spans="1:9" x14ac:dyDescent="0.25">
      <c r="A85">
        <v>16522</v>
      </c>
      <c r="B85" t="s">
        <v>4</v>
      </c>
      <c r="C85" t="str">
        <f>CONCATENATE(F85,"##")</f>
        <v>2401242##</v>
      </c>
      <c r="E85" t="str">
        <f>IFERROR(VLOOKUP(1*LEFT(C85,7),DF!$A$1:$F$9447,2,FALSE),"")</f>
        <v>CHALECO ARNES ISRAELI MOLLE RRD1 BLK</v>
      </c>
      <c r="F85">
        <v>2401242</v>
      </c>
      <c r="G85" t="s">
        <v>12445</v>
      </c>
      <c r="H85">
        <v>3</v>
      </c>
    </row>
    <row r="86" spans="1:9" x14ac:dyDescent="0.25">
      <c r="A86">
        <v>16522</v>
      </c>
      <c r="B86" t="s">
        <v>4</v>
      </c>
      <c r="C86" t="str">
        <f>CONCATENATE(F86,"##")</f>
        <v>2401550##</v>
      </c>
      <c r="E86" t="str">
        <f>IFERROR(VLOOKUP(1*LEFT(C86,7),DF!$A$1:$F$9447,2,FALSE),"")</f>
        <v>CHALECO ARNES VIAL VERDE GN RRD2b BLK</v>
      </c>
      <c r="F86">
        <v>2401550</v>
      </c>
      <c r="G86" t="s">
        <v>12446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>CONCATENATE(F87,"##")</f>
        <v>5102001##</v>
      </c>
      <c r="D87" s="2"/>
      <c r="E87" s="2" t="str">
        <f>IFERROR(VLOOKUP(1*LEFT(C87,7),DF!$A$1:$F$9447,2,FALSE),"")</f>
        <v>CHALECO BOMBERO C/REFLECIVA RER</v>
      </c>
      <c r="F87" s="7">
        <v>5102001</v>
      </c>
      <c r="G87" t="s">
        <v>12447</v>
      </c>
      <c r="H87">
        <v>3</v>
      </c>
    </row>
    <row r="88" spans="1:9" x14ac:dyDescent="0.25">
      <c r="A88" s="2">
        <v>16522</v>
      </c>
      <c r="B88" s="2" t="s">
        <v>4</v>
      </c>
      <c r="C88" s="2" t="str">
        <f>CONCATENATE(F88,"##")</f>
        <v>2401584##</v>
      </c>
      <c r="D88" s="2"/>
      <c r="E88" s="2" t="str">
        <f>IFERROR(VLOOKUP(1*LEFT(C88,7),DF!$A$1:$F$9447,2,FALSE),"")</f>
        <v>CHALECO C/V LANA NEGRO MILIT EMTRI007 EM</v>
      </c>
      <c r="F88" s="7">
        <v>2401584</v>
      </c>
      <c r="G88" t="s">
        <v>12448</v>
      </c>
      <c r="H88">
        <v>3</v>
      </c>
      <c r="I88">
        <v>1</v>
      </c>
    </row>
    <row r="89" spans="1:9" x14ac:dyDescent="0.25">
      <c r="A89" s="2">
        <v>16522</v>
      </c>
      <c r="B89" s="2" t="s">
        <v>4</v>
      </c>
      <c r="C89" s="2" t="str">
        <f>CONCATENATE(F89,"##")</f>
        <v>2401249##</v>
      </c>
      <c r="D89" s="2"/>
      <c r="E89" s="2" t="str">
        <f>IFERROR(VLOOKUP(1*LEFT(C89,7),DF!$A$1:$F$9447,2,FALSE),"")</f>
        <v>CHALECO CARRIER C/PORTA ELEM MAZ/RRD</v>
      </c>
      <c r="F89" s="7">
        <v>2401249</v>
      </c>
      <c r="G89" t="s">
        <v>12449</v>
      </c>
      <c r="H89">
        <v>8</v>
      </c>
    </row>
    <row r="90" spans="1:9" x14ac:dyDescent="0.25">
      <c r="A90" s="2">
        <v>16522</v>
      </c>
      <c r="B90" s="2" t="s">
        <v>4</v>
      </c>
      <c r="C90" s="2" t="str">
        <f>CONCATENATE(F90,"##")</f>
        <v>2401022##</v>
      </c>
      <c r="D90" s="2"/>
      <c r="E90" s="2" t="str">
        <f>IFERROR(VLOOKUP(1*LEFT(C90,7),DF!$A$1:$F$9447,2,FALSE),"")</f>
        <v>CHALECO DE TRANSPORTE RIV / RRD5 RER</v>
      </c>
      <c r="F90" s="7">
        <v>2401022</v>
      </c>
      <c r="G90" t="s">
        <v>12450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>CONCATENATE(F91,"##")</f>
        <v>8708116##</v>
      </c>
      <c r="D91" s="2"/>
      <c r="E91" s="2" t="str">
        <f>IFERROR(VLOOKUP(1*LEFT(C91,7),DF!$A$1:$F$9447,2,FALSE),"")</f>
        <v>CHALECO FUNDA ALBATROS 5 ELEM RRD63 BLK</v>
      </c>
      <c r="F91" s="7">
        <v>8708116</v>
      </c>
      <c r="G91" t="s">
        <v>12451</v>
      </c>
      <c r="H91">
        <v>6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>CONCATENATE(F92,"##")</f>
        <v>8708113##</v>
      </c>
      <c r="D92" s="2"/>
      <c r="E92" s="2" t="str">
        <f>IFERROR(VLOOKUP(1*LEFT(C92,7),DF!$A$1:$F$9447,2,FALSE),"")</f>
        <v>CHALECO FUNDA ALPHA BALISTICA RRD42 BLK</v>
      </c>
      <c r="F92" s="7">
        <v>8708113</v>
      </c>
      <c r="G92" t="s">
        <v>12452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2401103##</v>
      </c>
      <c r="D93" s="2"/>
      <c r="E93" s="2" t="str">
        <f>IFERROR(VLOOKUP(1*LEFT(C93,7),DF!$A$1:$F$9447,2,FALSE),"")</f>
        <v>CHALECO FUNDA BALIST MOLLE RRD4 BLK</v>
      </c>
      <c r="F93" s="7">
        <v>2401103</v>
      </c>
      <c r="G93" t="s">
        <v>12453</v>
      </c>
      <c r="H93">
        <v>4</v>
      </c>
    </row>
    <row r="94" spans="1:9" x14ac:dyDescent="0.25">
      <c r="A94" s="2">
        <v>16522</v>
      </c>
      <c r="B94" s="2" t="s">
        <v>4</v>
      </c>
      <c r="C94" s="2" t="str">
        <f>CONCATENATE(F94,"##")</f>
        <v>8708111##</v>
      </c>
      <c r="D94" s="2"/>
      <c r="E94" s="2" t="str">
        <f>IFERROR(VLOOKUP(1*LEFT(C94,7),DF!$A$1:$F$9447,2,FALSE),"")</f>
        <v>CHALECO FUNDA BALISTICA BASICA RRD6 BLK</v>
      </c>
      <c r="F94" s="7">
        <v>8708111</v>
      </c>
      <c r="G94" t="s">
        <v>12454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8708112##</v>
      </c>
      <c r="D95" s="2"/>
      <c r="E95" s="2" t="str">
        <f>IFERROR(VLOOKUP(1*LEFT(C95,7),DF!$A$1:$F$9447,2,FALSE),"")</f>
        <v>CHALECO FUNDA BALISTICA COMPL RRD7 BLK</v>
      </c>
      <c r="F95" s="7">
        <v>8708112</v>
      </c>
      <c r="G95" t="s">
        <v>12455</v>
      </c>
      <c r="H95">
        <v>7</v>
      </c>
    </row>
    <row r="96" spans="1:9" x14ac:dyDescent="0.25">
      <c r="A96">
        <v>16522</v>
      </c>
      <c r="B96" t="s">
        <v>4</v>
      </c>
      <c r="C96" t="str">
        <f>CONCATENATE(F96,"##")</f>
        <v>8708999##</v>
      </c>
      <c r="E96" t="str">
        <f>IFERROR(VLOOKUP(1*LEFT(C96,7),DF!$A$1:$F$9447,2,FALSE),"")</f>
        <v>CHALECO FUNDA MAGAL CHICO MOLLE RRD/ET B</v>
      </c>
      <c r="F96">
        <v>8708999</v>
      </c>
      <c r="G96" t="s">
        <v>12456</v>
      </c>
      <c r="H96">
        <v>5</v>
      </c>
    </row>
    <row r="97" spans="1:9" x14ac:dyDescent="0.25">
      <c r="A97">
        <v>16522</v>
      </c>
      <c r="B97" t="s">
        <v>4</v>
      </c>
      <c r="C97" t="str">
        <f>CONCATENATE(F97,"##")</f>
        <v>8708888##</v>
      </c>
      <c r="E97" t="str">
        <f>IFERROR(VLOOKUP(1*LEFT(C97,7),DF!$A$1:$F$9447,2,FALSE),"")</f>
        <v>CHALECO FUNDA MAGAL GRANDE MOLLE RRD/ET</v>
      </c>
      <c r="F97">
        <v>8708888</v>
      </c>
      <c r="G97" t="s">
        <v>12457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>CONCATENATE(F98,"##")</f>
        <v>8708300##</v>
      </c>
      <c r="D98" s="2"/>
      <c r="E98" s="2" t="str">
        <f>IFERROR(VLOOKUP(1*LEFT(C98,7),DF!$A$1:$F$9447,2,FALSE),"")</f>
        <v>CHALECO FUNDA MOLLE</v>
      </c>
      <c r="F98" s="7">
        <v>8708300</v>
      </c>
      <c r="G98" t="s">
        <v>12458</v>
      </c>
      <c r="H98">
        <v>4</v>
      </c>
    </row>
    <row r="99" spans="1:9" x14ac:dyDescent="0.25">
      <c r="A99" s="2">
        <v>16522</v>
      </c>
      <c r="B99" s="2" t="s">
        <v>4</v>
      </c>
      <c r="C99" s="2" t="str">
        <f>CONCATENATE(F99,"##")</f>
        <v>8708301##</v>
      </c>
      <c r="D99" s="2"/>
      <c r="E99" s="2" t="str">
        <f>IFERROR(VLOOKUP(1*LEFT(C99,7),DF!$A$1:$F$9447,2,FALSE),"")</f>
        <v>CHALECO FUNDA MOLLE PORTA NIVEL2</v>
      </c>
      <c r="F99" s="7">
        <v>8708301</v>
      </c>
      <c r="G99" t="s">
        <v>12459</v>
      </c>
      <c r="H99">
        <v>4</v>
      </c>
      <c r="I99">
        <v>1</v>
      </c>
    </row>
    <row r="100" spans="1:9" x14ac:dyDescent="0.25">
      <c r="A100" s="2">
        <v>16522</v>
      </c>
      <c r="B100" s="2" t="s">
        <v>4</v>
      </c>
      <c r="C100" s="2" t="str">
        <f>CONCATENATE(F100,"##")</f>
        <v>2401298##</v>
      </c>
      <c r="D100" s="2"/>
      <c r="E100" s="2" t="str">
        <f>IFERROR(VLOOKUP(1*LEFT(C100,7),DF!$A$1:$F$9447,2,FALSE),"")</f>
        <v>CHALECO LANA AZUL MILTAR RER</v>
      </c>
      <c r="F100" s="7">
        <v>2401298</v>
      </c>
      <c r="G100" t="s">
        <v>12460</v>
      </c>
      <c r="H100">
        <v>3</v>
      </c>
      <c r="I100">
        <v>1</v>
      </c>
    </row>
    <row r="101" spans="1:9" x14ac:dyDescent="0.25">
      <c r="A101">
        <v>16522</v>
      </c>
      <c r="B101" t="s">
        <v>4</v>
      </c>
      <c r="C101" t="str">
        <f>CONCATENATE(F101,"##")</f>
        <v>8708651##</v>
      </c>
      <c r="E101" t="str">
        <f>IFERROR(VLOOKUP(1*LEFT(C101,7),DF!$A$1:$F$9447,2,FALSE),"")</f>
        <v>CHALECO TACTICO MOLLE AIRSOFT/PAINTBALL</v>
      </c>
      <c r="F101">
        <v>8708651</v>
      </c>
      <c r="G101" t="s">
        <v>12461</v>
      </c>
      <c r="H101">
        <v>5</v>
      </c>
    </row>
    <row r="102" spans="1:9" x14ac:dyDescent="0.25">
      <c r="A102" s="2">
        <v>16522</v>
      </c>
      <c r="B102" s="2" t="s">
        <v>4</v>
      </c>
      <c r="C102" s="2" t="str">
        <f>CONCATENATE(F102,"##")</f>
        <v>2401100##</v>
      </c>
      <c r="D102" s="2"/>
      <c r="E102" s="2" t="str">
        <f>IFERROR(VLOOKUP(1*LEFT(C102,7),DF!$A$1:$F$9447,2,FALSE),"")</f>
        <v>CHALECO TACTICO RRD3 BLK</v>
      </c>
      <c r="F102" s="7">
        <v>2401100</v>
      </c>
      <c r="G102" t="s">
        <v>12462</v>
      </c>
      <c r="H102">
        <v>3</v>
      </c>
    </row>
    <row r="103" spans="1:9" x14ac:dyDescent="0.25">
      <c r="A103" s="2">
        <v>16522</v>
      </c>
      <c r="B103" s="2" t="s">
        <v>4</v>
      </c>
      <c r="C103" s="2" t="str">
        <f>CONCATENATE(F103,"##")</f>
        <v>8307810##</v>
      </c>
      <c r="D103" s="2"/>
      <c r="E103" s="2" t="str">
        <f>IFERROR(VLOOKUP(1*LEFT(C103,7),DF!$A$1:$F$9447,2,FALSE),"")</f>
        <v>CHAMBERGO DE PELO DE LIEBRE RER</v>
      </c>
      <c r="F103" s="7">
        <v>8307810</v>
      </c>
      <c r="G103" t="s">
        <v>12463</v>
      </c>
      <c r="H103">
        <v>5</v>
      </c>
    </row>
    <row r="104" spans="1:9" x14ac:dyDescent="0.25">
      <c r="A104">
        <v>16522</v>
      </c>
      <c r="B104" t="s">
        <v>4</v>
      </c>
      <c r="C104" t="str">
        <f>CONCATENATE(F104,"##")</f>
        <v>5320787##</v>
      </c>
      <c r="E104" t="str">
        <f>IFERROR(VLOOKUP(1*LEFT(C104,7),DF!$A$1:$F$9447,2,FALSE),"")</f>
        <v>CHAQUETILLA POLICIA/PENIT 176N0110 FC</v>
      </c>
      <c r="F104">
        <v>5320787</v>
      </c>
      <c r="G104" t="s">
        <v>12464</v>
      </c>
      <c r="H104">
        <v>3</v>
      </c>
    </row>
    <row r="105" spans="1:9" x14ac:dyDescent="0.25">
      <c r="A105" s="2">
        <v>16522</v>
      </c>
      <c r="B105" s="2" t="s">
        <v>4</v>
      </c>
      <c r="C105" s="2" t="str">
        <f>CONCATENATE(F105,"##")</f>
        <v>2101300##</v>
      </c>
      <c r="D105" s="2"/>
      <c r="E105" s="2" t="str">
        <f>IFERROR(VLOOKUP(1*LEFT(C105,7),DF!$A$1:$F$9447,2,FALSE),"")</f>
        <v>CHOMBA MC CIERRE CIENTIFICA RER</v>
      </c>
      <c r="F105" s="7">
        <v>2101300</v>
      </c>
      <c r="G105" t="s">
        <v>13127</v>
      </c>
      <c r="H105">
        <v>3</v>
      </c>
      <c r="I105">
        <v>1</v>
      </c>
    </row>
    <row r="106" spans="1:9" x14ac:dyDescent="0.25">
      <c r="A106">
        <v>16522</v>
      </c>
      <c r="B106" t="s">
        <v>4</v>
      </c>
      <c r="C106" t="str">
        <f>CONCATENATE(F106,"##")</f>
        <v>8601050##</v>
      </c>
      <c r="E106" t="str">
        <f>IFERROR(VLOOKUP(1*LEFT(C106,7),DF!$A$1:$F$9447,2,FALSE),"")</f>
        <v>CINTA DUCT TAPE DOBLE TELA SILVER PLATEA</v>
      </c>
      <c r="F106">
        <v>8601050</v>
      </c>
      <c r="G106" t="s">
        <v>12465</v>
      </c>
      <c r="H106">
        <v>4</v>
      </c>
    </row>
    <row r="107" spans="1:9" x14ac:dyDescent="0.25">
      <c r="A107">
        <v>16522</v>
      </c>
      <c r="B107" t="s">
        <v>4</v>
      </c>
      <c r="C107" t="str">
        <f>CONCATENATE(F107,"##")</f>
        <v>8701093##</v>
      </c>
      <c r="E107" t="str">
        <f>IFERROR(VLOOKUP(1*LEFT(C107,7),DF!$A$1:$F$9447,2,FALSE),"")</f>
        <v>CINTO DELTA XTL 549 BEIGE XTR</v>
      </c>
      <c r="F107">
        <v>8701093</v>
      </c>
      <c r="G107" t="s">
        <v>12466</v>
      </c>
      <c r="H107">
        <v>1</v>
      </c>
    </row>
    <row r="108" spans="1:9" x14ac:dyDescent="0.25">
      <c r="A108">
        <v>16522</v>
      </c>
      <c r="B108" t="s">
        <v>4</v>
      </c>
      <c r="C108" t="str">
        <f>CONCATENATE(F108,"##")</f>
        <v>8701090##</v>
      </c>
      <c r="E108" t="str">
        <f>IFERROR(VLOOKUP(1*LEFT(C108,7),DF!$A$1:$F$9447,2,FALSE),"")</f>
        <v>CINTO DELTA XTL 549 NEGRO XTR</v>
      </c>
      <c r="F108">
        <v>8701090</v>
      </c>
      <c r="G108" t="s">
        <v>12467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8701092##</v>
      </c>
      <c r="E109" t="str">
        <f>IFERROR(VLOOKUP(1*LEFT(C109,7),DF!$A$1:$F$9447,2,FALSE),"")</f>
        <v>CINTO DELTA XTL 549 VERDE XTR</v>
      </c>
      <c r="F109">
        <v>8701092</v>
      </c>
      <c r="G109" t="s">
        <v>12468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8701750##</v>
      </c>
      <c r="E110" t="str">
        <f>IFERROR(VLOOKUP(1*LEFT(C110,7),DF!$A$1:$F$9447,2,FALSE),"")</f>
        <v>CINTURON AMERIC GRIS T650 TB</v>
      </c>
      <c r="F110">
        <v>8701750</v>
      </c>
      <c r="G110" t="s">
        <v>12469</v>
      </c>
      <c r="H110">
        <v>2</v>
      </c>
    </row>
    <row r="111" spans="1:9" x14ac:dyDescent="0.25">
      <c r="A111">
        <v>16522</v>
      </c>
      <c r="B111" t="s">
        <v>4</v>
      </c>
      <c r="C111" t="str">
        <f>CONCATENATE(F111,"##")</f>
        <v>8701541##</v>
      </c>
      <c r="E111" t="str">
        <f>IFERROR(VLOOKUP(1*LEFT(C111,7),DF!$A$1:$F$9447,2,FALSE),"")</f>
        <v>CINTURON AMERIC TRIPLE SEG 016 H RED RER</v>
      </c>
      <c r="F111">
        <v>8701541</v>
      </c>
      <c r="G111" t="s">
        <v>12470</v>
      </c>
      <c r="H111">
        <v>3</v>
      </c>
    </row>
    <row r="112" spans="1:9" x14ac:dyDescent="0.25">
      <c r="A112" s="2">
        <v>16522</v>
      </c>
      <c r="B112" s="2" t="s">
        <v>4</v>
      </c>
      <c r="C112" s="2" t="str">
        <f>CONCATENATE(F112,"##")</f>
        <v>8701542##</v>
      </c>
      <c r="D112" s="2"/>
      <c r="E112" s="2" t="str">
        <f>IFERROR(VLOOKUP(1*LEFT(C112,7),DF!$A$1:$F$9447,2,FALSE),"")</f>
        <v>CINTURON AMERIC TRIPLE SEG 018 H CUA RER</v>
      </c>
      <c r="F112" s="7">
        <v>8701542</v>
      </c>
      <c r="G112" t="s">
        <v>12471</v>
      </c>
      <c r="H112">
        <v>4</v>
      </c>
    </row>
    <row r="113" spans="1:8" x14ac:dyDescent="0.25">
      <c r="A113">
        <v>16522</v>
      </c>
      <c r="B113" t="s">
        <v>4</v>
      </c>
      <c r="C113" t="str">
        <f>CONCATENATE(F113,"##")</f>
        <v>8701999##</v>
      </c>
      <c r="E113" t="str">
        <f>IFERROR(VLOOKUP(1*LEFT(C113,7),DF!$A$1:$F$9447,2,FALSE),"")</f>
        <v>CINTURON CUERO 30 MM LMGE RER</v>
      </c>
      <c r="F113">
        <v>8701999</v>
      </c>
      <c r="G113" t="s">
        <v>12472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8701735##</v>
      </c>
      <c r="E114" t="str">
        <f>IFERROR(VLOOKUP(1*LEFT(C114,7),DF!$A$1:$F$9447,2,FALSE),"")</f>
        <v>CINTURON CUERO OFICAL SIN DADO 1050 TB</v>
      </c>
      <c r="F114">
        <v>8701735</v>
      </c>
      <c r="G114" t="s">
        <v>12473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8701033##</v>
      </c>
      <c r="E115" t="str">
        <f>IFERROR(VLOOKUP(1*LEFT(C115,7),DF!$A$1:$F$9447,2,FALSE),"")</f>
        <v>CINTURON CUERO OFICIAL CON DADO 1033 TB</v>
      </c>
      <c r="F115">
        <v>8701033</v>
      </c>
      <c r="G115" t="s">
        <v>12474</v>
      </c>
      <c r="H115">
        <v>3</v>
      </c>
    </row>
    <row r="116" spans="1:8" x14ac:dyDescent="0.25">
      <c r="A116">
        <v>16522</v>
      </c>
      <c r="B116" t="s">
        <v>4</v>
      </c>
      <c r="C116" t="str">
        <f>CONCATENATE(F116,"##")</f>
        <v>8701856##</v>
      </c>
      <c r="E116" t="str">
        <f>IFERROR(VLOOKUP(1*LEFT(C116,7),DF!$A$1:$F$9447,2,FALSE),"")</f>
        <v>CINTURON RERDA DOBLEACCION GRIS RER</v>
      </c>
      <c r="F116">
        <v>8701856</v>
      </c>
      <c r="G116" t="s">
        <v>12475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8701575##</v>
      </c>
      <c r="E117" t="str">
        <f>IFERROR(VLOOKUP(1*LEFT(C117,7),DF!$A$1:$F$9447,2,FALSE),"")</f>
        <v>CINTURON TACTICO C/HEBILLA METALICA 5575</v>
      </c>
      <c r="F117">
        <v>8701575</v>
      </c>
      <c r="G117" t="s">
        <v>12476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8701495##</v>
      </c>
      <c r="E118" t="str">
        <f>IFERROR(VLOOKUP(1*LEFT(C118,7),DF!$A$1:$F$9447,2,FALSE),"")</f>
        <v>CINTURON TACTICO URBANO CHICO  5494/2</v>
      </c>
      <c r="F118">
        <v>8701495</v>
      </c>
      <c r="G118" t="s">
        <v>12477</v>
      </c>
      <c r="H118">
        <v>4</v>
      </c>
    </row>
    <row r="119" spans="1:8" x14ac:dyDescent="0.25">
      <c r="A119">
        <v>16522</v>
      </c>
      <c r="B119" t="s">
        <v>4</v>
      </c>
      <c r="C119" t="str">
        <f>CONCATENATE(F119,"##")</f>
        <v>8701494##</v>
      </c>
      <c r="E119" t="str">
        <f>IFERROR(VLOOKUP(1*LEFT(C119,7),DF!$A$1:$F$9447,2,FALSE),"")</f>
        <v>CINTURON TACTICO URBANO GRANDE  5494/3</v>
      </c>
      <c r="F119">
        <v>8701494</v>
      </c>
      <c r="G119" t="s">
        <v>12478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8614015##</v>
      </c>
      <c r="E120" t="str">
        <f>IFERROR(VLOOKUP(1*LEFT(C120,7),DF!$A$1:$F$9447,2,FALSE),"")</f>
        <v>COLCHON INFLABLE AVENLI 1 PLAZA 20411</v>
      </c>
      <c r="F120">
        <v>8614015</v>
      </c>
      <c r="G120" t="s">
        <v>12479</v>
      </c>
      <c r="H120">
        <v>5</v>
      </c>
    </row>
    <row r="121" spans="1:8" x14ac:dyDescent="0.25">
      <c r="A121">
        <v>16522</v>
      </c>
      <c r="B121" t="s">
        <v>4</v>
      </c>
      <c r="C121" t="str">
        <f>CONCATENATE(F121,"##")</f>
        <v>8614016##</v>
      </c>
      <c r="E121" t="str">
        <f>IFERROR(VLOOKUP(1*LEFT(C121,7),DF!$A$1:$F$9447,2,FALSE),"")</f>
        <v>COLCHON INFLABLE AVENLI 2 PLAZA 20256</v>
      </c>
      <c r="F121">
        <v>8614016</v>
      </c>
      <c r="G121" t="s">
        <v>12480</v>
      </c>
      <c r="H121">
        <v>4</v>
      </c>
    </row>
    <row r="122" spans="1:8" x14ac:dyDescent="0.25">
      <c r="A122" s="2">
        <v>16522</v>
      </c>
      <c r="B122" s="2" t="s">
        <v>4</v>
      </c>
      <c r="C122" s="2" t="s">
        <v>12822</v>
      </c>
      <c r="D122" s="2"/>
      <c r="E122" s="2" t="str">
        <f>IFERROR(VLOOKUP(1*LEFT(C122,7),DF!$A$1:$F$9447,2,FALSE),"")</f>
        <v>CONJ DEPORTIVO AGENTES INFOPE RER</v>
      </c>
      <c r="F122">
        <v>3101102</v>
      </c>
      <c r="G122" t="s">
        <v>12815</v>
      </c>
      <c r="H122">
        <v>3</v>
      </c>
    </row>
    <row r="123" spans="1:8" x14ac:dyDescent="0.25">
      <c r="A123" s="2">
        <v>16522</v>
      </c>
      <c r="B123" s="2" t="s">
        <v>4</v>
      </c>
      <c r="C123" s="2" t="s">
        <v>12823</v>
      </c>
      <c r="D123" s="2"/>
      <c r="E123" s="2" t="str">
        <f>IFERROR(VLOOKUP(1*LEFT(C123,7),DF!$A$1:$F$9447,2,FALSE),"")</f>
        <v>CONJ DEPORTIVO AUXILIAR IUSP RER</v>
      </c>
      <c r="F123">
        <v>3101370</v>
      </c>
      <c r="G123" t="s">
        <v>12816</v>
      </c>
      <c r="H123">
        <v>3</v>
      </c>
    </row>
    <row r="124" spans="1:8" x14ac:dyDescent="0.25">
      <c r="A124" s="2">
        <v>16522</v>
      </c>
      <c r="B124" s="2" t="s">
        <v>4</v>
      </c>
      <c r="C124" s="2" t="str">
        <f>CONCATENATE(F124,"##")</f>
        <v>3101102##</v>
      </c>
      <c r="D124" s="2"/>
      <c r="E124" s="2" t="str">
        <f>IFERROR(VLOOKUP(1*LEFT(C124,7),DF!$A$1:$F$9447,2,FALSE),"")</f>
        <v>CONJ DEPORTIVO TECNICO INFOPE RER</v>
      </c>
      <c r="F124">
        <v>3101102</v>
      </c>
      <c r="G124" t="s">
        <v>12815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3101370##</v>
      </c>
      <c r="D125" s="2"/>
      <c r="E125" s="2" t="str">
        <f>IFERROR(VLOOKUP(1*LEFT(C125,7),DF!$A$1:$F$9447,2,FALSE),"")</f>
        <v>CONJ DEPORTIVO TECNICO IUSP RER</v>
      </c>
      <c r="F125">
        <v>3101370</v>
      </c>
      <c r="G125" t="s">
        <v>12816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8518753##</v>
      </c>
      <c r="D126" s="2"/>
      <c r="E126" s="2" t="str">
        <f>IFERROR(VLOOKUP(1*LEFT(C126,7),DF!$A$1:$F$9447,2,FALSE),"")</f>
        <v>CONJ MASCARA NEOPRENE Y GAFAS RER</v>
      </c>
      <c r="F126">
        <v>8518753</v>
      </c>
      <c r="G126" t="s">
        <v>13877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3101949##</v>
      </c>
      <c r="D127" s="2"/>
      <c r="E127" s="2" t="str">
        <f>IFERROR(VLOOKUP(1*LEFT(C127,7),DF!$A$1:$F$9447,2,FALSE),"")</f>
        <v>CONJUNTO 1RA PIEL NEG/VER ART 0948532016</v>
      </c>
      <c r="F127">
        <v>3101949</v>
      </c>
      <c r="G127" t="s">
        <v>13099</v>
      </c>
      <c r="H127">
        <v>2</v>
      </c>
    </row>
    <row r="128" spans="1:8" x14ac:dyDescent="0.25">
      <c r="A128" s="2">
        <v>16522</v>
      </c>
      <c r="B128" s="2" t="s">
        <v>4</v>
      </c>
      <c r="C128" s="2" t="str">
        <f>CONCATENATE(F128,"##")</f>
        <v>8515760##</v>
      </c>
      <c r="D128" s="2"/>
      <c r="E128" s="2" t="str">
        <f>IFERROR(VLOOKUP(1*LEFT(C128,7),DF!$A$1:$F$9447,2,FALSE),"")</f>
        <v>CORBATA UNIFORME GRIS JLC</v>
      </c>
      <c r="F128">
        <v>8515760</v>
      </c>
      <c r="G128" t="s">
        <v>13025</v>
      </c>
      <c r="H128">
        <v>1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8515749##</v>
      </c>
      <c r="D129" s="2"/>
      <c r="E129" s="2" t="str">
        <f>IFERROR(VLOOKUP(1*LEFT(C129,7),DF!$A$1:$F$9447,2,FALSE),"")</f>
        <v>CORBATA UNIFORME MARRON JLC</v>
      </c>
      <c r="F129">
        <v>8515749</v>
      </c>
      <c r="G129" t="s">
        <v>13024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8515740##</v>
      </c>
      <c r="D130" s="2"/>
      <c r="E130" s="2" t="str">
        <f>IFERROR(VLOOKUP(1*LEFT(C130,7),DF!$A$1:$F$9447,2,FALSE),"")</f>
        <v>CORBATA UNIFORME VERDE JLC</v>
      </c>
      <c r="F130">
        <v>8515740</v>
      </c>
      <c r="G130" t="s">
        <v>13023</v>
      </c>
      <c r="H130">
        <v>1</v>
      </c>
    </row>
    <row r="131" spans="1:8" x14ac:dyDescent="0.25">
      <c r="A131">
        <v>16522</v>
      </c>
      <c r="B131" t="s">
        <v>4</v>
      </c>
      <c r="C131" t="str">
        <f>CONCATENATE(F131,"##")</f>
        <v>8508132##</v>
      </c>
      <c r="E131" t="str">
        <f>IFERROR(VLOOKUP(1*LEFT(C131,7),DF!$A$1:$F$9447,2,FALSE),"")</f>
        <v>CREMA PARA BORCEGUIES RER</v>
      </c>
      <c r="F131">
        <v>8508132</v>
      </c>
      <c r="G131" t="s">
        <v>12481</v>
      </c>
      <c r="H131">
        <v>2</v>
      </c>
    </row>
    <row r="132" spans="1:8" x14ac:dyDescent="0.25">
      <c r="A132">
        <v>16522</v>
      </c>
      <c r="B132" t="s">
        <v>4</v>
      </c>
      <c r="C132" t="str">
        <f>CONCATENATE(F132,"##")</f>
        <v>8521024##</v>
      </c>
      <c r="E132" t="str">
        <f>IFERROR(VLOOKUP(1*LEFT(C132,7),DF!$A$1:$F$9447,2,FALSE),"")</f>
        <v>CUCHILLO 2175 27CM</v>
      </c>
      <c r="F132">
        <v>8521024</v>
      </c>
      <c r="G132" t="s">
        <v>12482</v>
      </c>
      <c r="H132">
        <v>4</v>
      </c>
    </row>
    <row r="133" spans="1:8" x14ac:dyDescent="0.25">
      <c r="A133" s="2">
        <v>16522</v>
      </c>
      <c r="B133" s="2" t="s">
        <v>4</v>
      </c>
      <c r="C133" s="2" t="str">
        <f>CONCATENATE(F133,"##")</f>
        <v>8521040##</v>
      </c>
      <c r="D133" s="2"/>
      <c r="E133" s="2" t="str">
        <f>IFERROR(VLOOKUP(1*LEFT(C133,7),DF!$A$1:$F$9447,2,FALSE),"")</f>
        <v>CUCHILLO DA1 FUNDA NEGRA</v>
      </c>
      <c r="F133">
        <v>8521040</v>
      </c>
      <c r="G133" t="s">
        <v>12898</v>
      </c>
      <c r="H133">
        <v>6</v>
      </c>
    </row>
    <row r="134" spans="1:8" x14ac:dyDescent="0.25">
      <c r="A134">
        <v>16522</v>
      </c>
      <c r="B134" t="s">
        <v>4</v>
      </c>
      <c r="C134" t="str">
        <f>CONCATENATE(F134,"##")</f>
        <v>8521102##</v>
      </c>
      <c r="E134" t="str">
        <f>IFERROR(VLOOKUP(1*LEFT(C134,7),DF!$A$1:$F$9447,2,FALSE),"")</f>
        <v>CUCHILLO NEGRO C/FUNDA Y AFILADOR 0812-14 IMP</v>
      </c>
      <c r="F134">
        <v>8521102</v>
      </c>
      <c r="G134" t="s">
        <v>12483</v>
      </c>
      <c r="H134">
        <v>10</v>
      </c>
    </row>
    <row r="135" spans="1:8" x14ac:dyDescent="0.25">
      <c r="A135" s="2">
        <v>16522</v>
      </c>
      <c r="B135" s="2" t="s">
        <v>4</v>
      </c>
      <c r="C135" s="2" t="str">
        <f>CONCATENATE(F135,"##")</f>
        <v>7709204##</v>
      </c>
      <c r="D135" s="2"/>
      <c r="E135" s="2" t="str">
        <f>IFERROR(VLOOKUP(1*LEFT(C135,7),DF!$A$1:$F$9447,2,FALSE),"")</f>
        <v>ESC BORD CATACPOL</v>
      </c>
      <c r="F135">
        <v>7709204</v>
      </c>
      <c r="G135" t="s">
        <v>12484</v>
      </c>
      <c r="H135">
        <v>1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7709203##</v>
      </c>
      <c r="D136" s="2"/>
      <c r="E136" s="2" t="str">
        <f>IFERROR(VLOOKUP(1*LEFT(C136,7),DF!$A$1:$F$9447,2,FALSE),"")</f>
        <v>ESC BORD CATACPOL   BAJA VISIV</v>
      </c>
      <c r="F136">
        <v>7709203</v>
      </c>
      <c r="G136" t="s">
        <v>12485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7709440##</v>
      </c>
      <c r="D137" s="2"/>
      <c r="E137" s="2" t="str">
        <f>IFERROR(VLOOKUP(1*LEFT(C137,7),DF!$A$1:$F$9447,2,FALSE),"")</f>
        <v>ESC BORD CATAM. POL OFICIAL 36</v>
      </c>
      <c r="F137">
        <v>7709440</v>
      </c>
      <c r="G137" t="s">
        <v>13069</v>
      </c>
      <c r="H137">
        <v>1</v>
      </c>
    </row>
    <row r="138" spans="1:8" x14ac:dyDescent="0.25">
      <c r="A138">
        <v>16522</v>
      </c>
      <c r="B138" t="s">
        <v>4</v>
      </c>
      <c r="C138" t="str">
        <f>CONCATENATE(F138,"##")</f>
        <v>7709459##</v>
      </c>
      <c r="E138" t="str">
        <f>IFERROR(VLOOKUP(1*LEFT(C138,7),DF!$A$1:$F$9447,2,FALSE),"")</f>
        <v>ESC BORD G.N.  (BRAZO)</v>
      </c>
      <c r="F138" s="7">
        <v>7709459</v>
      </c>
      <c r="G138" t="s">
        <v>12486</v>
      </c>
      <c r="H138">
        <v>1</v>
      </c>
    </row>
    <row r="139" spans="1:8" x14ac:dyDescent="0.25">
      <c r="A139" s="2">
        <v>16522</v>
      </c>
      <c r="B139" s="2" t="s">
        <v>4</v>
      </c>
      <c r="C139" s="2" t="str">
        <f>CONCATENATE(F139,"##")</f>
        <v>7709439##</v>
      </c>
      <c r="D139" s="2"/>
      <c r="E139" s="2" t="str">
        <f>IFERROR(VLOOKUP(1*LEFT(C139,7),DF!$A$1:$F$9447,2,FALSE),"")</f>
        <v>ESC BORD JUJUY POLICIA BB TVS434-2</v>
      </c>
      <c r="F139">
        <v>7709439</v>
      </c>
      <c r="G139" t="s">
        <v>13060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7709833##</v>
      </c>
      <c r="D140" s="2"/>
      <c r="E140" s="2" t="str">
        <f>IFERROR(VLOOKUP(1*LEFT(C140,7),DF!$A$1:$F$9447,2,FALSE),"")</f>
        <v>ESC BORD LA RIOJA POLICIA   TVS 515</v>
      </c>
      <c r="F140">
        <v>7709833</v>
      </c>
      <c r="G140" t="s">
        <v>13096</v>
      </c>
      <c r="H140">
        <v>1</v>
      </c>
    </row>
    <row r="141" spans="1:8" x14ac:dyDescent="0.25">
      <c r="A141">
        <v>16522</v>
      </c>
      <c r="B141" t="s">
        <v>4</v>
      </c>
      <c r="C141" t="str">
        <f>CONCATENATE(F141,"##")</f>
        <v>7709654##</v>
      </c>
      <c r="E141" t="str">
        <f>IFERROR(VLOOKUP(1*LEFT(C141,7),DF!$A$1:$F$9447,2,FALSE),"")</f>
        <v>ESC BORD MZA B CIVICO    BARG</v>
      </c>
      <c r="F141" s="7">
        <v>7709654</v>
      </c>
      <c r="G141" t="s">
        <v>12487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7709855##</v>
      </c>
      <c r="E142" t="str">
        <f>IFERROR(VLOOKUP(1*LEFT(C142,7),DF!$A$1:$F$9447,2,FALSE),"")</f>
        <v>ESC BORD MZA BANDA DE MUSICA GUSTAVO BAR</v>
      </c>
      <c r="F142" s="7">
        <v>7709855</v>
      </c>
      <c r="G142" t="s">
        <v>12488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7709365##</v>
      </c>
      <c r="E143" s="2" t="str">
        <f>IFERROR(VLOOKUP(1*LEFT(C143,7),DF!$A$1:$F$9447,2,FALSE),"")</f>
        <v>ESC BORD MZA BOINA  INFANTERIA     BARG</v>
      </c>
      <c r="F143" s="7">
        <v>7709365</v>
      </c>
      <c r="G143" t="s">
        <v>12489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7709101##</v>
      </c>
      <c r="E144" s="2" t="str">
        <f>IFERROR(VLOOKUP(1*LEFT(C144,7),DF!$A$1:$F$9447,2,FALSE),"")</f>
        <v>ESC BORD MZA BOINA CABALLERIA     BARG</v>
      </c>
      <c r="F144" s="7">
        <v>7709101</v>
      </c>
      <c r="G144" t="s">
        <v>12490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7709364##</v>
      </c>
      <c r="E145" s="2" t="str">
        <f>IFERROR(VLOOKUP(1*LEFT(C145,7),DF!$A$1:$F$9447,2,FALSE),"")</f>
        <v>ESC BORD MZA BOINA CANES</v>
      </c>
      <c r="F145" s="7">
        <v>7709364</v>
      </c>
      <c r="G145" t="s">
        <v>12491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7709021##</v>
      </c>
      <c r="E146" s="2" t="str">
        <f>IFERROR(VLOOKUP(1*LEFT(C146,7),DF!$A$1:$F$9447,2,FALSE),"")</f>
        <v>ESC BORD MZA BOINA GEOP</v>
      </c>
      <c r="F146" s="7">
        <v>7709021</v>
      </c>
      <c r="G146" t="s">
        <v>12492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7709401##</v>
      </c>
      <c r="E147" s="2" t="str">
        <f>IFERROR(VLOOKUP(1*LEFT(C147,7),DF!$A$1:$F$9447,2,FALSE),"")</f>
        <v>ESC BORD MZA BOINA GES       BARG</v>
      </c>
      <c r="F147" s="7">
        <v>7709401</v>
      </c>
      <c r="G147" t="s">
        <v>12493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7709233##</v>
      </c>
      <c r="E148" s="2" t="str">
        <f>IFERROR(VLOOKUP(1*LEFT(C148,7),DF!$A$1:$F$9447,2,FALSE),"")</f>
        <v>ESC BORD MZA BOINA LICEO LMGE BARG</v>
      </c>
      <c r="F148" s="7">
        <v>7709233</v>
      </c>
      <c r="G148" t="s">
        <v>12494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7709016##</v>
      </c>
      <c r="E149" s="2" t="str">
        <f>IFERROR(VLOOKUP(1*LEFT(C149,7),DF!$A$1:$F$9447,2,FALSE),"")</f>
        <v>ESC BORD MZA BOINA MOTORIZADA   BARG</v>
      </c>
      <c r="F149" s="7">
        <v>7709016</v>
      </c>
      <c r="G149" t="s">
        <v>12495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7709572##</v>
      </c>
      <c r="E150" t="str">
        <f>IFERROR(VLOOKUP(1*LEFT(C150,7),DF!$A$1:$F$9447,2,FALSE),"")</f>
        <v>ESC BORD MZA BOMBEROS          BARG</v>
      </c>
      <c r="F150" s="7">
        <v>7709572</v>
      </c>
      <c r="G150" t="s">
        <v>12496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7709103##</v>
      </c>
      <c r="E151" t="str">
        <f>IFERROR(VLOOKUP(1*LEFT(C151,7),DF!$A$1:$F$9447,2,FALSE),"")</f>
        <v>ESC BORD MZA BRAZO GES</v>
      </c>
      <c r="F151" s="7">
        <v>7709103</v>
      </c>
      <c r="G151" t="s">
        <v>12497</v>
      </c>
      <c r="H151">
        <v>1</v>
      </c>
    </row>
    <row r="152" spans="1:8" x14ac:dyDescent="0.25">
      <c r="A152" s="2">
        <v>16522</v>
      </c>
      <c r="B152" s="2" t="s">
        <v>4</v>
      </c>
      <c r="C152" s="2" t="str">
        <f>CONCATENATE(F152,"##")</f>
        <v>7709103##</v>
      </c>
      <c r="D152" s="2"/>
      <c r="E152" s="2" t="str">
        <f>IFERROR(VLOOKUP(1*LEFT(C152,7),DF!$A$1:$F$9447,2,FALSE),"")</f>
        <v>ESC BORD MZA BRAZO GES</v>
      </c>
      <c r="F152">
        <v>7709103</v>
      </c>
      <c r="G152" t="s">
        <v>12497</v>
      </c>
      <c r="H152">
        <v>1</v>
      </c>
    </row>
    <row r="153" spans="1:8" x14ac:dyDescent="0.25">
      <c r="A153">
        <v>16522</v>
      </c>
      <c r="B153" t="s">
        <v>4</v>
      </c>
      <c r="C153" t="str">
        <f>CONCATENATE(F153,"##")</f>
        <v>7709753##</v>
      </c>
      <c r="E153" t="str">
        <f>IFERROR(VLOOKUP(1*LEFT(C153,7),DF!$A$1:$F$9447,2,FALSE),"")</f>
        <v>ESC BORD MZA CABALLERIA TV 424-14</v>
      </c>
      <c r="F153" s="7">
        <v>7709753</v>
      </c>
      <c r="G153" t="s">
        <v>12498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7709854##</v>
      </c>
      <c r="E154" t="str">
        <f>IFERROR(VLOOKUP(1*LEFT(C154,7),DF!$A$1:$F$9447,2,FALSE),"")</f>
        <v>ESC BORD MZA CANES BRAZO</v>
      </c>
      <c r="F154" s="7">
        <v>7709854</v>
      </c>
      <c r="G154" t="s">
        <v>12499</v>
      </c>
      <c r="H154">
        <v>1</v>
      </c>
    </row>
    <row r="155" spans="1:8" x14ac:dyDescent="0.25">
      <c r="A155" s="2">
        <v>16522</v>
      </c>
      <c r="B155" s="2" t="s">
        <v>4</v>
      </c>
      <c r="C155" s="2" t="str">
        <f>CONCATENATE(F155,"##")</f>
        <v>7709017##</v>
      </c>
      <c r="D155" s="2"/>
      <c r="E155" s="2" t="str">
        <f>IFERROR(VLOOKUP(1*LEFT(C155,7),DF!$A$1:$F$9447,2,FALSE),"")</f>
        <v>ESC BORD MZA DEFENSA CIVIL</v>
      </c>
      <c r="F155">
        <v>7709017</v>
      </c>
      <c r="G155" t="s">
        <v>13100</v>
      </c>
      <c r="H155">
        <v>1</v>
      </c>
    </row>
    <row r="156" spans="1:8" x14ac:dyDescent="0.25">
      <c r="A156">
        <v>16522</v>
      </c>
      <c r="B156" t="s">
        <v>4</v>
      </c>
      <c r="C156" t="str">
        <f>CONCATENATE(F156,"##")</f>
        <v>7709625##</v>
      </c>
      <c r="E156" t="str">
        <f>IFERROR(VLOOKUP(1*LEFT(C156,7),DF!$A$1:$F$9447,2,FALSE),"")</f>
        <v>ESC BORD MZA INFANTERIA BAJA V. TV</v>
      </c>
      <c r="F156" s="7">
        <v>7709625</v>
      </c>
      <c r="G156" t="s">
        <v>12500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>CONCATENATE(F157,"##")</f>
        <v>7709158##</v>
      </c>
      <c r="D157" s="2"/>
      <c r="E157" s="2" t="str">
        <f>IFERROR(VLOOKUP(1*LEFT(C157,7),DF!$A$1:$F$9447,2,FALSE),"")</f>
        <v>ESC BORD MZA INFANTERIA BELGRANO</v>
      </c>
      <c r="F157">
        <v>7709158</v>
      </c>
      <c r="G157" t="s">
        <v>12501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7709238##</v>
      </c>
      <c r="D158" s="2"/>
      <c r="E158" s="2" t="str">
        <f>IFERROR(VLOOKUP(1*LEFT(C158,7),DF!$A$1:$F$9447,2,FALSE),"")</f>
        <v>ESC BORD MZA IUSP B.VISIB. CUERPO INSTR.</v>
      </c>
      <c r="F158">
        <v>7709238</v>
      </c>
      <c r="G158" t="s">
        <v>13991</v>
      </c>
      <c r="H158">
        <v>1</v>
      </c>
    </row>
    <row r="159" spans="1:8" x14ac:dyDescent="0.25">
      <c r="A159">
        <v>16522</v>
      </c>
      <c r="B159" t="s">
        <v>4</v>
      </c>
      <c r="C159" t="str">
        <f>CONCATENATE(F159,"##")</f>
        <v>7709139##</v>
      </c>
      <c r="E159" t="str">
        <f>IFERROR(VLOOKUP(1*LEFT(C159,7),DF!$A$1:$F$9447,2,FALSE),"")</f>
        <v>ESC BORD MZA IUSP BEIGE CUERPO INSTR.</v>
      </c>
      <c r="F159" s="7">
        <v>7709139</v>
      </c>
      <c r="G159" t="s">
        <v>12502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7709138##</v>
      </c>
      <c r="E160" t="str">
        <f>IFERROR(VLOOKUP(1*LEFT(C160,7),DF!$A$1:$F$9447,2,FALSE),"")</f>
        <v>ESC BORD MZA IUSP DE BRAZO TVS413-2 16.5</v>
      </c>
      <c r="F160" s="7">
        <v>7709138</v>
      </c>
      <c r="G160" t="s">
        <v>12503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>CONCATENATE(F161,"##")</f>
        <v>7709137##</v>
      </c>
      <c r="D161" s="2"/>
      <c r="E161" s="2" t="str">
        <f>IFERROR(VLOOKUP(1*LEFT(C161,7),DF!$A$1:$F$9447,2,FALSE),"")</f>
        <v>ESC BORD MZA IUSP PENITENCIARIO</v>
      </c>
      <c r="F161">
        <v>7709137</v>
      </c>
      <c r="G161" t="s">
        <v>13029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7709043##</v>
      </c>
      <c r="D162" s="2"/>
      <c r="E162" s="2" t="str">
        <f>IFERROR(VLOOKUP(1*LEFT(C162,7),DF!$A$1:$F$9447,2,FALSE),"")</f>
        <v>ESC BORD MZA JEFATURA DEPART.CORRED BARG</v>
      </c>
      <c r="F162">
        <v>7709043</v>
      </c>
      <c r="G162" t="s">
        <v>13027</v>
      </c>
      <c r="H162">
        <v>1</v>
      </c>
    </row>
    <row r="163" spans="1:8" x14ac:dyDescent="0.25">
      <c r="A163">
        <v>16522</v>
      </c>
      <c r="B163" t="s">
        <v>4</v>
      </c>
      <c r="C163" t="str">
        <f>CONCATENATE(F163,"##")</f>
        <v>7709041##</v>
      </c>
      <c r="E163" t="str">
        <f>IFERROR(VLOOKUP(1*LEFT(C163,7),DF!$A$1:$F$9447,2,FALSE),"")</f>
        <v>ESC BORD MZA JEFATURA DEPARTAMENT</v>
      </c>
      <c r="F163" s="7">
        <v>7709041</v>
      </c>
      <c r="G163" t="s">
        <v>12504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7709754##</v>
      </c>
      <c r="E164" t="str">
        <f>IFERROR(VLOOKUP(1*LEFT(C164,7),DF!$A$1:$F$9447,2,FALSE),"")</f>
        <v>ESC BORD MZA MOTORIZADA B VISIB.  BARG</v>
      </c>
      <c r="F164" s="7">
        <v>7709754</v>
      </c>
      <c r="G164" t="s">
        <v>12505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>CONCATENATE(F165,"##")</f>
        <v>7709246##</v>
      </c>
      <c r="D165" s="2"/>
      <c r="E165" s="2" t="str">
        <f>IFERROR(VLOOKUP(1*LEFT(C165,7),DF!$A$1:$F$9447,2,FALSE),"")</f>
        <v>ESC BORD MZA OF JEFES Y SUP BEIGE</v>
      </c>
      <c r="F165">
        <v>7709246</v>
      </c>
      <c r="G165" t="s">
        <v>13026</v>
      </c>
      <c r="H165">
        <v>1</v>
      </c>
    </row>
    <row r="166" spans="1:8" x14ac:dyDescent="0.25">
      <c r="A166">
        <v>16522</v>
      </c>
      <c r="B166" t="s">
        <v>4</v>
      </c>
      <c r="C166" t="str">
        <f>CONCATENATE(F166,"##")</f>
        <v>7709245##</v>
      </c>
      <c r="E166" t="str">
        <f>IFERROR(VLOOKUP(1*LEFT(C166,7),DF!$A$1:$F$9447,2,FALSE),"")</f>
        <v>ESC BORD MZA OF. JEFES  Y SUP</v>
      </c>
      <c r="F166" s="7">
        <v>7709245</v>
      </c>
      <c r="G166" t="s">
        <v>12506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7709867##</v>
      </c>
      <c r="E167" t="str">
        <f>IFERROR(VLOOKUP(1*LEFT(C167,7),DF!$A$1:$F$9447,2,FALSE),"")</f>
        <v>ESC BORD MZA PENIT ALMAF. BD</v>
      </c>
      <c r="F167" s="7">
        <v>7709867</v>
      </c>
      <c r="G167" t="s">
        <v>12507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7709393##</v>
      </c>
      <c r="E168" s="2" t="str">
        <f>IFERROR(VLOOKUP(1*LEFT(C168,7),DF!$A$1:$F$9447,2,FALSE),"")</f>
        <v>ESC BORD MZA PENIT BOINA SERP BAJA VIS</v>
      </c>
      <c r="F168">
        <v>7709393</v>
      </c>
      <c r="G168" t="s">
        <v>12508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7709394##</v>
      </c>
      <c r="E169" s="2" t="str">
        <f>IFERROR(VLOOKUP(1*LEFT(C169,7),DF!$A$1:$F$9447,2,FALSE),"")</f>
        <v>ESC BORD MZA PENIT BOINA SERP BARG</v>
      </c>
      <c r="F169" s="7">
        <v>7709394</v>
      </c>
      <c r="G169" t="s">
        <v>12509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7709396##</v>
      </c>
      <c r="E170" t="str">
        <f>IFERROR(VLOOKUP(1*LEFT(C170,7),DF!$A$1:$F$9447,2,FALSE),"")</f>
        <v>ESC BORD MZA PENIT DIVISION TRASLADO</v>
      </c>
      <c r="F170" s="7">
        <v>7709396</v>
      </c>
      <c r="G170" t="s">
        <v>12510</v>
      </c>
      <c r="H170">
        <v>2</v>
      </c>
    </row>
    <row r="171" spans="1:8" x14ac:dyDescent="0.25">
      <c r="A171">
        <v>16522</v>
      </c>
      <c r="B171" t="s">
        <v>4</v>
      </c>
      <c r="C171" t="str">
        <f>CONCATENATE(F171,"##")</f>
        <v>7709600##</v>
      </c>
      <c r="E171" t="str">
        <f>IFERROR(VLOOKUP(1*LEFT(C171,7),DF!$A$1:$F$9447,2,FALSE),"")</f>
        <v>ESC BORD MZA PENIT INFOPE         BARG</v>
      </c>
      <c r="F171" s="7">
        <v>7709600</v>
      </c>
      <c r="G171" t="s">
        <v>12511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>CONCATENATE(F172,"##")</f>
        <v>7709422##</v>
      </c>
      <c r="D172" s="2"/>
      <c r="E172" s="2" t="str">
        <f>IFERROR(VLOOKUP(1*LEFT(C172,7),DF!$A$1:$F$9447,2,FALSE),"")</f>
        <v>ESC BORD MZA PENIT SEG EXT FONDO GRIS</v>
      </c>
      <c r="F172">
        <v>7709422</v>
      </c>
      <c r="G172" t="s">
        <v>13992</v>
      </c>
      <c r="H172">
        <v>1</v>
      </c>
    </row>
    <row r="173" spans="1:8" x14ac:dyDescent="0.25">
      <c r="A173">
        <v>16522</v>
      </c>
      <c r="B173" t="s">
        <v>4</v>
      </c>
      <c r="C173" t="str">
        <f>CONCATENATE(F173,"##")</f>
        <v>7709421##</v>
      </c>
      <c r="E173" t="str">
        <f>IFERROR(VLOOKUP(1*LEFT(C173,7),DF!$A$1:$F$9447,2,FALSE),"")</f>
        <v>ESC BORD MZA PENIT SEG EXT FONDO NEGRO</v>
      </c>
      <c r="F173" s="7">
        <v>7709421</v>
      </c>
      <c r="G173" t="s">
        <v>12512</v>
      </c>
      <c r="H173">
        <v>2</v>
      </c>
    </row>
    <row r="174" spans="1:8" x14ac:dyDescent="0.25">
      <c r="A174" s="2">
        <v>16522</v>
      </c>
      <c r="B174" s="2" t="s">
        <v>4</v>
      </c>
      <c r="C174" s="2" t="str">
        <f>CONCATENATE(F174,"##")</f>
        <v>7709458##</v>
      </c>
      <c r="D174" s="2"/>
      <c r="E174" s="2" t="str">
        <f>IFERROR(VLOOKUP(1*LEFT(C174,7),DF!$A$1:$F$9447,2,FALSE),"")</f>
        <v>ESC BORD MZA PENIT SERP BORDO     BARG</v>
      </c>
      <c r="F174">
        <v>7709458</v>
      </c>
      <c r="G174" t="s">
        <v>13993</v>
      </c>
      <c r="H174">
        <v>1</v>
      </c>
    </row>
    <row r="175" spans="1:8" x14ac:dyDescent="0.25">
      <c r="A175">
        <v>16522</v>
      </c>
      <c r="B175" t="s">
        <v>4</v>
      </c>
      <c r="C175" t="str">
        <f>CONCATENATE(F175,"##")</f>
        <v>7709456##</v>
      </c>
      <c r="E175" t="str">
        <f>IFERROR(VLOOKUP(1*LEFT(C175,7),DF!$A$1:$F$9447,2,FALSE),"")</f>
        <v>ESC BORD MZA PENIT SERP BV   BARG</v>
      </c>
      <c r="F175" s="7">
        <v>7709456</v>
      </c>
      <c r="G175" t="s">
        <v>12513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7709712##</v>
      </c>
      <c r="E176" t="str">
        <f>IFERROR(VLOOKUP(1*LEFT(C176,7),DF!$A$1:$F$9447,2,FALSE),"")</f>
        <v>ESC BORD MZA PENIT. CONDOR  BARG</v>
      </c>
      <c r="F176" s="7">
        <v>7709712</v>
      </c>
      <c r="G176" t="s">
        <v>12514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7709360##</v>
      </c>
      <c r="E177" t="str">
        <f>IFERROR(VLOOKUP(1*LEFT(C177,7),DF!$A$1:$F$9447,2,FALSE),"")</f>
        <v>ESC BORD MZA PENIT. GEOP</v>
      </c>
      <c r="F177" s="7">
        <v>7709360</v>
      </c>
      <c r="G177" t="s">
        <v>12515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>CONCATENATE(F178,"##")</f>
        <v>7709419##</v>
      </c>
      <c r="D178" s="2"/>
      <c r="E178" s="2" t="str">
        <f>IFERROR(VLOOKUP(1*LEFT(C178,7),DF!$A$1:$F$9447,2,FALSE),"")</f>
        <v>ESC BORD MZA PENIT.OFICIAL SUPER</v>
      </c>
      <c r="F178">
        <v>7709419</v>
      </c>
      <c r="G178" t="s">
        <v>13994</v>
      </c>
      <c r="H178">
        <v>1</v>
      </c>
    </row>
    <row r="179" spans="1:8" x14ac:dyDescent="0.25">
      <c r="A179">
        <v>16522</v>
      </c>
      <c r="B179" t="s">
        <v>4</v>
      </c>
      <c r="C179" t="str">
        <f>CONCATENATE(F179,"##")</f>
        <v>7709547##</v>
      </c>
      <c r="E179" t="str">
        <f>IFERROR(VLOOKUP(1*LEFT(C179,7),DF!$A$1:$F$9447,2,FALSE),"")</f>
        <v>ESC BORD MZA POL BAJA VISIBILID</v>
      </c>
      <c r="F179" s="7">
        <v>7709547</v>
      </c>
      <c r="G179" t="s">
        <v>12516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7709756##</v>
      </c>
      <c r="E180" t="str">
        <f>IFERROR(VLOOKUP(1*LEFT(C180,7),DF!$A$1:$F$9447,2,FALSE),"")</f>
        <v>ESC BORD MZA POL MOTORIZADA AZ/DOR BARG</v>
      </c>
      <c r="F180" s="7">
        <v>7709756</v>
      </c>
      <c r="G180" t="s">
        <v>12517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7709333##</v>
      </c>
      <c r="E181" t="str">
        <f>IFERROR(VLOOKUP(1*LEFT(C181,7),DF!$A$1:$F$9447,2,FALSE),"")</f>
        <v>ESC BORD MZA POL VIEJO MODELO   BARG</v>
      </c>
      <c r="F181" s="7">
        <v>7709333</v>
      </c>
      <c r="G181" t="s">
        <v>12518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7709665##</v>
      </c>
      <c r="E182" t="str">
        <f>IFERROR(VLOOKUP(1*LEFT(C182,7),DF!$A$1:$F$9447,2,FALSE),"")</f>
        <v>ESC BORD MZA POL. NUEVO MODELO BARG</v>
      </c>
      <c r="F182" s="7">
        <v>7709665</v>
      </c>
      <c r="G182" t="s">
        <v>12519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>CONCATENATE(F183,"##")</f>
        <v>7709858##</v>
      </c>
      <c r="D183" s="2"/>
      <c r="E183" s="2" t="str">
        <f>IFERROR(VLOOKUP(1*LEFT(C183,7),DF!$A$1:$F$9447,2,FALSE),"")</f>
        <v>ESC BORD MZA POLI IUSP GUARDIA</v>
      </c>
      <c r="F183">
        <v>7709858</v>
      </c>
      <c r="G183" t="s">
        <v>13997</v>
      </c>
      <c r="H183">
        <v>1</v>
      </c>
    </row>
    <row r="184" spans="1:8" x14ac:dyDescent="0.25">
      <c r="A184">
        <v>16522</v>
      </c>
      <c r="B184" t="s">
        <v>4</v>
      </c>
      <c r="C184" t="str">
        <f>CONCATENATE(F184,"##")</f>
        <v>7709650##</v>
      </c>
      <c r="E184" t="str">
        <f>IFERROR(VLOOKUP(1*LEFT(C184,7),DF!$A$1:$F$9447,2,FALSE),"")</f>
        <v>ESC BORD MZA POLICIA CIENTIFICA</v>
      </c>
      <c r="F184" s="7">
        <v>7709650</v>
      </c>
      <c r="G184" t="s">
        <v>12520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7709680##</v>
      </c>
      <c r="E185" t="str">
        <f>IFERROR(VLOOKUP(1*LEFT(C185,7),DF!$A$1:$F$9447,2,FALSE),"")</f>
        <v>ESC BORD MZA RURAL  MANGA TVS</v>
      </c>
      <c r="F185" s="7">
        <v>7709680</v>
      </c>
      <c r="G185" t="s">
        <v>12521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7709943##</v>
      </c>
      <c r="E186" t="str">
        <f>IFERROR(VLOOKUP(1*LEFT(C186,7),DF!$A$1:$F$9447,2,FALSE),"")</f>
        <v>ESC BORD MZA SANIDAD POLICIAL</v>
      </c>
      <c r="F186" s="7">
        <v>7709943</v>
      </c>
      <c r="G186" t="s">
        <v>13995</v>
      </c>
      <c r="H186">
        <v>2</v>
      </c>
    </row>
    <row r="187" spans="1:8" x14ac:dyDescent="0.25">
      <c r="A187">
        <v>16522</v>
      </c>
      <c r="B187" t="s">
        <v>4</v>
      </c>
      <c r="C187" t="str">
        <f>CONCATENATE(F187,"##")</f>
        <v>7709786##</v>
      </c>
      <c r="E187" t="str">
        <f>IFERROR(VLOOKUP(1*LEFT(C187,7),DF!$A$1:$F$9447,2,FALSE),"")</f>
        <v>ESC BORD MZA TRANVIA</v>
      </c>
      <c r="F187" s="7">
        <v>7709786</v>
      </c>
      <c r="G187" t="s">
        <v>12522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7709330##</v>
      </c>
      <c r="E188" s="2" t="str">
        <f>IFERROR(VLOOKUP(1*LEFT(C188,7),DF!$A$1:$F$9447,2,FALSE),"")</f>
        <v>ESC BORD MZA U.A.R BOINA UNIDAD ACCION P</v>
      </c>
      <c r="F188" s="7">
        <v>7709330</v>
      </c>
      <c r="G188" t="s">
        <v>12523</v>
      </c>
      <c r="H188">
        <v>1</v>
      </c>
    </row>
    <row r="189" spans="1:8" x14ac:dyDescent="0.25">
      <c r="A189">
        <v>16522</v>
      </c>
      <c r="B189" t="s">
        <v>4</v>
      </c>
      <c r="C189" t="str">
        <f>CONCATENATE(F189,"##")</f>
        <v>7709013##</v>
      </c>
      <c r="E189" s="2" t="str">
        <f>IFERROR(VLOOKUP(1*LEFT(C189,7),DF!$A$1:$F$9447,2,FALSE),"")</f>
        <v>ESC BORD MZA UAP BOINA</v>
      </c>
      <c r="F189">
        <v>7709013</v>
      </c>
      <c r="G189" t="s">
        <v>12524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7709014##</v>
      </c>
      <c r="E190" s="2" t="str">
        <f>IFERROR(VLOOKUP(1*LEFT(C190,7),DF!$A$1:$F$9447,2,FALSE),"")</f>
        <v>ESC BORD MZA UCAR BOINA   UCAR</v>
      </c>
      <c r="F190" s="7">
        <v>7709014</v>
      </c>
      <c r="G190" t="s">
        <v>12525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7709380##</v>
      </c>
      <c r="E191" t="str">
        <f>IFERROR(VLOOKUP(1*LEFT(C191,7),DF!$A$1:$F$9447,2,FALSE),"")</f>
        <v>ESC BORD MZA UCAR MANGA BB TVS424-0</v>
      </c>
      <c r="F191" s="7">
        <v>7709380</v>
      </c>
      <c r="G191" t="s">
        <v>12526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7709661##</v>
      </c>
      <c r="E192" t="str">
        <f>IFERROR(VLOOKUP(1*LEFT(C192,7),DF!$A$1:$F$9447,2,FALSE),"")</f>
        <v>ESC BORD MZA UEP BAJA TUPUNGATO</v>
      </c>
      <c r="F192" s="7">
        <v>7709661</v>
      </c>
      <c r="G192" t="s">
        <v>12527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7709653##</v>
      </c>
      <c r="E193" s="2" t="str">
        <f>IFERROR(VLOOKUP(1*LEFT(C193,7),DF!$A$1:$F$9447,2,FALSE),"")</f>
        <v>ESC BORD MZA UEP BOINA   BARG</v>
      </c>
      <c r="F193" s="7">
        <v>7709653</v>
      </c>
      <c r="G193" t="s">
        <v>12528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7709662##</v>
      </c>
      <c r="E194" t="str">
        <f>IFERROR(VLOOKUP(1*LEFT(C194,7),DF!$A$1:$F$9447,2,FALSE),"")</f>
        <v>ESC BORD MZA UEP CAPITAL</v>
      </c>
      <c r="F194" s="7">
        <v>7709662</v>
      </c>
      <c r="G194" t="s">
        <v>12529</v>
      </c>
      <c r="H194">
        <v>1</v>
      </c>
    </row>
    <row r="195" spans="1:8" x14ac:dyDescent="0.25">
      <c r="A195" s="2">
        <v>16522</v>
      </c>
      <c r="B195" s="2" t="s">
        <v>4</v>
      </c>
      <c r="C195" s="2" t="str">
        <f>CONCATENATE(F195,"##")</f>
        <v>7709671##</v>
      </c>
      <c r="D195" s="2"/>
      <c r="E195" s="2" t="str">
        <f>IFERROR(VLOOKUP(1*LEFT(C195,7),DF!$A$1:$F$9447,2,FALSE),"")</f>
        <v>ESC BORD MZA UEP SAN CARLOS</v>
      </c>
      <c r="F195">
        <v>7709671</v>
      </c>
      <c r="G195" t="s">
        <v>13996</v>
      </c>
      <c r="H195">
        <v>1</v>
      </c>
    </row>
    <row r="196" spans="1:8" x14ac:dyDescent="0.25">
      <c r="A196">
        <v>16522</v>
      </c>
      <c r="B196" t="s">
        <v>4</v>
      </c>
      <c r="C196" t="str">
        <f>CONCATENATE(F196,"##")</f>
        <v>7709015##</v>
      </c>
      <c r="E196" s="2" t="str">
        <f>IFERROR(VLOOKUP(1*LEFT(C196,7),DF!$A$1:$F$9447,2,FALSE),"")</f>
        <v>ESC BORD MZA UMAR BOINA</v>
      </c>
      <c r="F196" s="7">
        <v>7709015</v>
      </c>
      <c r="G196" t="s">
        <v>12530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7709420##</v>
      </c>
      <c r="E197" t="str">
        <f>IFERROR(VLOOKUP(1*LEFT(C197,7),DF!$A$1:$F$9447,2,FALSE),"")</f>
        <v>ESC BORD MZA UMAR MANGA  TVS424-0</v>
      </c>
      <c r="F197" s="7">
        <v>7709420</v>
      </c>
      <c r="G197" t="s">
        <v>12531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7709755##</v>
      </c>
      <c r="E198" t="str">
        <f>IFERROR(VLOOKUP(1*LEFT(C198,7),DF!$A$1:$F$9447,2,FALSE),"")</f>
        <v>ESC BORD MZA UPAT</v>
      </c>
      <c r="F198" s="7">
        <v>7709755</v>
      </c>
      <c r="G198" t="s">
        <v>12532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7709788##</v>
      </c>
      <c r="E199" s="2" t="str">
        <f>IFERROR(VLOOKUP(1*LEFT(C199,7),DF!$A$1:$F$9447,2,FALSE),"")</f>
        <v>ESC BORD MZA UPP BOINA</v>
      </c>
      <c r="F199" s="7">
        <v>7709788</v>
      </c>
      <c r="G199" t="s">
        <v>12533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7709787##</v>
      </c>
      <c r="E200" t="str">
        <f>IFERROR(VLOOKUP(1*LEFT(C200,7),DF!$A$1:$F$9447,2,FALSE),"")</f>
        <v>ESC BORD MZA UPP PARQUE BRAZO   BARG</v>
      </c>
      <c r="F200" s="7">
        <v>7709787</v>
      </c>
      <c r="G200" t="s">
        <v>12534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7709156##</v>
      </c>
      <c r="E201" t="str">
        <f>IFERROR(VLOOKUP(1*LEFT(C201,7),DF!$A$1:$F$9447,2,FALSE),"")</f>
        <v>ESC BORD MZA VIAL P/ BRAZO TVS424-0</v>
      </c>
      <c r="F201" s="7">
        <v>7709156</v>
      </c>
      <c r="G201" t="s">
        <v>12535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7709852##</v>
      </c>
      <c r="E202" t="str">
        <f>IFERROR(VLOOKUP(1*LEFT(C202,7),DF!$A$1:$F$9447,2,FALSE),"")</f>
        <v>ESC BORD NQN ESC DE CADETES</v>
      </c>
      <c r="F202">
        <v>7709852</v>
      </c>
      <c r="G202" t="s">
        <v>12536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7709789##</v>
      </c>
      <c r="E203" t="str">
        <f>IFERROR(VLOOKUP(1*LEFT(C203,7),DF!$A$1:$F$9447,2,FALSE),"")</f>
        <v>ESC BORD NQN OFICIAL/DORAD POLICIA BARG</v>
      </c>
      <c r="F203">
        <v>7709789</v>
      </c>
      <c r="G203" t="s">
        <v>12537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7709310##</v>
      </c>
      <c r="E204" t="str">
        <f>IFERROR(VLOOKUP(1*LEFT(C204,7),DF!$A$1:$F$9447,2,FALSE),"")</f>
        <v>ESC BORD NQN P/BRAZO SEOAR</v>
      </c>
      <c r="F204">
        <v>7709310</v>
      </c>
      <c r="G204" t="s">
        <v>12538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7709790##</v>
      </c>
      <c r="E205" t="str">
        <f>IFERROR(VLOOKUP(1*LEFT(C205,7),DF!$A$1:$F$9447,2,FALSE),"")</f>
        <v>ESC BORD NQN SUBOFICIAL/PLT POLICIA BARG</v>
      </c>
      <c r="F205">
        <v>7709790</v>
      </c>
      <c r="G205" t="s">
        <v>12539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7709504##</v>
      </c>
      <c r="E206" t="str">
        <f>IFERROR(VLOOKUP(1*LEFT(C206,7),DF!$A$1:$F$9447,2,FALSE),"")</f>
        <v>ESC BORD NQN UNIDAD DE DETENCION  BARG</v>
      </c>
      <c r="F206">
        <v>7709504</v>
      </c>
      <c r="G206" t="s">
        <v>12540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>CONCATENATE(F207,"##")</f>
        <v>7709442##</v>
      </c>
      <c r="D207" s="2"/>
      <c r="E207" s="2" t="str">
        <f>IFERROR(VLOOKUP(1*LEFT(C207,7),DF!$A$1:$F$9447,2,FALSE),"")</f>
        <v>ESC BORD POL CATAMARCA ESC DE CADETES</v>
      </c>
      <c r="F207">
        <v>7709442</v>
      </c>
      <c r="G207" t="s">
        <v>13068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7709042##</v>
      </c>
      <c r="D208" s="2"/>
      <c r="E208" s="2" t="str">
        <f>IFERROR(VLOOKUP(1*LEFT(C208,7),DF!$A$1:$F$9447,2,FALSE),"")</f>
        <v>ESC BORD POLICIA CHUBUT</v>
      </c>
      <c r="F208">
        <v>7709042</v>
      </c>
      <c r="G208" t="s">
        <v>13049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7709032##</v>
      </c>
      <c r="D209" s="2"/>
      <c r="E209" s="2" t="str">
        <f>IFERROR(VLOOKUP(1*LEFT(C209,7),DF!$A$1:$F$9447,2,FALSE),"")</f>
        <v>ESC BORD POLICIA CHUBUT BAJA VISIBILIDAD</v>
      </c>
      <c r="F209">
        <v>7709032</v>
      </c>
      <c r="G209" t="s">
        <v>13048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7709416##</v>
      </c>
      <c r="D210" s="2"/>
      <c r="E210" s="2" t="str">
        <f>IFERROR(VLOOKUP(1*LEFT(C210,7),DF!$A$1:$F$9447,2,FALSE),"")</f>
        <v>ESC BORD POLICIA CHUBUT CHICO BV ABROJO</v>
      </c>
      <c r="F210">
        <v>7709416</v>
      </c>
      <c r="G210" t="s">
        <v>13065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7709415##</v>
      </c>
      <c r="D211" s="2"/>
      <c r="E211" s="2" t="str">
        <f>IFERROR(VLOOKUP(1*LEFT(C211,7),DF!$A$1:$F$9447,2,FALSE),"")</f>
        <v>ESC BORD POLICIA CHUBUT CHICO C/ABROJO</v>
      </c>
      <c r="F211">
        <v>7709415</v>
      </c>
      <c r="G211" t="s">
        <v>13064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7709062##</v>
      </c>
      <c r="D212" s="2"/>
      <c r="E212" s="2" t="str">
        <f>IFERROR(VLOOKUP(1*LEFT(C212,7),DF!$A$1:$F$9447,2,FALSE),"")</f>
        <v>ESC BORD PSA AEROPORTUARIA</v>
      </c>
      <c r="F212">
        <v>7709062</v>
      </c>
      <c r="G212" t="s">
        <v>13028</v>
      </c>
      <c r="H212">
        <v>1</v>
      </c>
    </row>
    <row r="213" spans="1:8" x14ac:dyDescent="0.25">
      <c r="A213">
        <v>16522</v>
      </c>
      <c r="B213" t="s">
        <v>4</v>
      </c>
      <c r="C213" t="str">
        <f>CONCATENATE(F213,"##")</f>
        <v>7709061##</v>
      </c>
      <c r="E213" s="2" t="str">
        <f>IFERROR(VLOOKUP(1*LEFT(C213,7),DF!$A$1:$F$9447,2,FALSE),"")</f>
        <v>ESC BORD PSA BOINA  BARG</v>
      </c>
      <c r="F213" s="7">
        <v>7709061</v>
      </c>
      <c r="G213" t="s">
        <v>12541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>CONCATENATE(F214,"##")</f>
        <v>7709228##</v>
      </c>
      <c r="D214" s="2"/>
      <c r="E214" s="2" t="str">
        <f>IFERROR(VLOOKUP(1*LEFT(C214,7),DF!$A$1:$F$9447,2,FALSE),"")</f>
        <v>ESC BORD RIO NEGRO POL BV</v>
      </c>
      <c r="F214">
        <v>7709228</v>
      </c>
      <c r="G214" t="s">
        <v>13094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7709229##</v>
      </c>
      <c r="D215" s="2"/>
      <c r="E215" s="2" t="str">
        <f>IFERROR(VLOOKUP(1*LEFT(C215,7),DF!$A$1:$F$9447,2,FALSE),"")</f>
        <v>ESC BORD RIO NEGRO POLICIA</v>
      </c>
      <c r="F215">
        <v>7709229</v>
      </c>
      <c r="G215" t="s">
        <v>13095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7709606##</v>
      </c>
      <c r="D216" s="2"/>
      <c r="E216" s="2" t="str">
        <f>IFERROR(VLOOKUP(1*LEFT(C216,7),DF!$A$1:$F$9447,2,FALSE),"")</f>
        <v>ESC BORD SAN JUAN POLICIA  BARG</v>
      </c>
      <c r="F216">
        <v>7709606</v>
      </c>
      <c r="G216" t="s">
        <v>13067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7709700##</v>
      </c>
      <c r="D217" s="2"/>
      <c r="E217" s="2" t="str">
        <f>IFERROR(VLOOKUP(1*LEFT(C217,7),DF!$A$1:$F$9447,2,FALSE),"")</f>
        <v>ESC BORD SAN LUIS POLICIA TVS477-04</v>
      </c>
      <c r="F217">
        <v>7709700</v>
      </c>
      <c r="G217" t="s">
        <v>13097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7709410##</v>
      </c>
      <c r="D218" s="2"/>
      <c r="E218" s="2" t="str">
        <f>IFERROR(VLOOKUP(1*LEFT(C218,7),DF!$A$1:$F$9447,2,FALSE),"")</f>
        <v>ESC BORD STA CRUZ  POL RER072 28</v>
      </c>
      <c r="F218">
        <v>7709410</v>
      </c>
      <c r="G218" t="s">
        <v>13090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7709457##</v>
      </c>
      <c r="D219" s="2"/>
      <c r="E219" s="2" t="str">
        <f>IFERROR(VLOOKUP(1*LEFT(C219,7),DF!$A$1:$F$9447,2,FALSE),"")</f>
        <v>ESC BORD STA CRUZ ALCALDIA POLICIAL BV</v>
      </c>
      <c r="F219">
        <v>7709457</v>
      </c>
      <c r="G219" t="s">
        <v>13092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7709411##</v>
      </c>
      <c r="D220" s="2"/>
      <c r="E220" s="2" t="str">
        <f>IFERROR(VLOOKUP(1*LEFT(C220,7),DF!$A$1:$F$9447,2,FALSE),"")</f>
        <v>ESC BORD STA CRUZ BAJA VISIBILIDAD</v>
      </c>
      <c r="F220">
        <v>7709411</v>
      </c>
      <c r="G220" t="s">
        <v>13091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7709902##</v>
      </c>
      <c r="D221" s="2"/>
      <c r="E221" s="2" t="str">
        <f>IFERROR(VLOOKUP(1*LEFT(C221,7),DF!$A$1:$F$9447,2,FALSE),"")</f>
        <v>ESC BORD STA CRUZ BOMBERO TVS536-14</v>
      </c>
      <c r="F221">
        <v>7709902</v>
      </c>
      <c r="G221" t="s">
        <v>13053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7709455##</v>
      </c>
      <c r="D222" s="2"/>
      <c r="E222" s="2" t="str">
        <f>IFERROR(VLOOKUP(1*LEFT(C222,7),DF!$A$1:$F$9447,2,FALSE),"")</f>
        <v>ESC BORD STA CRUZ GEOR BAJA VIS</v>
      </c>
      <c r="F222">
        <v>7709455</v>
      </c>
      <c r="G222" t="s">
        <v>13093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7709800##</v>
      </c>
      <c r="D223" s="2"/>
      <c r="E223" s="2" t="str">
        <f>IFERROR(VLOOKUP(1*LEFT(C223,7),DF!$A$1:$F$9447,2,FALSE),"")</f>
        <v>ESC BORD T. FUEGO POLI DIARIO</v>
      </c>
      <c r="F223">
        <v>7709800</v>
      </c>
      <c r="G223" t="s">
        <v>13062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7709801##</v>
      </c>
      <c r="D224" s="2"/>
      <c r="E224" s="2" t="str">
        <f>IFERROR(VLOOKUP(1*LEFT(C224,7),DF!$A$1:$F$9447,2,FALSE),"")</f>
        <v>ESC BORD T. FUEGO POLI GALA</v>
      </c>
      <c r="F224">
        <v>7709801</v>
      </c>
      <c r="G224" t="s">
        <v>13061</v>
      </c>
      <c r="H224">
        <v>1</v>
      </c>
    </row>
    <row r="225" spans="1:8" x14ac:dyDescent="0.25">
      <c r="A225">
        <v>16522</v>
      </c>
      <c r="B225" t="s">
        <v>4</v>
      </c>
      <c r="C225" t="str">
        <f>CONCATENATE(F225,"##")</f>
        <v>7709425##</v>
      </c>
      <c r="E225" t="str">
        <f>IFERROR(VLOOKUP(1*LEFT(C225,7),DF!$A$1:$F$9447,2,FALSE),"")</f>
        <v>ESC BORD TMAN  POLICIA BARG</v>
      </c>
      <c r="F225">
        <v>7709425</v>
      </c>
      <c r="G225" t="s">
        <v>12542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7711091##</v>
      </c>
      <c r="E226" t="str">
        <f>IFERROR(VLOOKUP(1*LEFT(C226,7),DF!$A$1:$F$9447,2,FALSE),"")</f>
        <v>ESC BORD TMAN BANANITA  BARG BI</v>
      </c>
      <c r="F226">
        <v>7711091</v>
      </c>
      <c r="G226" t="s">
        <v>12543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7709460##</v>
      </c>
      <c r="E227" t="str">
        <f>IFERROR(VLOOKUP(1*LEFT(C227,7),DF!$A$1:$F$9447,2,FALSE),"")</f>
        <v>ESC BORD TMAN BANANITA C.E.R.O.</v>
      </c>
      <c r="F227">
        <v>7709460</v>
      </c>
      <c r="G227" t="s">
        <v>12544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7709461##</v>
      </c>
      <c r="E228" t="str">
        <f>IFERROR(VLOOKUP(1*LEFT(C228,7),DF!$A$1:$F$9447,2,FALSE),"")</f>
        <v>ESC BORD TMAN BRAZO C.E.R.O.</v>
      </c>
      <c r="F228">
        <v>7709461</v>
      </c>
      <c r="G228" t="s">
        <v>12545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7709465##</v>
      </c>
      <c r="E229" t="str">
        <f>IFERROR(VLOOKUP(1*LEFT(C229,7),DF!$A$1:$F$9447,2,FALSE),"")</f>
        <v>ESC BORD TMAN DIR GRAL PREV URBANA</v>
      </c>
      <c r="F229">
        <v>7709465</v>
      </c>
      <c r="G229" t="s">
        <v>12546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7709341##</v>
      </c>
      <c r="E230" t="str">
        <f>IFERROR(VLOOKUP(1*LEFT(C230,7),DF!$A$1:$F$9447,2,FALSE),"")</f>
        <v>ESC BORD TMAN PENIT GRIS</v>
      </c>
      <c r="F230">
        <v>7709341</v>
      </c>
      <c r="G230" t="s">
        <v>12547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7709308##</v>
      </c>
      <c r="E231" s="2" t="str">
        <f>IFERROR(VLOOKUP(1*LEFT(C231,7),DF!$A$1:$F$9447,2,FALSE),"")</f>
        <v>ESC BORD UCCEE BOINA BV</v>
      </c>
      <c r="F231">
        <v>7709308</v>
      </c>
      <c r="G231" t="s">
        <v>12548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>CONCATENATE(F232,"##")</f>
        <v>7710004##</v>
      </c>
      <c r="D232" s="2"/>
      <c r="E232" s="2" t="str">
        <f>IFERROR(VLOOKUP(1*LEFT(C232,7),DF!$A$1:$F$9447,2,FALSE),"")</f>
        <v>ESC GOMA CHUBUT BV</v>
      </c>
      <c r="F232">
        <v>7710004</v>
      </c>
      <c r="G232" t="s">
        <v>13063</v>
      </c>
      <c r="H232">
        <v>1</v>
      </c>
    </row>
    <row r="233" spans="1:8" x14ac:dyDescent="0.25">
      <c r="A233">
        <v>16522</v>
      </c>
      <c r="B233" t="s">
        <v>4</v>
      </c>
      <c r="C233" t="str">
        <f>CONCATENATE(F233,"##")</f>
        <v>7710001##</v>
      </c>
      <c r="E233" t="str">
        <f>IFERROR(VLOOKUP(1*LEFT(C233,7),DF!$A$1:$F$9447,2,FALSE),"")</f>
        <v>ESC GOMA POLICIA DE MENDOZA COLOR</v>
      </c>
      <c r="F233" s="7">
        <v>7710001</v>
      </c>
      <c r="G233" t="s">
        <v>12549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7710221##</v>
      </c>
      <c r="E234" t="str">
        <f>IFERROR(VLOOKUP(1*LEFT(C234,7),DF!$A$1:$F$9447,2,FALSE),"")</f>
        <v>ESC GOMA POLICIA NQN BAJA VISIBILIDAD</v>
      </c>
      <c r="F234">
        <v>7710221</v>
      </c>
      <c r="G234" t="s">
        <v>12550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>CONCATENATE(F235,"##")</f>
        <v>7710007##</v>
      </c>
      <c r="D235" s="2"/>
      <c r="E235" s="2" t="str">
        <f>IFERROR(VLOOKUP(1*LEFT(C235,7),DF!$A$1:$F$9447,2,FALSE),"")</f>
        <v>ESC GOMA POLICIA SALTA BV GOA</v>
      </c>
      <c r="F235">
        <v>7710007</v>
      </c>
      <c r="G235" t="s">
        <v>13054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7710020##</v>
      </c>
      <c r="D236" s="2"/>
      <c r="E236" s="2" t="str">
        <f>IFERROR(VLOOKUP(1*LEFT(C236,7),DF!$A$1:$F$9447,2,FALSE),"")</f>
        <v>ESC GOMA POLICIA SANTA FE COLOR</v>
      </c>
      <c r="F236">
        <v>7710020</v>
      </c>
      <c r="G236" t="s">
        <v>13066</v>
      </c>
      <c r="H236">
        <v>1</v>
      </c>
    </row>
    <row r="237" spans="1:8" x14ac:dyDescent="0.25">
      <c r="A237">
        <v>16522</v>
      </c>
      <c r="B237" t="s">
        <v>4</v>
      </c>
      <c r="C237" t="str">
        <f>CONCATENATE(F237,"##")</f>
        <v>7709668##</v>
      </c>
      <c r="E237" t="str">
        <f>IFERROR(VLOOKUP(1*LEFT(C237,7),DF!$A$1:$F$9447,2,FALSE),"")</f>
        <v>ESC UNIDAD CUERPOS ESPECIALES</v>
      </c>
      <c r="F237" s="7">
        <v>7709668</v>
      </c>
      <c r="G237" t="s">
        <v>12551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8503045##</v>
      </c>
      <c r="E238" t="str">
        <f>IFERROR(VLOOKUP(1*LEFT(C238,7),DF!$A$1:$F$9447,2,FALSE),"")</f>
        <v>ESPOSAS CON BISAGRA 1211-7/3</v>
      </c>
      <c r="F238">
        <v>8503045</v>
      </c>
      <c r="G238" t="s">
        <v>12552</v>
      </c>
      <c r="H238">
        <v>3</v>
      </c>
    </row>
    <row r="239" spans="1:8" x14ac:dyDescent="0.25">
      <c r="A239">
        <v>16522</v>
      </c>
      <c r="B239" t="s">
        <v>4</v>
      </c>
      <c r="C239" t="str">
        <f>CONCATENATE(F239,"##")</f>
        <v>8703613##</v>
      </c>
      <c r="E239" t="str">
        <f>IFERROR(VLOOKUP(1*LEFT(C239,7),DF!$A$1:$F$9447,2,FALSE),"")</f>
        <v>FUNDA POLIA CON PORTACARG T613 TB RER</v>
      </c>
      <c r="F239">
        <v>8703613</v>
      </c>
      <c r="G239" t="s">
        <v>12553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8305000##</v>
      </c>
      <c r="D240" s="2"/>
      <c r="E240" s="2" t="str">
        <f>IFERROR(VLOOKUP(1*LEFT(C240,7),DF!$A$1:$F$9447,2,FALSE),"")</f>
        <v>GORRA AZUL SIN ATRIBUTOS RER</v>
      </c>
      <c r="F240" s="7">
        <v>8305000</v>
      </c>
      <c r="G240" t="s">
        <v>12554</v>
      </c>
      <c r="H240">
        <v>3</v>
      </c>
    </row>
    <row r="241" spans="1:9" x14ac:dyDescent="0.25">
      <c r="A241" s="2">
        <v>16522</v>
      </c>
      <c r="B241" s="2" t="s">
        <v>4</v>
      </c>
      <c r="C241" s="2" t="str">
        <f>CONCATENATE(F241,"##")</f>
        <v>8305006##</v>
      </c>
      <c r="D241" s="2"/>
      <c r="E241" s="2" t="str">
        <f>IFERROR(VLOOKUP(1*LEFT(C241,7),DF!$A$1:$F$9447,2,FALSE),"")</f>
        <v>GORRA AZUL VISERA SUB COMISA/COMISA RER</v>
      </c>
      <c r="F241" s="7">
        <v>8305006</v>
      </c>
      <c r="G241" t="s">
        <v>12555</v>
      </c>
      <c r="H241">
        <v>3</v>
      </c>
    </row>
    <row r="242" spans="1:9" x14ac:dyDescent="0.25">
      <c r="A242" s="2">
        <v>16522</v>
      </c>
      <c r="B242" s="2" t="s">
        <v>4</v>
      </c>
      <c r="C242" s="2" t="str">
        <f>CONCATENATE(F242,"##")</f>
        <v>8305001##</v>
      </c>
      <c r="D242" s="2"/>
      <c r="E242" s="2" t="str">
        <f>IFERROR(VLOOKUP(1*LEFT(C242,7),DF!$A$1:$F$9447,2,FALSE),"")</f>
        <v>GORRA GRIS SIN ATRIBUTOS RER</v>
      </c>
      <c r="F242" s="7">
        <v>8305001</v>
      </c>
      <c r="G242" t="s">
        <v>13949</v>
      </c>
      <c r="H242">
        <v>3</v>
      </c>
    </row>
    <row r="243" spans="1:9" x14ac:dyDescent="0.25">
      <c r="A243" s="2">
        <v>16522</v>
      </c>
      <c r="B243" s="2" t="s">
        <v>4</v>
      </c>
      <c r="C243" s="2" t="str">
        <f>CONCATENATE(F243,"##")</f>
        <v>8305002##</v>
      </c>
      <c r="D243" s="2"/>
      <c r="E243" s="2" t="str">
        <f>IFERROR(VLOOKUP(1*LEFT(C243,7),DF!$A$1:$F$9447,2,FALSE),"")</f>
        <v>GORRA NEGRA SIN ATRIBUTOS RER</v>
      </c>
      <c r="F243" s="7">
        <v>8305002</v>
      </c>
      <c r="G243" t="s">
        <v>12556</v>
      </c>
      <c r="H243">
        <v>3</v>
      </c>
    </row>
    <row r="244" spans="1:9" x14ac:dyDescent="0.25">
      <c r="A244">
        <v>16522</v>
      </c>
      <c r="B244" t="s">
        <v>4</v>
      </c>
      <c r="C244" t="str">
        <f>CONCATENATE(F244,"##")</f>
        <v>8400002##</v>
      </c>
      <c r="E244" t="str">
        <f>IFERROR(VLOOKUP(1*LEFT(C244,7),DF!$A$1:$F$9447,2,FALSE),"")</f>
        <v>GORRITA BEISBOL LISA NEGRA GEI</v>
      </c>
      <c r="F244">
        <v>8400002</v>
      </c>
      <c r="G244" t="s">
        <v>12557</v>
      </c>
      <c r="H244">
        <v>2</v>
      </c>
    </row>
    <row r="245" spans="1:9" x14ac:dyDescent="0.25">
      <c r="A245" s="2">
        <v>16522</v>
      </c>
      <c r="B245" s="2" t="s">
        <v>4</v>
      </c>
      <c r="C245" s="2" t="str">
        <f>CONCATENATE(F245,"##")</f>
        <v>8400650##</v>
      </c>
      <c r="D245" s="2"/>
      <c r="E245" s="2" t="str">
        <f>IFERROR(VLOOKUP(1*LEFT(C245,7),DF!$A$1:$F$9447,2,FALSE),"")</f>
        <v>GORRITA RIO NEGRO POL OFICIAL BI</v>
      </c>
      <c r="F245" s="7">
        <v>8400650</v>
      </c>
      <c r="G245" t="s">
        <v>13109</v>
      </c>
      <c r="H245">
        <v>4</v>
      </c>
    </row>
    <row r="246" spans="1:9" x14ac:dyDescent="0.25">
      <c r="A246" s="2">
        <v>16522</v>
      </c>
      <c r="B246" s="2" t="s">
        <v>4</v>
      </c>
      <c r="C246" s="2" t="str">
        <f>CONCATENATE(F246,"##")</f>
        <v>8306100##</v>
      </c>
      <c r="D246" s="2"/>
      <c r="E246" s="2" t="str">
        <f>IFERROR(VLOOKUP(1*LEFT(C246,7),DF!$A$1:$F$9447,2,FALSE),"")</f>
        <v>GORRO CON PIEL IMP</v>
      </c>
      <c r="F246">
        <v>8306100</v>
      </c>
      <c r="G246" t="s">
        <v>13878</v>
      </c>
      <c r="H246">
        <v>7</v>
      </c>
    </row>
    <row r="247" spans="1:9" x14ac:dyDescent="0.25">
      <c r="A247" s="2">
        <v>16522</v>
      </c>
      <c r="B247" s="2" t="s">
        <v>4</v>
      </c>
      <c r="C247" s="2" t="str">
        <f>CONCATENATE(F247,"##")</f>
        <v>8400240##</v>
      </c>
      <c r="D247" s="2"/>
      <c r="E247" s="2" t="str">
        <f>IFERROR(VLOOKUP(1*LEFT(C247,7),DF!$A$1:$F$9447,2,FALSE),"")</f>
        <v>GORRO LANA ROCKY 53240 SIN FORRAR RER</v>
      </c>
      <c r="F247">
        <v>8400240</v>
      </c>
      <c r="G247" t="s">
        <v>13879</v>
      </c>
      <c r="H247">
        <v>1</v>
      </c>
    </row>
    <row r="248" spans="1:9" x14ac:dyDescent="0.25">
      <c r="A248" s="2">
        <v>16522</v>
      </c>
      <c r="B248" s="2" t="s">
        <v>4</v>
      </c>
      <c r="C248" s="2" t="str">
        <f>CONCATENATE(F248,"##")</f>
        <v>8306101##</v>
      </c>
      <c r="D248" s="2"/>
      <c r="E248" s="2" t="str">
        <f>IFERROR(VLOOKUP(1*LEFT(C248,7),DF!$A$1:$F$9447,2,FALSE),"")</f>
        <v>GORRO PIEL CON REFLECTIVO IMP 1120</v>
      </c>
      <c r="F248">
        <v>8306101</v>
      </c>
      <c r="G248" t="s">
        <v>13880</v>
      </c>
      <c r="H248">
        <v>3</v>
      </c>
    </row>
    <row r="249" spans="1:9" x14ac:dyDescent="0.25">
      <c r="A249" s="2">
        <v>16522</v>
      </c>
      <c r="B249" s="2" t="s">
        <v>4</v>
      </c>
      <c r="C249" s="2" t="str">
        <f>CONCATENATE(F249,"##")</f>
        <v>8306200##</v>
      </c>
      <c r="D249" s="2"/>
      <c r="E249" s="2" t="str">
        <f>IFERROR(VLOOKUP(1*LEFT(C249,7),DF!$A$1:$F$9447,2,FALSE),"")</f>
        <v>GORRO POLAR IMP 1163</v>
      </c>
      <c r="F249" s="7">
        <v>8306200</v>
      </c>
      <c r="G249" t="s">
        <v>13881</v>
      </c>
      <c r="H249">
        <v>2</v>
      </c>
    </row>
    <row r="250" spans="1:9" x14ac:dyDescent="0.25">
      <c r="A250" s="2">
        <v>16522</v>
      </c>
      <c r="B250" s="2" t="s">
        <v>4</v>
      </c>
      <c r="C250" s="2" t="str">
        <f>CONCATENATE(F250,"##")</f>
        <v>8400661##</v>
      </c>
      <c r="D250" s="2"/>
      <c r="E250" s="2" t="str">
        <f>IFERROR(VLOOKUP(1*LEFT(C250,7),DF!$A$1:$F$9447,2,FALSE),"")</f>
        <v>GORRO VERDUGO RER</v>
      </c>
      <c r="F250">
        <v>8400661</v>
      </c>
      <c r="G250" t="s">
        <v>13882</v>
      </c>
      <c r="H250">
        <v>1</v>
      </c>
    </row>
    <row r="251" spans="1:9" x14ac:dyDescent="0.25">
      <c r="A251" s="2">
        <v>16522</v>
      </c>
      <c r="B251" s="2" t="s">
        <v>4</v>
      </c>
      <c r="C251" s="2" t="str">
        <f>CONCATENATE(F251,"##")</f>
        <v>8517235##</v>
      </c>
      <c r="D251" s="2"/>
      <c r="E251" s="2" t="str">
        <f>IFERROR(VLOOKUP(1*LEFT(C251,7),DF!$A$1:$F$9447,2,FALSE),"")</f>
        <v>GUANTES BLANCOS LMGE RER</v>
      </c>
      <c r="F251" s="7">
        <v>8517235</v>
      </c>
      <c r="G251" t="s">
        <v>12558</v>
      </c>
      <c r="H251">
        <v>2</v>
      </c>
    </row>
    <row r="252" spans="1:9" x14ac:dyDescent="0.25">
      <c r="A252" s="2">
        <v>16522</v>
      </c>
      <c r="B252" s="2" t="s">
        <v>4</v>
      </c>
      <c r="C252" s="2" t="str">
        <f>CONCATENATE(F252,"##")</f>
        <v>8517103##</v>
      </c>
      <c r="D252" s="2"/>
      <c r="E252" s="2" t="str">
        <f>IFERROR(VLOOKUP(1*LEFT(C252,7),DF!$A$1:$F$9447,2,FALSE),"")</f>
        <v>GUANTES CABRITILLA 6/14 RER</v>
      </c>
      <c r="F252" s="7">
        <v>8517103</v>
      </c>
      <c r="G252" t="s">
        <v>12559</v>
      </c>
      <c r="H252">
        <v>3</v>
      </c>
    </row>
    <row r="253" spans="1:9" x14ac:dyDescent="0.25">
      <c r="A253" s="2">
        <v>16522</v>
      </c>
      <c r="B253" s="2" t="s">
        <v>4</v>
      </c>
      <c r="C253" s="2" t="str">
        <f>CONCATENATE(F253,"##")</f>
        <v>8717033##</v>
      </c>
      <c r="D253" s="2"/>
      <c r="E253" s="2" t="str">
        <f>IFERROR(VLOOKUP(1*LEFT(C253,7),DF!$A$1:$F$9447,2,FALSE),"")</f>
        <v>GUANTES NEOPRENE S/DEDO T S/XXL RER</v>
      </c>
      <c r="F253" s="7">
        <v>8717033</v>
      </c>
      <c r="G253" t="s">
        <v>12560</v>
      </c>
      <c r="H253">
        <v>4</v>
      </c>
      <c r="I253">
        <v>1</v>
      </c>
    </row>
    <row r="254" spans="1:9" x14ac:dyDescent="0.25">
      <c r="A254">
        <v>16522</v>
      </c>
      <c r="B254" t="s">
        <v>4</v>
      </c>
      <c r="C254" t="str">
        <f>CONCATENATE(F254,"##")</f>
        <v>8517906##</v>
      </c>
      <c r="E254" t="str">
        <f>IFERROR(VLOOKUP(1*LEFT(C254,7),DF!$A$1:$F$9447,2,FALSE),"")</f>
        <v>GUANTES TACTICO MITON BEIGE CORTO OR</v>
      </c>
      <c r="F254">
        <v>8517906</v>
      </c>
      <c r="G254" t="s">
        <v>12561</v>
      </c>
      <c r="H254">
        <v>4</v>
      </c>
    </row>
    <row r="255" spans="1:9" x14ac:dyDescent="0.25">
      <c r="A255">
        <v>16522</v>
      </c>
      <c r="B255" t="s">
        <v>4</v>
      </c>
      <c r="C255" t="str">
        <f>CONCATENATE(F255,"##")</f>
        <v>8517901##</v>
      </c>
      <c r="E255" t="str">
        <f>IFERROR(VLOOKUP(1*LEFT(C255,7),DF!$A$1:$F$9447,2,FALSE),"")</f>
        <v>GUANTES TACTICO MITON BEIGE LARGO OR</v>
      </c>
      <c r="F255">
        <v>8517901</v>
      </c>
      <c r="G255" t="s">
        <v>12562</v>
      </c>
      <c r="H255">
        <v>4</v>
      </c>
    </row>
    <row r="256" spans="1:9" x14ac:dyDescent="0.25">
      <c r="A256" s="2">
        <v>16522</v>
      </c>
      <c r="B256" s="2" t="s">
        <v>4</v>
      </c>
      <c r="C256" s="2" t="str">
        <f>CONCATENATE(F256,"##")</f>
        <v>8517905##</v>
      </c>
      <c r="D256" s="2"/>
      <c r="E256" s="2" t="str">
        <f>IFERROR(VLOOKUP(1*LEFT(C256,7),DF!$A$1:$F$9447,2,FALSE),"")</f>
        <v>GUANTES TACTICO MITON NEGRO CORTO OR</v>
      </c>
      <c r="F256" s="7">
        <v>8517905</v>
      </c>
      <c r="G256" t="s">
        <v>12563</v>
      </c>
      <c r="H256">
        <v>4</v>
      </c>
    </row>
    <row r="257" spans="1:9" x14ac:dyDescent="0.25">
      <c r="A257">
        <v>16522</v>
      </c>
      <c r="B257" t="s">
        <v>4</v>
      </c>
      <c r="C257" t="str">
        <f>CONCATENATE(F257,"##")</f>
        <v>8517900##</v>
      </c>
      <c r="E257" t="str">
        <f>IFERROR(VLOOKUP(1*LEFT(C257,7),DF!$A$1:$F$9447,2,FALSE),"")</f>
        <v>GUANTES TACTICO MITON NEGRO LARGO OR</v>
      </c>
      <c r="F257">
        <v>8517900</v>
      </c>
      <c r="G257" t="s">
        <v>12564</v>
      </c>
      <c r="H257">
        <v>2</v>
      </c>
    </row>
    <row r="258" spans="1:9" x14ac:dyDescent="0.25">
      <c r="A258">
        <v>16522</v>
      </c>
      <c r="B258" t="s">
        <v>4</v>
      </c>
      <c r="C258" t="str">
        <f>CONCATENATE(F258,"##")</f>
        <v>8517904##</v>
      </c>
      <c r="E258" t="str">
        <f>IFERROR(VLOOKUP(1*LEFT(C258,7),DF!$A$1:$F$9447,2,FALSE),"")</f>
        <v>GUANTES TACTICO MITON VERDE CORTO OR</v>
      </c>
      <c r="F258">
        <v>8517904</v>
      </c>
      <c r="G258" t="s">
        <v>12565</v>
      </c>
      <c r="H258">
        <v>3</v>
      </c>
    </row>
    <row r="259" spans="1:9" x14ac:dyDescent="0.25">
      <c r="A259">
        <v>16522</v>
      </c>
      <c r="B259" t="s">
        <v>4</v>
      </c>
      <c r="C259" t="str">
        <f>CONCATENATE(F259,"##")</f>
        <v>8517902##</v>
      </c>
      <c r="E259" t="str">
        <f>IFERROR(VLOOKUP(1*LEFT(C259,7),DF!$A$1:$F$9447,2,FALSE),"")</f>
        <v>GUANTES TACTICO MITON VERDE LARGO OR</v>
      </c>
      <c r="F259">
        <v>8517902</v>
      </c>
      <c r="G259" t="s">
        <v>12566</v>
      </c>
      <c r="H259">
        <v>4</v>
      </c>
    </row>
    <row r="260" spans="1:9" x14ac:dyDescent="0.25">
      <c r="A260" s="2">
        <v>16522</v>
      </c>
      <c r="B260" s="2" t="s">
        <v>4</v>
      </c>
      <c r="C260" s="2" t="str">
        <f>CONCATENATE(F260,"##")</f>
        <v>8517000##</v>
      </c>
      <c r="D260" s="2"/>
      <c r="E260" s="2" t="str">
        <f>IFERROR(VLOOKUP(1*LEFT(C260,7),DF!$A$1:$F$9447,2,FALSE),"")</f>
        <v>GUANTES TERMICOS NEGRO RER</v>
      </c>
      <c r="F260" s="7">
        <v>8517000</v>
      </c>
      <c r="G260" t="s">
        <v>12567</v>
      </c>
      <c r="H260">
        <v>2</v>
      </c>
      <c r="I260">
        <v>1</v>
      </c>
    </row>
    <row r="261" spans="1:9" x14ac:dyDescent="0.25">
      <c r="A261">
        <v>16522</v>
      </c>
      <c r="B261" t="s">
        <v>4</v>
      </c>
      <c r="C261" t="str">
        <f>CONCATENATE(F261,"##")</f>
        <v>7703056##</v>
      </c>
      <c r="E261" t="str">
        <f>IFERROR(VLOOKUP(1*LEFT(C261,7),DF!$A$1:$F$9447,2,FALSE),"")</f>
        <v>HOMB BI PENIT MZA 2 SOL SERR Y PALMA PREFECTO</v>
      </c>
      <c r="F261">
        <v>7703056</v>
      </c>
      <c r="G261" t="s">
        <v>12568</v>
      </c>
      <c r="H261">
        <v>1</v>
      </c>
    </row>
    <row r="262" spans="1:9" x14ac:dyDescent="0.25">
      <c r="A262">
        <v>16522</v>
      </c>
      <c r="B262" t="s">
        <v>4</v>
      </c>
      <c r="C262" t="str">
        <f>CONCATENATE(F262,"##")</f>
        <v>7703057##</v>
      </c>
      <c r="E262" t="str">
        <f>IFERROR(VLOOKUP(1*LEFT(C262,7),DF!$A$1:$F$9447,2,FALSE),"")</f>
        <v>HOMB BI PENIT MZA 3 SOL SERR Y PALMA  PREF.GRAL.</v>
      </c>
      <c r="F262">
        <v>7703057</v>
      </c>
      <c r="G262" t="s">
        <v>12569</v>
      </c>
      <c r="H262">
        <v>1</v>
      </c>
    </row>
    <row r="263" spans="1:9" x14ac:dyDescent="0.25">
      <c r="A263">
        <v>16522</v>
      </c>
      <c r="B263" t="s">
        <v>4</v>
      </c>
      <c r="C263" t="str">
        <f>CONCATENATE(F263,"##")</f>
        <v>7703051##</v>
      </c>
      <c r="E263" t="str">
        <f>IFERROR(VLOOKUP(1*LEFT(C263,7),DF!$A$1:$F$9447,2,FALSE),"")</f>
        <v>HOMB BI PENIT MZA ADJUTOR 2 SOL PLATEADO</v>
      </c>
      <c r="F263">
        <v>7703051</v>
      </c>
      <c r="G263" s="9" t="s">
        <v>12570</v>
      </c>
      <c r="H263">
        <v>2</v>
      </c>
    </row>
    <row r="264" spans="1:9" x14ac:dyDescent="0.25">
      <c r="A264">
        <v>16522</v>
      </c>
      <c r="B264" t="s">
        <v>4</v>
      </c>
      <c r="C264" t="str">
        <f>CONCATENATE(F264,"##")</f>
        <v>7703052##</v>
      </c>
      <c r="E264" t="str">
        <f>IFERROR(VLOOKUP(1*LEFT(C264,7),DF!$A$1:$F$9447,2,FALSE),"")</f>
        <v>HOMB BI PENIT MZA ADJUTOR PRINCIPAL 3 SOL PLATEADO</v>
      </c>
      <c r="F264">
        <v>7703052</v>
      </c>
      <c r="G264" t="s">
        <v>12571</v>
      </c>
      <c r="H264">
        <v>1</v>
      </c>
    </row>
    <row r="265" spans="1:9" x14ac:dyDescent="0.25">
      <c r="A265">
        <v>16522</v>
      </c>
      <c r="B265" t="s">
        <v>4</v>
      </c>
      <c r="C265" t="str">
        <f>CONCATENATE(F265,"##")</f>
        <v>7703050##</v>
      </c>
      <c r="E265" t="str">
        <f>IFERROR(VLOOKUP(1*LEFT(C265,7),DF!$A$1:$F$9447,2,FALSE),"")</f>
        <v>HOMB BI PENIT MZA SUB ADJUTOR 1 SOL PLATEADO</v>
      </c>
      <c r="F265">
        <v>7703050</v>
      </c>
      <c r="G265" s="9" t="s">
        <v>12572</v>
      </c>
      <c r="H265">
        <v>1</v>
      </c>
    </row>
    <row r="266" spans="1:9" x14ac:dyDescent="0.25">
      <c r="A266">
        <v>16522</v>
      </c>
      <c r="B266" t="s">
        <v>4</v>
      </c>
      <c r="C266" t="str">
        <f>CONCATENATE(F266,"##")</f>
        <v>7703053##</v>
      </c>
      <c r="E266" t="str">
        <f>IFERROR(VLOOKUP(1*LEFT(C266,7),DF!$A$1:$F$9447,2,FALSE),"")</f>
        <v>HOMB BI PENIT MZA SUB ALCAIDE SERRETA 1 SOL DORADO</v>
      </c>
      <c r="F266">
        <v>7703053</v>
      </c>
      <c r="G266" t="s">
        <v>12573</v>
      </c>
      <c r="H266">
        <v>2</v>
      </c>
    </row>
    <row r="267" spans="1:9" x14ac:dyDescent="0.25">
      <c r="A267">
        <v>16522</v>
      </c>
      <c r="B267" t="s">
        <v>4</v>
      </c>
      <c r="C267" t="str">
        <f>CONCATENATE(F267,"##")</f>
        <v>7703109##</v>
      </c>
      <c r="E267" t="str">
        <f>IFERROR(VLOOKUP(1*LEFT(C267,7),DF!$A$1:$F$9447,2,FALSE),"")</f>
        <v>HOMB BI POL ALCAIDE MAYOR 3SOL + SERR BI</v>
      </c>
      <c r="F267">
        <v>7703109</v>
      </c>
      <c r="G267" t="s">
        <v>12574</v>
      </c>
      <c r="H267">
        <v>1</v>
      </c>
    </row>
    <row r="268" spans="1:9" x14ac:dyDescent="0.25">
      <c r="A268">
        <v>16522</v>
      </c>
      <c r="B268" t="s">
        <v>4</v>
      </c>
      <c r="C268" t="str">
        <f>CONCATENATE(F268,"##")</f>
        <v>7703185##</v>
      </c>
      <c r="E268" t="str">
        <f>IFERROR(VLOOKUP(1*LEFT(C268,7),DF!$A$1:$F$9447,2,FALSE),"")</f>
        <v>HOMB BI POL COMISARIO GENERAL</v>
      </c>
      <c r="F268">
        <v>7703185</v>
      </c>
      <c r="G268" t="s">
        <v>12575</v>
      </c>
      <c r="H268">
        <v>2</v>
      </c>
    </row>
    <row r="269" spans="1:9" x14ac:dyDescent="0.25">
      <c r="A269" s="2">
        <v>16522</v>
      </c>
      <c r="B269" s="2" t="s">
        <v>4</v>
      </c>
      <c r="C269" s="2" t="str">
        <f>CONCATENATE(F269,"##")</f>
        <v>7703164##</v>
      </c>
      <c r="D269" s="2"/>
      <c r="E269" s="2" t="str">
        <f>IFERROR(VLOOKUP(1*LEFT(C269,7),DF!$A$1:$F$9447,2,FALSE),"")</f>
        <v>HOMB BI POL MZA AUX. SUPERIOR</v>
      </c>
      <c r="F269">
        <v>7703164</v>
      </c>
      <c r="G269" t="s">
        <v>13012</v>
      </c>
      <c r="H269">
        <v>2</v>
      </c>
    </row>
    <row r="270" spans="1:9" x14ac:dyDescent="0.25">
      <c r="A270">
        <v>16522</v>
      </c>
      <c r="B270" t="s">
        <v>4</v>
      </c>
      <c r="C270" t="str">
        <f>CONCATENATE(F270,"##")</f>
        <v>7703158##</v>
      </c>
      <c r="E270" t="str">
        <f>IFERROR(VLOOKUP(1*LEFT(C270,7),DF!$A$1:$F$9447,2,FALSE),"")</f>
        <v>HOMB BORD ORO CRIO GRAL 3 ROMBOS DG</v>
      </c>
      <c r="F270">
        <v>7703158</v>
      </c>
      <c r="G270" t="s">
        <v>12576</v>
      </c>
      <c r="H270">
        <v>1</v>
      </c>
    </row>
    <row r="271" spans="1:9" x14ac:dyDescent="0.25">
      <c r="A271">
        <v>16522</v>
      </c>
      <c r="B271" t="s">
        <v>4</v>
      </c>
      <c r="C271" t="str">
        <f>CONCATENATE(F271,"##")</f>
        <v>7703157##</v>
      </c>
      <c r="E271" t="str">
        <f>IFERROR(VLOOKUP(1*LEFT(C271,7),DF!$A$1:$F$9447,2,FALSE),"")</f>
        <v>HOMB BORD ORO CRIO GRAL 4 ROMBOS DG</v>
      </c>
      <c r="F271">
        <v>7703157</v>
      </c>
      <c r="G271" t="s">
        <v>12577</v>
      </c>
      <c r="H271">
        <v>2</v>
      </c>
    </row>
    <row r="272" spans="1:9" x14ac:dyDescent="0.25">
      <c r="A272" s="2">
        <v>16522</v>
      </c>
      <c r="B272" s="2" t="s">
        <v>4</v>
      </c>
      <c r="C272" s="2" t="str">
        <f>CONCATENATE(F272,"##")</f>
        <v>7703815##</v>
      </c>
      <c r="D272" s="2"/>
      <c r="E272" s="2" t="str">
        <f>IFERROR(VLOOKUP(1*LEFT(C272,7),DF!$A$1:$F$9447,2,FALSE),"")</f>
        <v>HOMB GALA NUDO HUNGARO DORADA AZZ</v>
      </c>
      <c r="F272">
        <v>7703815</v>
      </c>
      <c r="G272" t="s">
        <v>13016</v>
      </c>
      <c r="H272">
        <v>2</v>
      </c>
    </row>
    <row r="273" spans="1:8" x14ac:dyDescent="0.25">
      <c r="A273" s="2">
        <v>16522</v>
      </c>
      <c r="B273" s="2" t="s">
        <v>4</v>
      </c>
      <c r="C273" s="2" t="str">
        <f>CONCATENATE(F273,"##")</f>
        <v>7703881##</v>
      </c>
      <c r="D273" s="2"/>
      <c r="E273" s="2" t="str">
        <f>IFERROR(VLOOKUP(1*LEFT(C273,7),DF!$A$1:$F$9447,2,FALSE),"")</f>
        <v>HOMB GALA NUDO HUNGARO PLATEADA AZZ</v>
      </c>
      <c r="F273">
        <v>7703881</v>
      </c>
      <c r="G273" t="s">
        <v>13015</v>
      </c>
      <c r="H273">
        <v>2</v>
      </c>
    </row>
    <row r="274" spans="1:8" x14ac:dyDescent="0.25">
      <c r="A274">
        <v>16522</v>
      </c>
      <c r="B274" t="s">
        <v>4</v>
      </c>
      <c r="C274" t="str">
        <f>CONCATENATE(F274,"##")</f>
        <v>7703129##</v>
      </c>
      <c r="E274" t="str">
        <f>IFERROR(VLOOKUP(1*LEFT(C274,7),DF!$A$1:$F$9447,2,FALSE),"")</f>
        <v>HOMB GALA POLICIA CINTA LAU DORADA</v>
      </c>
      <c r="F274">
        <v>7703129</v>
      </c>
      <c r="G274" t="s">
        <v>12578</v>
      </c>
      <c r="H274">
        <v>1</v>
      </c>
    </row>
    <row r="275" spans="1:8" x14ac:dyDescent="0.25">
      <c r="A275">
        <v>16522</v>
      </c>
      <c r="B275" t="s">
        <v>4</v>
      </c>
      <c r="C275" t="str">
        <f>CONCATENATE(F275,"##")</f>
        <v>7703130##</v>
      </c>
      <c r="E275" t="str">
        <f>IFERROR(VLOOKUP(1*LEFT(C275,7),DF!$A$1:$F$9447,2,FALSE),"")</f>
        <v>HOMB GALA POLICIA CINTA LAU NEGRA</v>
      </c>
      <c r="F275">
        <v>7703130</v>
      </c>
      <c r="G275" t="s">
        <v>12579</v>
      </c>
      <c r="H275">
        <v>1</v>
      </c>
    </row>
    <row r="276" spans="1:8" x14ac:dyDescent="0.25">
      <c r="A276" s="2">
        <v>16522</v>
      </c>
      <c r="B276" s="2" t="s">
        <v>4</v>
      </c>
      <c r="C276" s="2" t="str">
        <f>CONCATENATE(F276,"##")</f>
        <v>7703702##</v>
      </c>
      <c r="D276" s="2"/>
      <c r="E276" s="2" t="str">
        <f>IFERROR(VLOOKUP(1*LEFT(C276,7),DF!$A$1:$F$9447,2,FALSE),"")</f>
        <v>HOMB NEGRA CABO 1 RER</v>
      </c>
      <c r="F276">
        <v>7703702</v>
      </c>
      <c r="G276" t="s">
        <v>13940</v>
      </c>
      <c r="H276">
        <v>2</v>
      </c>
    </row>
    <row r="277" spans="1:8" x14ac:dyDescent="0.25">
      <c r="A277" s="2">
        <v>16522</v>
      </c>
      <c r="B277" s="2" t="s">
        <v>4</v>
      </c>
      <c r="C277" s="2" t="str">
        <f>CONCATENATE(F277,"##")</f>
        <v>7703701##</v>
      </c>
      <c r="D277" s="2"/>
      <c r="E277" s="2" t="str">
        <f>IFERROR(VLOOKUP(1*LEFT(C277,7),DF!$A$1:$F$9447,2,FALSE),"")</f>
        <v>HOMB NEGRA CABO RER</v>
      </c>
      <c r="F277">
        <v>7703701</v>
      </c>
      <c r="G277" t="s">
        <v>13943</v>
      </c>
      <c r="H277">
        <v>2</v>
      </c>
    </row>
    <row r="278" spans="1:8" x14ac:dyDescent="0.25">
      <c r="A278" s="2">
        <v>16522</v>
      </c>
      <c r="B278" s="2" t="s">
        <v>4</v>
      </c>
      <c r="C278" s="2" t="str">
        <f>CONCATENATE(F278,"##")</f>
        <v>7703704##</v>
      </c>
      <c r="D278" s="2"/>
      <c r="E278" s="2" t="str">
        <f>IFERROR(VLOOKUP(1*LEFT(C278,7),DF!$A$1:$F$9447,2,FALSE),"")</f>
        <v>HOMB NEGRA SARGENTO 1 RER</v>
      </c>
      <c r="F278">
        <v>7703704</v>
      </c>
      <c r="G278" t="s">
        <v>13941</v>
      </c>
      <c r="H278">
        <v>3</v>
      </c>
    </row>
    <row r="279" spans="1:8" x14ac:dyDescent="0.25">
      <c r="A279" s="2">
        <v>16522</v>
      </c>
      <c r="B279" s="2" t="s">
        <v>4</v>
      </c>
      <c r="C279" s="2" t="str">
        <f>CONCATENATE(F279,"##")</f>
        <v>7703705##</v>
      </c>
      <c r="D279" s="2"/>
      <c r="E279" s="2" t="str">
        <f>IFERROR(VLOOKUP(1*LEFT(C279,7),DF!$A$1:$F$9447,2,FALSE),"")</f>
        <v>HOMB NEGRA SARGENTO AYUDANTE RER</v>
      </c>
      <c r="F279">
        <v>7703705</v>
      </c>
      <c r="G279" t="s">
        <v>13942</v>
      </c>
      <c r="H279">
        <v>3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7703703##</v>
      </c>
      <c r="D280" s="2"/>
      <c r="E280" s="2" t="str">
        <f>IFERROR(VLOOKUP(1*LEFT(C280,7),DF!$A$1:$F$9447,2,FALSE),"")</f>
        <v>HOMB NEGRA SARGENTO RER</v>
      </c>
      <c r="F280">
        <v>7703703</v>
      </c>
      <c r="G280" t="s">
        <v>13944</v>
      </c>
      <c r="H280">
        <v>3</v>
      </c>
    </row>
    <row r="281" spans="1:8" x14ac:dyDescent="0.25">
      <c r="A281" s="2">
        <v>16522</v>
      </c>
      <c r="B281" s="2" t="s">
        <v>4</v>
      </c>
      <c r="C281" s="2" t="str">
        <f>CONCATENATE(F281,"##")</f>
        <v>7703707##</v>
      </c>
      <c r="D281" s="2"/>
      <c r="E281" s="2" t="str">
        <f>IFERROR(VLOOKUP(1*LEFT(C281,7),DF!$A$1:$F$9447,2,FALSE),"")</f>
        <v>HOMB NEGRA SUB OF MAYOR RER</v>
      </c>
      <c r="F281">
        <v>7703707</v>
      </c>
      <c r="G281" t="s">
        <v>13946</v>
      </c>
      <c r="H281">
        <v>2</v>
      </c>
    </row>
    <row r="282" spans="1:8" x14ac:dyDescent="0.25">
      <c r="A282" s="2">
        <v>16522</v>
      </c>
      <c r="B282" s="2" t="s">
        <v>4</v>
      </c>
      <c r="C282" s="2" t="str">
        <f>CONCATENATE(F282,"##")</f>
        <v>7703706##</v>
      </c>
      <c r="D282" s="2"/>
      <c r="E282" s="2" t="str">
        <f>IFERROR(VLOOKUP(1*LEFT(C282,7),DF!$A$1:$F$9447,2,FALSE),"")</f>
        <v>HOMB NEGRA SUB OP PRINCIPAL RER</v>
      </c>
      <c r="F282">
        <v>7703706</v>
      </c>
      <c r="G282" t="s">
        <v>13945</v>
      </c>
      <c r="H282">
        <v>3</v>
      </c>
    </row>
    <row r="283" spans="1:8" x14ac:dyDescent="0.25">
      <c r="A283" s="2">
        <v>16522</v>
      </c>
      <c r="B283" s="2" t="s">
        <v>4</v>
      </c>
      <c r="C283" s="2" t="str">
        <f>CONCATENATE(F283,"##")</f>
        <v>7700100##</v>
      </c>
      <c r="D283" s="2"/>
      <c r="E283" s="2" t="str">
        <f>IFERROR(VLOOKUP(1*LEFT(C283,7),DF!$A$1:$F$9447,2,FALSE),"")</f>
        <v>INSIG AZUL CABO  COLGAR</v>
      </c>
      <c r="F283">
        <v>7700100</v>
      </c>
      <c r="G283" t="s">
        <v>13034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7700101##</v>
      </c>
      <c r="D284" s="2"/>
      <c r="E284" s="2" t="str">
        <f>IFERROR(VLOOKUP(1*LEFT(C284,7),DF!$A$1:$F$9447,2,FALSE),"")</f>
        <v>INSIG AZUL CABO 1RO COLGAR</v>
      </c>
      <c r="F284">
        <v>7700101</v>
      </c>
      <c r="G284" t="s">
        <v>13035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>CONCATENATE(F285,"##")</f>
        <v>7700202##</v>
      </c>
      <c r="D285" s="2"/>
      <c r="E285" s="2" t="str">
        <f>IFERROR(VLOOKUP(1*LEFT(C285,7),DF!$A$1:$F$9447,2,FALSE),"")</f>
        <v>INSIG AZUL CABO 1RO POR PAR</v>
      </c>
      <c r="F285">
        <v>7700202</v>
      </c>
      <c r="G285" t="s">
        <v>13050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>CONCATENATE(F286,"##")</f>
        <v>7700200##</v>
      </c>
      <c r="D286" s="2"/>
      <c r="E286" s="2" t="str">
        <f>IFERROR(VLOOKUP(1*LEFT(C286,7),DF!$A$1:$F$9447,2,FALSE),"")</f>
        <v>INSIG AZUL CABO POR PAR</v>
      </c>
      <c r="F286">
        <v>7700200</v>
      </c>
      <c r="G286" t="s">
        <v>13033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7700105##</v>
      </c>
      <c r="D287" s="2"/>
      <c r="E287" s="2" t="str">
        <f>IFERROR(VLOOKUP(1*LEFT(C287,7),DF!$A$1:$F$9447,2,FALSE),"")</f>
        <v>INSIG AZUL SARG AYTE COLGAR</v>
      </c>
      <c r="F287">
        <v>7700105</v>
      </c>
      <c r="G287" t="s">
        <v>13038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7700104##</v>
      </c>
      <c r="D288" s="2"/>
      <c r="E288" s="2" t="str">
        <f>IFERROR(VLOOKUP(1*LEFT(C288,7),DF!$A$1:$F$9447,2,FALSE),"")</f>
        <v>INSIG AZUL SARGENTO 1RO COLGAR</v>
      </c>
      <c r="F288">
        <v>7700104</v>
      </c>
      <c r="G288" t="s">
        <v>13037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7700204##</v>
      </c>
      <c r="D289" s="2"/>
      <c r="E289" s="2" t="str">
        <f>IFERROR(VLOOKUP(1*LEFT(C289,7),DF!$A$1:$F$9447,2,FALSE),"")</f>
        <v>INSIG AZUL SARGENTO 1RO POR PAR</v>
      </c>
      <c r="F289">
        <v>7700204</v>
      </c>
      <c r="G289" t="s">
        <v>13044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7700205##</v>
      </c>
      <c r="D290" s="2"/>
      <c r="E290" s="2" t="str">
        <f>IFERROR(VLOOKUP(1*LEFT(C290,7),DF!$A$1:$F$9447,2,FALSE),"")</f>
        <v>INSIG AZUL SARGENTO AYTE POR PAR</v>
      </c>
      <c r="F290">
        <v>7700205</v>
      </c>
      <c r="G290" t="s">
        <v>13045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7700103##</v>
      </c>
      <c r="D291" s="2"/>
      <c r="E291" s="2" t="str">
        <f>IFERROR(VLOOKUP(1*LEFT(C291,7),DF!$A$1:$F$9447,2,FALSE),"")</f>
        <v>INSIG AZUL SARGENTO COLGAR</v>
      </c>
      <c r="F291">
        <v>7700103</v>
      </c>
      <c r="G291" t="s">
        <v>13036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7700203##</v>
      </c>
      <c r="D292" s="2"/>
      <c r="E292" s="2" t="str">
        <f>IFERROR(VLOOKUP(1*LEFT(C292,7),DF!$A$1:$F$9447,2,FALSE),"")</f>
        <v>INSIG AZUL SARGENTO POR PAR</v>
      </c>
      <c r="F292">
        <v>7700203</v>
      </c>
      <c r="G292" t="s">
        <v>13046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7700207##</v>
      </c>
      <c r="D293" s="2"/>
      <c r="E293" s="2" t="str">
        <f>IFERROR(VLOOKUP(1*LEFT(C293,7),DF!$A$1:$F$9447,2,FALSE),"")</f>
        <v>INSIG AZUL SUBOF MAYOR POR PAR</v>
      </c>
      <c r="F293">
        <v>7700207</v>
      </c>
      <c r="G293" t="s">
        <v>13052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7700106##</v>
      </c>
      <c r="D294" s="2"/>
      <c r="E294" s="2" t="str">
        <f>IFERROR(VLOOKUP(1*LEFT(C294,7),DF!$A$1:$F$9447,2,FALSE),"")</f>
        <v>INSIG AZUL SUBOF PPAL COLGAR</v>
      </c>
      <c r="F294">
        <v>7700106</v>
      </c>
      <c r="G294" t="s">
        <v>13039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7700206##</v>
      </c>
      <c r="D295" s="2"/>
      <c r="E295" s="2" t="str">
        <f>IFERROR(VLOOKUP(1*LEFT(C295,7),DF!$A$1:$F$9447,2,FALSE),"")</f>
        <v>INSIG AZUL SUBOF PPAL POR PAR</v>
      </c>
      <c r="F295">
        <v>7700206</v>
      </c>
      <c r="G295" t="s">
        <v>13043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8505708##</v>
      </c>
      <c r="D296" s="2"/>
      <c r="E296" s="2" t="str">
        <f>IFERROR(VLOOKUP(1*LEFT(C296,7),DF!$A$1:$F$9447,2,FALSE),"")</f>
        <v>INSIG BI CABO BEIGE BI</v>
      </c>
      <c r="F296">
        <v>8505708</v>
      </c>
      <c r="G296" t="s">
        <v>13051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8505709##</v>
      </c>
      <c r="D297" s="2"/>
      <c r="E297" s="2" t="str">
        <f>IFERROR(VLOOKUP(1*LEFT(C297,7),DF!$A$1:$F$9447,2,FALSE),"")</f>
        <v>INSIG BI CABO PRIMERO BEIGE BI</v>
      </c>
      <c r="F297" s="7">
        <v>8505709</v>
      </c>
      <c r="G297" t="s">
        <v>13032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8505705##</v>
      </c>
      <c r="D298" s="2"/>
      <c r="E298" s="2" t="str">
        <f>IFERROR(VLOOKUP(1*LEFT(C298,7),DF!$A$1:$F$9447,2,FALSE),"")</f>
        <v>INSIG BI SARGENTO AYUDANTE AZUL/AMARILLO</v>
      </c>
      <c r="F298">
        <v>8505705</v>
      </c>
      <c r="G298" t="s">
        <v>13040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8505707##</v>
      </c>
      <c r="D299" s="2"/>
      <c r="E299" s="2" t="str">
        <f>IFERROR(VLOOKUP(1*LEFT(C299,7),DF!$A$1:$F$9447,2,FALSE),"")</f>
        <v>INSIG BI SUB OFICIAL MAYOR AZUL/AMARILLO</v>
      </c>
      <c r="F299">
        <v>8505707</v>
      </c>
      <c r="G299" t="s">
        <v>13042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8505706##</v>
      </c>
      <c r="D300" s="2"/>
      <c r="E300" s="2" t="str">
        <f>IFERROR(VLOOKUP(1*LEFT(C300,7),DF!$A$1:$F$9447,2,FALSE),"")</f>
        <v>INSIG BI SUB OFICIAL PPAL AZUL/AMARILLO</v>
      </c>
      <c r="F300">
        <v>8505706</v>
      </c>
      <c r="G300" t="s">
        <v>13041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7700702##</v>
      </c>
      <c r="D301" s="2"/>
      <c r="E301" s="2" t="str">
        <f>IFERROR(VLOOKUP(1*LEFT(C301,7),DF!$A$1:$F$9447,2,FALSE),"")</f>
        <v>INSIG BLANCA CABO P/COLGAR RER</v>
      </c>
      <c r="F301">
        <v>7700702</v>
      </c>
      <c r="G301" t="s">
        <v>13022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7700700##</v>
      </c>
      <c r="D302" s="2"/>
      <c r="E302" s="2" t="str">
        <f>IFERROR(VLOOKUP(1*LEFT(C302,7),DF!$A$1:$F$9447,2,FALSE),"")</f>
        <v>INSIG BLANCA SARGENTO P/COLGAR RER</v>
      </c>
      <c r="F302">
        <v>7700700</v>
      </c>
      <c r="G302" t="s">
        <v>13021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7701102##</v>
      </c>
      <c r="D303" s="2"/>
      <c r="E303" s="2" t="str">
        <f>IFERROR(VLOOKUP(1*LEFT(C303,7),DF!$A$1:$F$9447,2,FALSE),"")</f>
        <v>INSIG GOMA NEGRA CABO 1RO COLGAR GOA</v>
      </c>
      <c r="F303" s="7">
        <v>7701102</v>
      </c>
      <c r="G303" t="s">
        <v>13853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7700505##</v>
      </c>
      <c r="D304" s="2"/>
      <c r="E304" s="2" t="str">
        <f>IFERROR(VLOOKUP(1*LEFT(C304,7),DF!$A$1:$F$9447,2,FALSE),"")</f>
        <v>INSIG ROJA CABO P/COLGAR</v>
      </c>
      <c r="F304">
        <v>7700505</v>
      </c>
      <c r="G304" t="s">
        <v>13018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7700502##</v>
      </c>
      <c r="D305" s="2"/>
      <c r="E305" s="2" t="str">
        <f>IFERROR(VLOOKUP(1*LEFT(C305,7),DF!$A$1:$F$9447,2,FALSE),"")</f>
        <v>INSIG ROJA CABO PRIMERO P/COLGAR RER</v>
      </c>
      <c r="F305">
        <v>7700502</v>
      </c>
      <c r="G305" t="s">
        <v>13017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7700508##</v>
      </c>
      <c r="D306" s="2"/>
      <c r="E306" s="2" t="str">
        <f>IFERROR(VLOOKUP(1*LEFT(C306,7),DF!$A$1:$F$9447,2,FALSE),"")</f>
        <v>INSIG ROJA PRINCIPAL P/COLGAR</v>
      </c>
      <c r="F306">
        <v>7700508</v>
      </c>
      <c r="G306" t="s">
        <v>13031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7700507##</v>
      </c>
      <c r="D307" s="2"/>
      <c r="E307" s="2" t="str">
        <f>IFERROR(VLOOKUP(1*LEFT(C307,7),DF!$A$1:$F$9447,2,FALSE),"")</f>
        <v>INSIG ROJA SARGENTO 1RO P/COLGAR</v>
      </c>
      <c r="F307">
        <v>7700507</v>
      </c>
      <c r="G307" t="s">
        <v>13020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7700501##</v>
      </c>
      <c r="D308" s="2"/>
      <c r="E308" s="2" t="str">
        <f>IFERROR(VLOOKUP(1*LEFT(C308,7),DF!$A$1:$F$9447,2,FALSE),"")</f>
        <v>INSIG ROJA SARGENTO AYTE P/COLGAR RER</v>
      </c>
      <c r="F308">
        <v>7700501</v>
      </c>
      <c r="G308" t="s">
        <v>13047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7700501##</v>
      </c>
      <c r="D309" s="2"/>
      <c r="E309" s="2" t="str">
        <f>IFERROR(VLOOKUP(1*LEFT(C309,7),DF!$A$1:$F$9447,2,FALSE),"")</f>
        <v>INSIG ROJA SARGENTO AYTE P/COLGAR RER</v>
      </c>
      <c r="F309">
        <v>7700501</v>
      </c>
      <c r="G309" t="s">
        <v>13047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7700506##</v>
      </c>
      <c r="D310" s="2"/>
      <c r="E310" s="2" t="str">
        <f>IFERROR(VLOOKUP(1*LEFT(C310,7),DF!$A$1:$F$9447,2,FALSE),"")</f>
        <v>INSIG ROJA SARGENTO P/COLGAR</v>
      </c>
      <c r="F310">
        <v>7700506</v>
      </c>
      <c r="G310" t="s">
        <v>13019</v>
      </c>
      <c r="H310">
        <v>1</v>
      </c>
    </row>
    <row r="311" spans="1:8" x14ac:dyDescent="0.25">
      <c r="A311">
        <v>16522</v>
      </c>
      <c r="B311" t="s">
        <v>4</v>
      </c>
      <c r="C311" t="str">
        <f>CONCATENATE(F311,"##")</f>
        <v>8513173##</v>
      </c>
      <c r="E311" t="str">
        <f>IFERROR(VLOOKUP(1*LEFT(C311,7),DF!$A$1:$F$9447,2,FALSE),"")</f>
        <v>KIT DE LIMPIEZA ARMA CORTA-BAQUETA-CEPILLO-ACEITE-PAÑO</v>
      </c>
      <c r="F311">
        <v>8513173</v>
      </c>
      <c r="G311" t="s">
        <v>12580</v>
      </c>
      <c r="H311">
        <v>2</v>
      </c>
    </row>
    <row r="312" spans="1:8" x14ac:dyDescent="0.25">
      <c r="A312" s="2">
        <v>16522</v>
      </c>
      <c r="B312" s="2" t="s">
        <v>4</v>
      </c>
      <c r="C312" s="2" t="str">
        <f>CONCATENATE(F312,"##")</f>
        <v>8513174##</v>
      </c>
      <c r="D312" s="2"/>
      <c r="E312" s="2" t="str">
        <f>IFERROR(VLOOKUP(1*LEFT(C312,7),DF!$A$1:$F$9447,2,FALSE),"")</f>
        <v>KIT DE LIMPIEZA LUBRI 50CC + BAQT9MM MAL</v>
      </c>
      <c r="F312">
        <v>8513174</v>
      </c>
      <c r="G312" t="s">
        <v>13902</v>
      </c>
      <c r="H312">
        <v>8</v>
      </c>
    </row>
    <row r="313" spans="1:8" x14ac:dyDescent="0.25">
      <c r="A313">
        <v>16522</v>
      </c>
      <c r="B313" t="s">
        <v>4</v>
      </c>
      <c r="C313" t="str">
        <f>CONCATENATE(F313,"##")</f>
        <v>8503600##</v>
      </c>
      <c r="E313" t="str">
        <f>IFERROR(VLOOKUP(1*LEFT(C313,7),DF!$A$1:$F$9447,2,FALSE),"")</f>
        <v>KIT RODILLERAS Y CODERAS TACTICAS 5637-2</v>
      </c>
      <c r="F313">
        <v>8503600</v>
      </c>
      <c r="G313" t="s">
        <v>12581</v>
      </c>
      <c r="H313">
        <v>5</v>
      </c>
    </row>
    <row r="314" spans="1:8" x14ac:dyDescent="0.25">
      <c r="A314">
        <v>16522</v>
      </c>
      <c r="B314" t="s">
        <v>4</v>
      </c>
      <c r="C314" t="str">
        <f>CONCATENATE(F314,"##")</f>
        <v>8520986##</v>
      </c>
      <c r="E314" t="str">
        <f>IFERROR(VLOOKUP(1*LEFT(C314,7),DF!$A$1:$F$9447,2,FALSE),"")</f>
        <v>LAPICERA TACTICA KUBOTAN B3</v>
      </c>
      <c r="F314">
        <v>8520986</v>
      </c>
      <c r="G314" t="s">
        <v>12582</v>
      </c>
      <c r="H314">
        <v>6</v>
      </c>
    </row>
    <row r="315" spans="1:8" x14ac:dyDescent="0.25">
      <c r="A315">
        <v>16522</v>
      </c>
      <c r="B315" t="s">
        <v>4</v>
      </c>
      <c r="C315" t="str">
        <f>CONCATENATE(F315,"##")</f>
        <v>8520165##</v>
      </c>
      <c r="E315" t="str">
        <f>IFERROR(VLOOKUP(1*LEFT(C315,7),DF!$A$1:$F$9447,2,FALSE),"")</f>
        <v>LINTERNA CON BALIZA RECARG. 0658</v>
      </c>
      <c r="F315">
        <v>8520165</v>
      </c>
      <c r="G315" t="s">
        <v>12583</v>
      </c>
      <c r="H315">
        <v>4</v>
      </c>
    </row>
    <row r="316" spans="1:8" x14ac:dyDescent="0.25">
      <c r="A316">
        <v>16522</v>
      </c>
      <c r="B316" t="s">
        <v>4</v>
      </c>
      <c r="C316" t="str">
        <f>CONCATENATE(F316,"##")</f>
        <v>8520000##</v>
      </c>
      <c r="E316" t="str">
        <f>IFERROR(VLOOKUP(1*LEFT(C316,7),DF!$A$1:$F$9447,2,FALSE),"")</f>
        <v>LINTERNA MINERA RECARGABLE 0602</v>
      </c>
      <c r="F316">
        <v>8520000</v>
      </c>
      <c r="G316" t="s">
        <v>12584</v>
      </c>
      <c r="H316">
        <v>8</v>
      </c>
    </row>
    <row r="317" spans="1:8" x14ac:dyDescent="0.25">
      <c r="A317">
        <v>16522</v>
      </c>
      <c r="B317" t="s">
        <v>4</v>
      </c>
      <c r="C317" t="str">
        <f>CONCATENATE(F317,"##")</f>
        <v>8520726##</v>
      </c>
      <c r="E317" t="str">
        <f>IFERROR(VLOOKUP(1*LEFT(C317,7),DF!$A$1:$F$9447,2,FALSE),"")</f>
        <v>LINTERNA PARA CICLISTAS USB 4726</v>
      </c>
      <c r="F317">
        <v>8520726</v>
      </c>
      <c r="G317" t="s">
        <v>12585</v>
      </c>
      <c r="H317">
        <v>6</v>
      </c>
    </row>
    <row r="318" spans="1:8" x14ac:dyDescent="0.25">
      <c r="A318" s="2">
        <v>16522</v>
      </c>
      <c r="B318" s="2" t="s">
        <v>4</v>
      </c>
      <c r="C318" s="2" t="str">
        <f>CONCATENATE(F318,"##")</f>
        <v>8518011##</v>
      </c>
      <c r="D318" s="2"/>
      <c r="E318" s="2" t="str">
        <f>IFERROR(VLOOKUP(1*LEFT(C318,7),DF!$A$1:$F$9447,2,FALSE),"")</f>
        <v>MASCARA NEOPRENE RERDA RER</v>
      </c>
      <c r="F318">
        <v>8518011</v>
      </c>
      <c r="G318" t="s">
        <v>13883</v>
      </c>
      <c r="H318">
        <v>3</v>
      </c>
    </row>
    <row r="319" spans="1:8" x14ac:dyDescent="0.25">
      <c r="A319" s="2">
        <v>16522</v>
      </c>
      <c r="B319" s="2" t="s">
        <v>4</v>
      </c>
      <c r="C319" s="2" t="str">
        <f>CONCATENATE(F319,"##")</f>
        <v>9003100##</v>
      </c>
      <c r="D319" s="2"/>
      <c r="E319" s="2" t="str">
        <f>IFERROR(VLOOKUP(1*LEFT(C319,7),DF!$A$1:$F$9447,2,FALSE),"")</f>
        <v>MEDIAS EXTREME RERDA CORTA RER</v>
      </c>
      <c r="F319" s="7">
        <v>9003100</v>
      </c>
      <c r="G319" t="s">
        <v>12586</v>
      </c>
      <c r="H319">
        <v>3</v>
      </c>
    </row>
    <row r="320" spans="1:8" x14ac:dyDescent="0.25">
      <c r="A320" s="2">
        <v>16522</v>
      </c>
      <c r="B320" s="2" t="s">
        <v>4</v>
      </c>
      <c r="C320" s="2" t="str">
        <f>CONCATENATE(F320,"##")</f>
        <v>9003101##</v>
      </c>
      <c r="D320" s="2"/>
      <c r="E320" s="2" t="str">
        <f>IFERROR(VLOOKUP(1*LEFT(C320,7),DF!$A$1:$F$9447,2,FALSE),"")</f>
        <v>MEDIAS EXTREME RERDA LARGA RER</v>
      </c>
      <c r="F320" s="7">
        <v>9003101</v>
      </c>
      <c r="G320" t="s">
        <v>12587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7707556##</v>
      </c>
      <c r="D321" s="2"/>
      <c r="E321" s="2" t="str">
        <f>IFERROR(VLOOKUP(1*LEFT(C321,7),DF!$A$1:$F$9447,2,FALSE),"")</f>
        <v>METAL ROMBO 16 MM. DORADO FEM</v>
      </c>
      <c r="F321">
        <v>7707556</v>
      </c>
      <c r="G321" t="s">
        <v>13933</v>
      </c>
      <c r="H321">
        <v>2</v>
      </c>
    </row>
    <row r="322" spans="1:8" x14ac:dyDescent="0.25">
      <c r="A322" s="2">
        <v>16522</v>
      </c>
      <c r="B322" s="2" t="s">
        <v>4</v>
      </c>
      <c r="C322" s="2" t="str">
        <f>CONCATENATE(F322,"##")</f>
        <v>7707557##</v>
      </c>
      <c r="D322" s="2"/>
      <c r="E322" s="2" t="str">
        <f>IFERROR(VLOOKUP(1*LEFT(C322,7),DF!$A$1:$F$9447,2,FALSE),"")</f>
        <v>METAL ROMBO 16MM.PLATEADO FEM</v>
      </c>
      <c r="F322">
        <v>7707557</v>
      </c>
      <c r="G322" t="s">
        <v>13936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>CONCATENATE(F323,"##")</f>
        <v>7707714##</v>
      </c>
      <c r="D323" s="2"/>
      <c r="E323" s="2" t="str">
        <f>IFERROR(VLOOKUP(1*LEFT(C323,7),DF!$A$1:$F$9447,2,FALSE),"")</f>
        <v>METAL ROMBO 22 DORADO FEM</v>
      </c>
      <c r="F323">
        <v>7707714</v>
      </c>
      <c r="G323" t="s">
        <v>13934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>CONCATENATE(F324,"##")</f>
        <v>7707154##</v>
      </c>
      <c r="D324" s="2"/>
      <c r="E324" s="2" t="str">
        <f>IFERROR(VLOOKUP(1*LEFT(C324,7),DF!$A$1:$F$9447,2,FALSE),"")</f>
        <v>METAL ROMBO 22 PLATEADO FEM</v>
      </c>
      <c r="F324">
        <v>7707154</v>
      </c>
      <c r="G324" t="s">
        <v>13937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>CONCATENATE(F325,"##")</f>
        <v>7707552##</v>
      </c>
      <c r="D325" s="2"/>
      <c r="E325" s="2" t="str">
        <f>IFERROR(VLOOKUP(1*LEFT(C325,7),DF!$A$1:$F$9447,2,FALSE),"")</f>
        <v>METAL ROMBO 25MM. DORADO FEM</v>
      </c>
      <c r="F325">
        <v>7707552</v>
      </c>
      <c r="G325" t="s">
        <v>13935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>CONCATENATE(F326,"##")</f>
        <v>7707553##</v>
      </c>
      <c r="D326" s="2"/>
      <c r="E326" s="2" t="str">
        <f>IFERROR(VLOOKUP(1*LEFT(C326,7),DF!$A$1:$F$9447,2,FALSE),"")</f>
        <v>METAL ROMBO 25MM. PLATEADO FEM</v>
      </c>
      <c r="F326">
        <v>7707553</v>
      </c>
      <c r="G326" t="s">
        <v>13938</v>
      </c>
      <c r="H326">
        <v>3</v>
      </c>
    </row>
    <row r="327" spans="1:8" x14ac:dyDescent="0.25">
      <c r="A327">
        <v>16522</v>
      </c>
      <c r="B327" t="s">
        <v>4</v>
      </c>
      <c r="C327" t="str">
        <f>CONCATENATE(F327,"##")</f>
        <v>7707566##</v>
      </c>
      <c r="E327" t="str">
        <f>IFERROR(VLOOKUP(1*LEFT(C327,7),DF!$A$1:$F$9447,2,FALSE),"")</f>
        <v>METAL SERRETA 8/10 ONDAS FEM</v>
      </c>
      <c r="F327">
        <v>7707566</v>
      </c>
      <c r="G327" t="s">
        <v>12588</v>
      </c>
      <c r="H327">
        <v>4</v>
      </c>
    </row>
    <row r="328" spans="1:8" x14ac:dyDescent="0.25">
      <c r="A328">
        <v>16522</v>
      </c>
      <c r="B328" t="s">
        <v>4</v>
      </c>
      <c r="C328" t="str">
        <f>CONCATENATE(F328,"##")</f>
        <v>7707260##</v>
      </c>
      <c r="E328" t="str">
        <f>IFERROR(VLOOKUP(1*LEFT(C328,7),DF!$A$1:$F$9447,2,FALSE),"")</f>
        <v>METAL SILBATO DE RONDA FEM</v>
      </c>
      <c r="F328">
        <v>7707260</v>
      </c>
      <c r="G328" t="s">
        <v>12589</v>
      </c>
      <c r="H328">
        <v>3</v>
      </c>
    </row>
    <row r="329" spans="1:8" x14ac:dyDescent="0.25">
      <c r="A329">
        <v>16522</v>
      </c>
      <c r="B329" t="s">
        <v>4</v>
      </c>
      <c r="C329" t="str">
        <f>CONCATENATE(F329,"##")</f>
        <v>7707562##</v>
      </c>
      <c r="E329" t="str">
        <f>IFERROR(VLOOKUP(1*LEFT(C329,7),DF!$A$1:$F$9447,2,FALSE),"")</f>
        <v>METAL SILBATO DE SALIDA FEM</v>
      </c>
      <c r="F329">
        <v>7707562</v>
      </c>
      <c r="G329" t="s">
        <v>12590</v>
      </c>
      <c r="H329">
        <v>4</v>
      </c>
    </row>
    <row r="330" spans="1:8" x14ac:dyDescent="0.25">
      <c r="A330">
        <v>16522</v>
      </c>
      <c r="B330" t="s">
        <v>4</v>
      </c>
      <c r="C330" t="str">
        <f>CONCATENATE(F330,"##")</f>
        <v>8708638##</v>
      </c>
      <c r="E330" t="str">
        <f>IFERROR(VLOOKUP(1*LEFT(C330,7),DF!$A$1:$F$9447,2,FALSE),"")</f>
        <v>MOCHILA CHALECO MOLLE DOBLE FUNCION 9638</v>
      </c>
      <c r="F330">
        <v>8708638</v>
      </c>
      <c r="G330" t="s">
        <v>12591</v>
      </c>
      <c r="H330">
        <v>2</v>
      </c>
    </row>
    <row r="331" spans="1:8" x14ac:dyDescent="0.25">
      <c r="A331" s="2">
        <v>16522</v>
      </c>
      <c r="B331" s="2" t="s">
        <v>4</v>
      </c>
      <c r="C331" s="2" t="str">
        <f>CONCATENATE(F331,"##")</f>
        <v>8520513##</v>
      </c>
      <c r="D331" s="2"/>
      <c r="E331" s="2" t="str">
        <f>IFERROR(VLOOKUP(1*LEFT(C331,7),DF!$A$1:$F$9447,2,FALSE),"")</f>
        <v>MOSQUETON ACERO/GRIS 9CM C/ROSCA 5565/4</v>
      </c>
      <c r="F331">
        <v>8520513</v>
      </c>
      <c r="G331" t="s">
        <v>13929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>CONCATENATE(F332,"##")</f>
        <v>8703163##</v>
      </c>
      <c r="D332" s="2"/>
      <c r="E332" s="2" t="str">
        <f>IFERROR(VLOOKUP(1*LEFT(C332,7),DF!$A$1:$F$9447,2,FALSE),"")</f>
        <v>MUSLERA C/REMACHE SIMPLE 043</v>
      </c>
      <c r="F332">
        <v>8703163</v>
      </c>
      <c r="G332" t="s">
        <v>13909</v>
      </c>
      <c r="H332">
        <v>5</v>
      </c>
    </row>
    <row r="333" spans="1:8" x14ac:dyDescent="0.25">
      <c r="A333" s="2">
        <v>16522</v>
      </c>
      <c r="B333" s="2" t="s">
        <v>4</v>
      </c>
      <c r="C333" s="2" t="str">
        <f>CONCATENATE(F333,"##")</f>
        <v>8703616##</v>
      </c>
      <c r="D333" s="2"/>
      <c r="E333" s="2" t="str">
        <f>IFERROR(VLOOKUP(1*LEFT(C333,7),DF!$A$1:$F$9447,2,FALSE),"")</f>
        <v>MUSLERA POLIA PORTA C DOBLE TERM T616 TB</v>
      </c>
      <c r="F333">
        <v>8703616</v>
      </c>
      <c r="G333" t="s">
        <v>13076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8703621##</v>
      </c>
      <c r="D334" s="2"/>
      <c r="E334" s="2" t="str">
        <f>IFERROR(VLOOKUP(1*LEFT(C334,7),DF!$A$1:$F$9447,2,FALSE),"")</f>
        <v>MUSLERA TERMOF C PORTA CARGADOR T621 TB</v>
      </c>
      <c r="F334">
        <v>8703621</v>
      </c>
      <c r="G334" t="s">
        <v>13075</v>
      </c>
      <c r="H334">
        <v>2</v>
      </c>
    </row>
    <row r="335" spans="1:8" x14ac:dyDescent="0.25">
      <c r="A335" s="2">
        <v>16522</v>
      </c>
      <c r="B335" s="2" t="s">
        <v>4</v>
      </c>
      <c r="C335" s="2" t="str">
        <f>CONCATENATE(F335,"##")</f>
        <v>8703620##</v>
      </c>
      <c r="D335" s="2"/>
      <c r="E335" s="2" t="str">
        <f>IFERROR(VLOOKUP(1*LEFT(C335,7),DF!$A$1:$F$9447,2,FALSE),"")</f>
        <v>MUSLERA TERMOF SIMPLE  T620 TB</v>
      </c>
      <c r="F335">
        <v>8703620</v>
      </c>
      <c r="G335" t="s">
        <v>13077</v>
      </c>
      <c r="H335">
        <v>3</v>
      </c>
    </row>
    <row r="336" spans="1:8" x14ac:dyDescent="0.25">
      <c r="A336">
        <v>16522</v>
      </c>
      <c r="B336" t="s">
        <v>4</v>
      </c>
      <c r="C336" t="str">
        <f>CONCATENATE(F336,"##")</f>
        <v>8520283##</v>
      </c>
      <c r="E336" t="str">
        <f>IFERROR(VLOOKUP(1*LEFT(C336,7),DF!$A$1:$F$9447,2,FALSE),"")</f>
        <v>NAVAJA 20 CM BUCK CAMUFLADA 14-28/3</v>
      </c>
      <c r="F336">
        <v>8520283</v>
      </c>
      <c r="G336" t="s">
        <v>12592</v>
      </c>
      <c r="H336">
        <v>5</v>
      </c>
    </row>
    <row r="337" spans="1:9" x14ac:dyDescent="0.25">
      <c r="A337">
        <v>16522</v>
      </c>
      <c r="B337" t="s">
        <v>4</v>
      </c>
      <c r="C337" t="str">
        <f>CONCATENATE(F337,"##")</f>
        <v>8520802##</v>
      </c>
      <c r="E337" t="str">
        <f>IFERROR(VLOOKUP(1*LEFT(C337,7),DF!$A$1:$F$9447,2,FALSE),"")</f>
        <v>NAVAJA 2100 GRIS/MADERA BROWNING</v>
      </c>
      <c r="F337">
        <v>8520802</v>
      </c>
      <c r="G337" t="s">
        <v>12593</v>
      </c>
      <c r="H337">
        <v>3</v>
      </c>
    </row>
    <row r="338" spans="1:9" x14ac:dyDescent="0.25">
      <c r="A338">
        <v>16522</v>
      </c>
      <c r="B338" t="s">
        <v>4</v>
      </c>
      <c r="C338" t="str">
        <f>CONCATENATE(F338,"##")</f>
        <v>8521307##</v>
      </c>
      <c r="E338" t="str">
        <f>IFERROR(VLOOKUP(1*LEFT(C338,7),DF!$A$1:$F$9447,2,FALSE),"")</f>
        <v>NAVAJA CHONGMING IMP 2022</v>
      </c>
      <c r="F338">
        <v>8521307</v>
      </c>
      <c r="G338" t="s">
        <v>12594</v>
      </c>
      <c r="H338">
        <v>4</v>
      </c>
    </row>
    <row r="339" spans="1:9" x14ac:dyDescent="0.25">
      <c r="A339">
        <v>16522</v>
      </c>
      <c r="B339" t="s">
        <v>4</v>
      </c>
      <c r="C339" t="str">
        <f>CONCATENATE(F339,"##")</f>
        <v>8520458##</v>
      </c>
      <c r="E339" t="str">
        <f>IFERROR(VLOOKUP(1*LEFT(C339,7),DF!$A$1:$F$9447,2,FALSE),"")</f>
        <v>NAVAJA GRIS INOX 2110 16CM</v>
      </c>
      <c r="F339">
        <v>8520458</v>
      </c>
      <c r="G339" t="s">
        <v>12595</v>
      </c>
      <c r="H339">
        <v>4</v>
      </c>
    </row>
    <row r="340" spans="1:9" x14ac:dyDescent="0.25">
      <c r="A340">
        <v>16522</v>
      </c>
      <c r="B340" t="s">
        <v>4</v>
      </c>
      <c r="C340" t="str">
        <f>CONCATENATE(F340,"##")</f>
        <v>8520710##</v>
      </c>
      <c r="E340" t="str">
        <f>IFERROR(VLOOKUP(1*LEFT(C340,7),DF!$A$1:$F$9447,2,FALSE),"")</f>
        <v>NAVAJA JEEP GRIS 21CM DA132</v>
      </c>
      <c r="F340">
        <v>8520710</v>
      </c>
      <c r="G340" t="s">
        <v>12596</v>
      </c>
      <c r="H340">
        <v>5</v>
      </c>
    </row>
    <row r="341" spans="1:9" x14ac:dyDescent="0.25">
      <c r="A341">
        <v>16522</v>
      </c>
      <c r="B341" t="s">
        <v>4</v>
      </c>
      <c r="C341" t="str">
        <f>CONCATENATE(F341,"##")</f>
        <v>8520101##</v>
      </c>
      <c r="E341" t="str">
        <f>IFERROR(VLOOKUP(1*LEFT(C341,7),DF!$A$1:$F$9447,2,FALSE),"")</f>
        <v>NAVAJA KARAMBIT TACTICA DA46</v>
      </c>
      <c r="F341">
        <v>8520101</v>
      </c>
      <c r="G341" t="s">
        <v>12597</v>
      </c>
      <c r="H341">
        <v>6</v>
      </c>
    </row>
    <row r="342" spans="1:9" x14ac:dyDescent="0.25">
      <c r="A342">
        <v>16522</v>
      </c>
      <c r="B342" t="s">
        <v>4</v>
      </c>
      <c r="C342" t="str">
        <f>CONCATENATE(F342,"##")</f>
        <v>8520230##</v>
      </c>
      <c r="E342" t="str">
        <f>IFERROR(VLOOKUP(1*LEFT(C342,7),DF!$A$1:$F$9447,2,FALSE),"")</f>
        <v>NAVAJA MARIPOSA GRIS  19-12/3</v>
      </c>
      <c r="F342">
        <v>8520230</v>
      </c>
      <c r="G342" t="s">
        <v>12598</v>
      </c>
      <c r="H342">
        <v>3</v>
      </c>
    </row>
    <row r="343" spans="1:9" x14ac:dyDescent="0.25">
      <c r="A343">
        <v>16522</v>
      </c>
      <c r="B343" t="s">
        <v>4</v>
      </c>
      <c r="C343" t="str">
        <f>CONCATENATE(F343,"##")</f>
        <v>8520814##</v>
      </c>
      <c r="E343" t="str">
        <f>IFERROR(VLOOKUP(1*LEFT(C343,7),DF!$A$1:$F$9447,2,FALSE),"")</f>
        <v>NAVAJA STEEL KNIFE DA15</v>
      </c>
      <c r="F343">
        <v>8520814</v>
      </c>
      <c r="G343" t="s">
        <v>12599</v>
      </c>
      <c r="H343">
        <v>5</v>
      </c>
    </row>
    <row r="344" spans="1:9" x14ac:dyDescent="0.25">
      <c r="A344">
        <v>16522</v>
      </c>
      <c r="B344" t="s">
        <v>4</v>
      </c>
      <c r="C344" t="str">
        <f>CONCATENATE(F344,"##")</f>
        <v>8505074##</v>
      </c>
      <c r="E344" t="str">
        <f>IFERROR(VLOOKUP(1*LEFT(C344,7),DF!$A$1:$F$9447,2,FALSE),"")</f>
        <v>NOMBRE BORD MOTORIZADA BI</v>
      </c>
      <c r="F344" s="7">
        <v>8505074</v>
      </c>
      <c r="G344" t="s">
        <v>12600</v>
      </c>
      <c r="H344">
        <v>1</v>
      </c>
    </row>
    <row r="345" spans="1:9" x14ac:dyDescent="0.25">
      <c r="A345">
        <v>16522</v>
      </c>
      <c r="B345" t="s">
        <v>4</v>
      </c>
      <c r="C345" t="str">
        <f>CONCATENATE(F345,"##")</f>
        <v>8400070##</v>
      </c>
      <c r="E345" t="str">
        <f>IFERROR(VLOOKUP(1*LEFT(C345,7),DF!$A$1:$F$9447,2,FALSE),"")</f>
        <v>OREJERAS SIN PIEL RER</v>
      </c>
      <c r="F345">
        <v>8400070</v>
      </c>
      <c r="G345" t="s">
        <v>12601</v>
      </c>
      <c r="H345">
        <v>2</v>
      </c>
    </row>
    <row r="346" spans="1:9" x14ac:dyDescent="0.25">
      <c r="A346" s="2">
        <v>16522</v>
      </c>
      <c r="B346" s="2" t="s">
        <v>4</v>
      </c>
      <c r="C346" s="2" t="str">
        <f>CONCATENATE(F346,"##")</f>
        <v>1130008##</v>
      </c>
      <c r="D346" s="2"/>
      <c r="E346" s="2" t="str">
        <f>IFERROR(VLOOKUP(1*LEFT(C346,7),DF!$A$1:$F$9447,2,FALSE),"")</f>
        <v>OVERALL MULTIBOL GAB AZUL RER</v>
      </c>
      <c r="F346">
        <v>1130008</v>
      </c>
      <c r="G346" t="s">
        <v>13104</v>
      </c>
      <c r="H346">
        <v>2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>CONCATENATE(F347,"##")</f>
        <v>1130713##</v>
      </c>
      <c r="D347" s="2"/>
      <c r="E347" s="2" t="str">
        <f>IFERROR(VLOOKUP(1*LEFT(C347,7),DF!$A$1:$F$9447,2,FALSE),"")</f>
        <v>OVERALL MULTIBOL GAB GRIS</v>
      </c>
      <c r="F347">
        <v>1130713</v>
      </c>
      <c r="G347" t="s">
        <v>13105</v>
      </c>
      <c r="H347">
        <v>3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1130009##</v>
      </c>
      <c r="D348" s="2"/>
      <c r="E348" s="2" t="str">
        <f>IFERROR(VLOOKUP(1*LEFT(C348,7),DF!$A$1:$F$9447,2,FALSE),"")</f>
        <v>OVERALL MULTIBOL GAB NEGRO RER</v>
      </c>
      <c r="F348">
        <v>1130009</v>
      </c>
      <c r="G348" t="s">
        <v>13106</v>
      </c>
      <c r="H348">
        <v>2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>CONCATENATE(F349,"##")</f>
        <v>1130495##</v>
      </c>
      <c r="D349" s="2"/>
      <c r="E349" s="2" t="str">
        <f>IFERROR(VLOOKUP(1*LEFT(C349,7),DF!$A$1:$F$9447,2,FALSE),"")</f>
        <v>OVERALL MULTIBOL RIP AZUL RER</v>
      </c>
      <c r="F349">
        <v>1130495</v>
      </c>
      <c r="G349" t="s">
        <v>13107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tr">
        <f>CONCATENATE(F350,"##")</f>
        <v>1130900##</v>
      </c>
      <c r="D350" s="2"/>
      <c r="E350" s="2" t="str">
        <f>IFERROR(VLOOKUP(1*LEFT(C350,7),DF!$A$1:$F$9447,2,FALSE),"")</f>
        <v>OVERALL MULTIBOL RIP NEGRO RER</v>
      </c>
      <c r="F350">
        <v>1130900</v>
      </c>
      <c r="G350" t="s">
        <v>13108</v>
      </c>
      <c r="H350">
        <v>15</v>
      </c>
      <c r="I350">
        <v>1</v>
      </c>
    </row>
    <row r="351" spans="1:9" x14ac:dyDescent="0.25">
      <c r="A351">
        <v>16522</v>
      </c>
      <c r="B351" t="s">
        <v>4</v>
      </c>
      <c r="C351" t="str">
        <f>CONCATENATE(F351,"##")</f>
        <v>8513303##</v>
      </c>
      <c r="E351" t="str">
        <f>IFERROR(VLOOKUP(1*LEFT(C351,7),DF!$A$1:$F$9447,2,FALSE),"")</f>
        <v>PANIO P LIMPIAR ARMA CAL 38 AL 45 KAE</v>
      </c>
      <c r="F351">
        <v>8513303</v>
      </c>
      <c r="G351" t="s">
        <v>12602</v>
      </c>
      <c r="H351">
        <v>2</v>
      </c>
    </row>
    <row r="352" spans="1:9" x14ac:dyDescent="0.25">
      <c r="A352">
        <v>16522</v>
      </c>
      <c r="B352" t="s">
        <v>4</v>
      </c>
      <c r="C352" t="str">
        <f>CONCATENATE(F352,"##")</f>
        <v>8505224##</v>
      </c>
      <c r="E352" t="str">
        <f>IFERROR(VLOOKUP(1*LEFT(C352,7),DF!$A$1:$F$9447,2,FALSE),"")</f>
        <v>PECT 1 ROMBO BASE FRAN PALMA C. INSP BI</v>
      </c>
      <c r="F352" s="7">
        <v>8505224</v>
      </c>
      <c r="G352" t="s">
        <v>12603</v>
      </c>
      <c r="H352">
        <v>1</v>
      </c>
    </row>
    <row r="353" spans="1:8" x14ac:dyDescent="0.25">
      <c r="A353" s="2">
        <v>16522</v>
      </c>
      <c r="B353" s="2" t="s">
        <v>4</v>
      </c>
      <c r="C353" s="2" t="str">
        <f>CONCATENATE(F353,"##")</f>
        <v>8505224##</v>
      </c>
      <c r="D353" s="2"/>
      <c r="E353" s="2" t="str">
        <f>IFERROR(VLOOKUP(1*LEFT(C353,7),DF!$A$1:$F$9447,2,FALSE),"")</f>
        <v>PECT 1 ROMBO BASE FRAN PALMA C. INSP BI</v>
      </c>
      <c r="F353">
        <v>8505224</v>
      </c>
      <c r="G353" t="s">
        <v>12603</v>
      </c>
      <c r="H353">
        <v>1</v>
      </c>
    </row>
    <row r="354" spans="1:8" x14ac:dyDescent="0.25">
      <c r="A354" s="2">
        <v>16522</v>
      </c>
      <c r="B354" s="2" t="s">
        <v>4</v>
      </c>
      <c r="C354" s="2" t="str">
        <f>CONCATENATE(F354,"##")</f>
        <v>8505262##</v>
      </c>
      <c r="D354" s="2"/>
      <c r="E354" s="2" t="str">
        <f>IFERROR(VLOOKUP(1*LEFT(C354,7),DF!$A$1:$F$9447,2,FALSE),"")</f>
        <v>PECT 1 ROMBO Y SERRETA SUBCOMIS BARG BI</v>
      </c>
      <c r="F354">
        <v>8505262</v>
      </c>
      <c r="G354" t="s">
        <v>13059</v>
      </c>
      <c r="H354">
        <v>1</v>
      </c>
    </row>
    <row r="355" spans="1:8" x14ac:dyDescent="0.25">
      <c r="A355" s="2">
        <v>16522</v>
      </c>
      <c r="B355" s="2" t="s">
        <v>4</v>
      </c>
      <c r="C355" s="2" t="str">
        <f>CONCATENATE(F355,"##")</f>
        <v>8505233##</v>
      </c>
      <c r="D355" s="2"/>
      <c r="E355" s="2" t="str">
        <f>IFERROR(VLOOKUP(1*LEFT(C355,7),DF!$A$1:$F$9447,2,FALSE),"")</f>
        <v>PECT 2 ROMBOS CHICOS 1 DOR Y 1 PLA  BI</v>
      </c>
      <c r="F355">
        <v>8505233</v>
      </c>
      <c r="G355" t="s">
        <v>13058</v>
      </c>
      <c r="H355">
        <v>1</v>
      </c>
    </row>
    <row r="356" spans="1:8" x14ac:dyDescent="0.25">
      <c r="A356">
        <v>16522</v>
      </c>
      <c r="B356" t="s">
        <v>4</v>
      </c>
      <c r="C356" t="str">
        <f>CONCATENATE(F356,"##")</f>
        <v>8505196##</v>
      </c>
      <c r="E356" t="str">
        <f>IFERROR(VLOOKUP(1*LEFT(C356,7),DF!$A$1:$F$9447,2,FALSE),"")</f>
        <v>PECT 2 ROMBOS CHICOS PLAT BARG BI</v>
      </c>
      <c r="F356" s="7">
        <v>8505196</v>
      </c>
      <c r="G356" t="s">
        <v>12604</v>
      </c>
      <c r="H356">
        <v>1</v>
      </c>
    </row>
    <row r="357" spans="1:8" x14ac:dyDescent="0.25">
      <c r="A357" s="2">
        <v>16522</v>
      </c>
      <c r="B357" s="2" t="s">
        <v>4</v>
      </c>
      <c r="C357" s="2" t="str">
        <f>CONCATENATE(F357,"##")</f>
        <v>8505196##</v>
      </c>
      <c r="D357" s="2"/>
      <c r="E357" s="2" t="str">
        <f>IFERROR(VLOOKUP(1*LEFT(C357,7),DF!$A$1:$F$9447,2,FALSE),"")</f>
        <v>PECT 2 ROMBOS CHICOS PLAT BARG BI</v>
      </c>
      <c r="F357">
        <v>8505196</v>
      </c>
      <c r="G357" t="s">
        <v>12604</v>
      </c>
      <c r="H357">
        <v>1</v>
      </c>
    </row>
    <row r="358" spans="1:8" x14ac:dyDescent="0.25">
      <c r="A358">
        <v>16522</v>
      </c>
      <c r="B358" t="s">
        <v>4</v>
      </c>
      <c r="C358" t="str">
        <f>CONCATENATE(F358,"##")</f>
        <v>8505329##</v>
      </c>
      <c r="E358" t="str">
        <f>IFERROR(VLOOKUP(1*LEFT(C358,7),DF!$A$1:$F$9447,2,FALSE),"")</f>
        <v>PECT 2 ROMBOS DOR/PLA  SERR CRIO BARG BI</v>
      </c>
      <c r="F358" s="7">
        <v>8505329</v>
      </c>
      <c r="G358" t="s">
        <v>12605</v>
      </c>
      <c r="H358">
        <v>1</v>
      </c>
    </row>
    <row r="359" spans="1:8" x14ac:dyDescent="0.25">
      <c r="A359" s="2">
        <v>16522</v>
      </c>
      <c r="B359" s="2" t="s">
        <v>4</v>
      </c>
      <c r="C359" s="2" t="str">
        <f>CONCATENATE(F359,"##")</f>
        <v>8505329##</v>
      </c>
      <c r="D359" s="2"/>
      <c r="E359" s="2" t="str">
        <f>IFERROR(VLOOKUP(1*LEFT(C359,7),DF!$A$1:$F$9447,2,FALSE),"")</f>
        <v>PECT 2 ROMBOS DOR/PLA  SERR CRIO BARG BI</v>
      </c>
      <c r="F359">
        <v>8505329</v>
      </c>
      <c r="G359" t="s">
        <v>12605</v>
      </c>
      <c r="H359">
        <v>1</v>
      </c>
    </row>
    <row r="360" spans="1:8" x14ac:dyDescent="0.25">
      <c r="A360">
        <v>16522</v>
      </c>
      <c r="B360" t="s">
        <v>4</v>
      </c>
      <c r="C360" t="str">
        <f>CONCATENATE(F360,"##")</f>
        <v>8505243##</v>
      </c>
      <c r="E360" t="str">
        <f>IFERROR(VLOOKUP(1*LEFT(C360,7),DF!$A$1:$F$9447,2,FALSE),"")</f>
        <v>PECT 3 ROMBO CHICOS OF. PPAL BARG BI</v>
      </c>
      <c r="F360" s="7">
        <v>8505243</v>
      </c>
      <c r="G360" t="s">
        <v>12606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>CONCATENATE(F361,"##")</f>
        <v>8505243##</v>
      </c>
      <c r="D361" s="2"/>
      <c r="E361" s="2" t="str">
        <f>IFERROR(VLOOKUP(1*LEFT(C361,7),DF!$A$1:$F$9447,2,FALSE),"")</f>
        <v>PECT 3 ROMBO CHICOS OF. PPAL BARG BI</v>
      </c>
      <c r="F361">
        <v>8505243</v>
      </c>
      <c r="G361" t="s">
        <v>12606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>CONCATENATE(F362,"##")</f>
        <v>8505163##</v>
      </c>
      <c r="D362" s="2"/>
      <c r="E362" s="2" t="str">
        <f>IFERROR(VLOOKUP(1*LEFT(C362,7),DF!$A$1:$F$9447,2,FALSE),"")</f>
        <v>PECT BI AUXILIAR BEIGE BI</v>
      </c>
      <c r="F362" s="7">
        <v>8505163</v>
      </c>
      <c r="G362" t="s">
        <v>12607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>CONCATENATE(F363,"##")</f>
        <v>8505592##</v>
      </c>
      <c r="D363" s="2"/>
      <c r="E363" s="2" t="str">
        <f>IFERROR(VLOOKUP(1*LEFT(C363,7),DF!$A$1:$F$9447,2,FALSE),"")</f>
        <v>PECT BORD AUXILIAR CUARTO</v>
      </c>
      <c r="F363">
        <v>8505592</v>
      </c>
      <c r="G363" t="s">
        <v>13955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>CONCATENATE(F364,"##")</f>
        <v>8505590##</v>
      </c>
      <c r="D364" s="2"/>
      <c r="E364" s="2" t="str">
        <f>IFERROR(VLOOKUP(1*LEFT(C364,7),DF!$A$1:$F$9447,2,FALSE),"")</f>
        <v>PECT BORD AUXILIAR TERCERO</v>
      </c>
      <c r="F364">
        <v>8505590</v>
      </c>
      <c r="G364" t="s">
        <v>13010</v>
      </c>
      <c r="H364">
        <v>1</v>
      </c>
    </row>
    <row r="365" spans="1:8" x14ac:dyDescent="0.25">
      <c r="A365">
        <v>16522</v>
      </c>
      <c r="B365" t="s">
        <v>4</v>
      </c>
      <c r="C365" t="str">
        <f>CONCATENATE(F365,"##")</f>
        <v>8505101##</v>
      </c>
      <c r="E365" t="str">
        <f>IFERROR(VLOOKUP(1*LEFT(C365,7),DF!$A$1:$F$9447,2,FALSE),"")</f>
        <v>PECT BORD RUEDA ALADA POL VIAL BAND RER</v>
      </c>
      <c r="F365" s="7">
        <v>8505101</v>
      </c>
      <c r="G365" t="s">
        <v>12608</v>
      </c>
      <c r="H365">
        <v>1</v>
      </c>
    </row>
    <row r="366" spans="1:8" x14ac:dyDescent="0.25">
      <c r="A366">
        <v>16522</v>
      </c>
      <c r="B366" t="s">
        <v>4</v>
      </c>
      <c r="C366" t="str">
        <f>CONCATENATE(F366,"##")</f>
        <v>8505109##</v>
      </c>
      <c r="E366" t="str">
        <f>IFERROR(VLOOKUP(1*LEFT(C366,7),DF!$A$1:$F$9447,2,FALSE),"")</f>
        <v>PECT BORD RUEDA ALADA VIAL BAJA VISI BI</v>
      </c>
      <c r="F366" s="7">
        <v>8505109</v>
      </c>
      <c r="G366" t="s">
        <v>12609</v>
      </c>
      <c r="H366">
        <v>1</v>
      </c>
    </row>
    <row r="367" spans="1:8" x14ac:dyDescent="0.25">
      <c r="A367">
        <v>16522</v>
      </c>
      <c r="B367" t="s">
        <v>4</v>
      </c>
      <c r="C367" t="str">
        <f>CONCATENATE(F367,"##")</f>
        <v>8505023##</v>
      </c>
      <c r="E367" t="str">
        <f>IFERROR(VLOOKUP(1*LEFT(C367,7),DF!$A$1:$F$9447,2,FALSE),"")</f>
        <v>PECT ESC CADETES 1 BARRA AZ BI</v>
      </c>
      <c r="F367" s="7">
        <v>8505023</v>
      </c>
      <c r="G367" t="s">
        <v>12610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>CONCATENATE(F368,"##")</f>
        <v>8505023##</v>
      </c>
      <c r="D368" s="2"/>
      <c r="E368" s="2" t="str">
        <f>IFERROR(VLOOKUP(1*LEFT(C368,7),DF!$A$1:$F$9447,2,FALSE),"")</f>
        <v>PECT ESC CADETES 1 BARRA AZ BI</v>
      </c>
      <c r="F368">
        <v>8505023</v>
      </c>
      <c r="G368" t="s">
        <v>12610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>CONCATENATE(F369,"##")</f>
        <v>8505021##</v>
      </c>
      <c r="D369" s="2"/>
      <c r="E369" s="2" t="str">
        <f>IFERROR(VLOOKUP(1*LEFT(C369,7),DF!$A$1:$F$9447,2,FALSE),"")</f>
        <v>PECT ESC CADETES 1 BARRA BL OJAL BI</v>
      </c>
      <c r="F369">
        <v>8505021</v>
      </c>
      <c r="G369" t="s">
        <v>12817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>CONCATENATE(F370,"##")</f>
        <v>8505031##</v>
      </c>
      <c r="D370" s="2"/>
      <c r="E370" s="2" t="str">
        <f>IFERROR(VLOOKUP(1*LEFT(C370,7),DF!$A$1:$F$9447,2,FALSE),"")</f>
        <v>PECT ESC CADETES 1 BARRA NE RER</v>
      </c>
      <c r="F370">
        <v>8505031</v>
      </c>
      <c r="G370" t="s">
        <v>12820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>CONCATENATE(F371,"##")</f>
        <v>8505024##</v>
      </c>
      <c r="D371" s="2"/>
      <c r="E371" s="2" t="str">
        <f>IFERROR(VLOOKUP(1*LEFT(C371,7),DF!$A$1:$F$9447,2,FALSE),"")</f>
        <v>PECT ESC CADETES 2 BARRAS AZ BI</v>
      </c>
      <c r="F371">
        <v>8505024</v>
      </c>
      <c r="G371" t="s">
        <v>12819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>CONCATENATE(F372,"##")</f>
        <v>8505022##</v>
      </c>
      <c r="D372" s="2"/>
      <c r="E372" s="2" t="str">
        <f>IFERROR(VLOOKUP(1*LEFT(C372,7),DF!$A$1:$F$9447,2,FALSE),"")</f>
        <v>PECT ESC CADETES 2 BARRAS BL OJAL BI</v>
      </c>
      <c r="F372">
        <v>8505022</v>
      </c>
      <c r="G372" t="s">
        <v>12818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>CONCATENATE(F373,"##")</f>
        <v>8505032##</v>
      </c>
      <c r="D373" s="2"/>
      <c r="E373" s="2" t="str">
        <f>IFERROR(VLOOKUP(1*LEFT(C373,7),DF!$A$1:$F$9447,2,FALSE),"")</f>
        <v>PECT ESC CADETES 2 BARRAS NE RER</v>
      </c>
      <c r="F373">
        <v>8505032</v>
      </c>
      <c r="G373" t="s">
        <v>12821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>CONCATENATE(F374,"##")</f>
        <v>8505801##</v>
      </c>
      <c r="D374" s="2"/>
      <c r="E374" s="2" t="str">
        <f>IFERROR(VLOOKUP(1*LEFT(C374,7),DF!$A$1:$F$9447,2,FALSE),"")</f>
        <v>PECT GOMA PALABRA POLICIA PECHO</v>
      </c>
      <c r="F374">
        <v>8505801</v>
      </c>
      <c r="G374" t="s">
        <v>13013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>CONCATENATE(F375,"##")</f>
        <v>8505160##</v>
      </c>
      <c r="D375" s="2"/>
      <c r="E375" s="2" t="str">
        <f>IFERROR(VLOOKUP(1*LEFT(C375,7),DF!$A$1:$F$9447,2,FALSE),"")</f>
        <v>PECT. 1 ROMBO CHICO DORADO BARG BI</v>
      </c>
      <c r="F375">
        <v>8505160</v>
      </c>
      <c r="G375" t="s">
        <v>13057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>CONCATENATE(F376,"##")</f>
        <v>8505159##</v>
      </c>
      <c r="D376" s="2"/>
      <c r="E376" s="2" t="str">
        <f>IFERROR(VLOOKUP(1*LEFT(C376,7),DF!$A$1:$F$9447,2,FALSE),"")</f>
        <v>PECT. 1 ROMBO CHICO PLATEADO  BARG BI</v>
      </c>
      <c r="F376">
        <v>8505159</v>
      </c>
      <c r="G376" t="s">
        <v>13056</v>
      </c>
      <c r="H376">
        <v>1</v>
      </c>
    </row>
    <row r="377" spans="1:8" x14ac:dyDescent="0.25">
      <c r="A377">
        <v>16522</v>
      </c>
      <c r="B377" t="s">
        <v>4</v>
      </c>
      <c r="C377" t="str">
        <f>CONCATENATE(F377,"##")</f>
        <v>8505367##</v>
      </c>
      <c r="E377" t="str">
        <f>IFERROR(VLOOKUP(1*LEFT(C377,7),DF!$A$1:$F$9447,2,FALSE),"")</f>
        <v>PECT. 3 ROMBOS Y PALMA  CRIO GRAL BI</v>
      </c>
      <c r="F377" s="7">
        <v>8505367</v>
      </c>
      <c r="G377" t="s">
        <v>12611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>CONCATENATE(F378,"##")</f>
        <v>8505367##</v>
      </c>
      <c r="D378" s="2"/>
      <c r="E378" s="2" t="str">
        <f>IFERROR(VLOOKUP(1*LEFT(C378,7),DF!$A$1:$F$9447,2,FALSE),"")</f>
        <v>PECT. 3 ROMBOS Y PALMA  CRIO GRAL BI</v>
      </c>
      <c r="F378">
        <v>8505367</v>
      </c>
      <c r="G378" t="s">
        <v>12611</v>
      </c>
      <c r="H378">
        <v>1</v>
      </c>
    </row>
    <row r="379" spans="1:8" x14ac:dyDescent="0.25">
      <c r="A379">
        <v>16522</v>
      </c>
      <c r="B379" t="s">
        <v>4</v>
      </c>
      <c r="C379" t="str">
        <f>CONCATENATE(F379,"##")</f>
        <v>8505131##</v>
      </c>
      <c r="E379" t="str">
        <f>IFERROR(VLOOKUP(1*LEFT(C379,7),DF!$A$1:$F$9447,2,FALSE),"")</f>
        <v>PECT. ALAS BORD MOTORISTA TVS506-13 RER</v>
      </c>
      <c r="F379" s="7">
        <v>8505131</v>
      </c>
      <c r="G379" t="s">
        <v>12612</v>
      </c>
      <c r="H379">
        <v>1</v>
      </c>
    </row>
    <row r="380" spans="1:8" x14ac:dyDescent="0.25">
      <c r="A380">
        <v>16522</v>
      </c>
      <c r="B380" t="s">
        <v>4</v>
      </c>
      <c r="C380" t="str">
        <f>CONCATENATE(F380,"##")</f>
        <v>8505130##</v>
      </c>
      <c r="E380" t="str">
        <f>IFERROR(VLOOKUP(1*LEFT(C380,7),DF!$A$1:$F$9447,2,FALSE),"")</f>
        <v>PECT. ALAS DE CHOFER TVS 465-02 BI</v>
      </c>
      <c r="F380" s="7">
        <v>8505130</v>
      </c>
      <c r="G380" t="s">
        <v>12613</v>
      </c>
      <c r="H380">
        <v>1</v>
      </c>
    </row>
    <row r="381" spans="1:8" x14ac:dyDescent="0.25">
      <c r="A381">
        <v>16522</v>
      </c>
      <c r="B381" t="s">
        <v>4</v>
      </c>
      <c r="C381" t="str">
        <f>CONCATENATE(F381,"##")</f>
        <v>8505120##</v>
      </c>
      <c r="E381" t="str">
        <f>IFERROR(VLOOKUP(1*LEFT(C381,7),DF!$A$1:$F$9447,2,FALSE),"")</f>
        <v>PECT. BORD LMGE GIMNASIA 1ER ANIO BI</v>
      </c>
      <c r="F381" s="7">
        <v>8505120</v>
      </c>
      <c r="G381" t="s">
        <v>12614</v>
      </c>
      <c r="H381">
        <v>1</v>
      </c>
    </row>
    <row r="382" spans="1:8" x14ac:dyDescent="0.25">
      <c r="A382">
        <v>16522</v>
      </c>
      <c r="B382" t="s">
        <v>4</v>
      </c>
      <c r="C382" t="str">
        <f>CONCATENATE(F382,"##")</f>
        <v>8505134##</v>
      </c>
      <c r="E382" t="str">
        <f>IFERROR(VLOOKUP(1*LEFT(C382,7),DF!$A$1:$F$9447,2,FALSE),"")</f>
        <v>PECT. BORD LMGE GIMNASIA 2DO ANIO BI</v>
      </c>
      <c r="F382" s="7">
        <v>8505134</v>
      </c>
      <c r="G382" t="s">
        <v>12615</v>
      </c>
      <c r="H382">
        <v>1</v>
      </c>
    </row>
    <row r="383" spans="1:8" x14ac:dyDescent="0.25">
      <c r="A383">
        <v>16522</v>
      </c>
      <c r="B383" t="s">
        <v>4</v>
      </c>
      <c r="C383" t="str">
        <f>CONCATENATE(F383,"##")</f>
        <v>8505135##</v>
      </c>
      <c r="E383" t="str">
        <f>IFERROR(VLOOKUP(1*LEFT(C383,7),DF!$A$1:$F$9447,2,FALSE),"")</f>
        <v>PECT. BORD LMGE GIMNASIA 3ER ANIO BI</v>
      </c>
      <c r="F383" s="7">
        <v>8505135</v>
      </c>
      <c r="G383" t="s">
        <v>12616</v>
      </c>
      <c r="H383">
        <v>1</v>
      </c>
    </row>
    <row r="384" spans="1:8" x14ac:dyDescent="0.25">
      <c r="A384">
        <v>16522</v>
      </c>
      <c r="B384" t="s">
        <v>4</v>
      </c>
      <c r="C384" t="str">
        <f>CONCATENATE(F384,"##")</f>
        <v>8505136##</v>
      </c>
      <c r="E384" t="str">
        <f>IFERROR(VLOOKUP(1*LEFT(C384,7),DF!$A$1:$F$9447,2,FALSE),"")</f>
        <v>PECT. BORD LMGE GIMNASIA 4TO ANIO BI</v>
      </c>
      <c r="F384" s="7">
        <v>8505136</v>
      </c>
      <c r="G384" t="s">
        <v>12617</v>
      </c>
      <c r="H384">
        <v>1</v>
      </c>
    </row>
    <row r="385" spans="1:8" x14ac:dyDescent="0.25">
      <c r="A385">
        <v>16522</v>
      </c>
      <c r="B385" t="s">
        <v>4</v>
      </c>
      <c r="C385" t="str">
        <f>CONCATENATE(F385,"##")</f>
        <v>8505137##</v>
      </c>
      <c r="E385" t="str">
        <f>IFERROR(VLOOKUP(1*LEFT(C385,7),DF!$A$1:$F$9447,2,FALSE),"")</f>
        <v>PECT. BORD LMGE GIMNASIA 5TO ANIO BI</v>
      </c>
      <c r="F385" s="7">
        <v>8505137</v>
      </c>
      <c r="G385" t="s">
        <v>12618</v>
      </c>
      <c r="H385">
        <v>1</v>
      </c>
    </row>
    <row r="386" spans="1:8" x14ac:dyDescent="0.25">
      <c r="A386">
        <v>16522</v>
      </c>
      <c r="B386" t="s">
        <v>4</v>
      </c>
      <c r="C386" t="str">
        <f>CONCATENATE(F386,"##")</f>
        <v>8505138##</v>
      </c>
      <c r="E386" t="str">
        <f>IFERROR(VLOOKUP(1*LEFT(C386,7),DF!$A$1:$F$9447,2,FALSE),"")</f>
        <v>PECT. BORD LMGE GIMNASIA 6TO ANIO BI</v>
      </c>
      <c r="F386" s="7">
        <v>8505138</v>
      </c>
      <c r="G386" t="s">
        <v>12619</v>
      </c>
      <c r="H386">
        <v>1</v>
      </c>
    </row>
    <row r="387" spans="1:8" x14ac:dyDescent="0.25">
      <c r="A387">
        <v>16522</v>
      </c>
      <c r="B387" t="s">
        <v>4</v>
      </c>
      <c r="C387" t="str">
        <f>CONCATENATE(F387,"##")</f>
        <v>7709065##</v>
      </c>
      <c r="E387" t="str">
        <f>IFERROR(VLOOKUP(1*LEFT(C387,7),DF!$A$1:$F$9447,2,FALSE),"")</f>
        <v>PECT. BORD. 1 SOL P.S.AEROPORTUA PSA BI</v>
      </c>
      <c r="F387" s="7">
        <v>7709065</v>
      </c>
      <c r="G387" t="s">
        <v>12620</v>
      </c>
      <c r="H387">
        <v>1</v>
      </c>
    </row>
    <row r="388" spans="1:8" x14ac:dyDescent="0.25">
      <c r="A388">
        <v>16522</v>
      </c>
      <c r="B388" t="s">
        <v>4</v>
      </c>
      <c r="C388" t="str">
        <f>CONCATENATE(F388,"##")</f>
        <v>7709068##</v>
      </c>
      <c r="E388" t="str">
        <f>IFERROR(VLOOKUP(1*LEFT(C388,7),DF!$A$1:$F$9447,2,FALSE),"")</f>
        <v>PECT. BORD. 1 SOL Y SERRETA PSA BI</v>
      </c>
      <c r="F388" s="7">
        <v>7709068</v>
      </c>
      <c r="G388" t="s">
        <v>12621</v>
      </c>
      <c r="H388">
        <v>1</v>
      </c>
    </row>
    <row r="389" spans="1:8" x14ac:dyDescent="0.25">
      <c r="A389">
        <v>16522</v>
      </c>
      <c r="B389" t="s">
        <v>4</v>
      </c>
      <c r="C389" t="str">
        <f>CONCATENATE(F389,"##")</f>
        <v>7709064##</v>
      </c>
      <c r="E389" t="str">
        <f>IFERROR(VLOOKUP(1*LEFT(C389,7),DF!$A$1:$F$9447,2,FALSE),"")</f>
        <v>PECT. BORD. 2 SOL P.S.AEROPORTUA PSA BI</v>
      </c>
      <c r="F389" s="7">
        <v>7709064</v>
      </c>
      <c r="G389" t="s">
        <v>12622</v>
      </c>
      <c r="H389">
        <v>1</v>
      </c>
    </row>
    <row r="390" spans="1:8" x14ac:dyDescent="0.25">
      <c r="A390">
        <v>16522</v>
      </c>
      <c r="B390" t="s">
        <v>4</v>
      </c>
      <c r="C390" t="str">
        <f>CONCATENATE(F390,"##")</f>
        <v>7709069##</v>
      </c>
      <c r="E390" t="str">
        <f>IFERROR(VLOOKUP(1*LEFT(C390,7),DF!$A$1:$F$9447,2,FALSE),"")</f>
        <v>PECT. BORD. 2 SOL Y SERRETA PSA BI</v>
      </c>
      <c r="F390" s="7">
        <v>7709069</v>
      </c>
      <c r="G390" t="s">
        <v>12623</v>
      </c>
      <c r="H390">
        <v>1</v>
      </c>
    </row>
    <row r="391" spans="1:8" x14ac:dyDescent="0.25">
      <c r="A391">
        <v>16522</v>
      </c>
      <c r="B391" t="s">
        <v>4</v>
      </c>
      <c r="C391" t="str">
        <f>CONCATENATE(F391,"##")</f>
        <v>7709066##</v>
      </c>
      <c r="E391" t="str">
        <f>IFERROR(VLOOKUP(1*LEFT(C391,7),DF!$A$1:$F$9447,2,FALSE),"")</f>
        <v>PECT. BORD. 3 SOL P.S.AEROPORTUA PSA BI</v>
      </c>
      <c r="F391" s="7">
        <v>7709066</v>
      </c>
      <c r="G391" t="s">
        <v>12624</v>
      </c>
      <c r="H391">
        <v>1</v>
      </c>
    </row>
    <row r="392" spans="1:8" x14ac:dyDescent="0.25">
      <c r="A392">
        <v>16522</v>
      </c>
      <c r="B392" t="s">
        <v>4</v>
      </c>
      <c r="C392" t="str">
        <f>CONCATENATE(F392,"##")</f>
        <v>7709067##</v>
      </c>
      <c r="E392" t="str">
        <f>IFERROR(VLOOKUP(1*LEFT(C392,7),DF!$A$1:$F$9447,2,FALSE),"")</f>
        <v>PECT. BORD. 4 SOL P.S.AEROPORTUA PSA BI</v>
      </c>
      <c r="F392" s="7">
        <v>7709067</v>
      </c>
      <c r="G392" t="s">
        <v>12625</v>
      </c>
      <c r="H392">
        <v>1</v>
      </c>
    </row>
    <row r="393" spans="1:8" x14ac:dyDescent="0.25">
      <c r="A393">
        <v>16522</v>
      </c>
      <c r="B393" t="s">
        <v>4</v>
      </c>
      <c r="C393" t="str">
        <f>CONCATENATE(F393,"##")</f>
        <v>8505156##</v>
      </c>
      <c r="E393" t="str">
        <f>IFERROR(VLOOKUP(1*LEFT(C393,7),DF!$A$1:$F$9447,2,FALSE),"")</f>
        <v>PECT. BORD. AUXILIAR   11 BI</v>
      </c>
      <c r="F393" s="7">
        <v>8505156</v>
      </c>
      <c r="G393" t="s">
        <v>12626</v>
      </c>
      <c r="H393">
        <v>1</v>
      </c>
    </row>
    <row r="394" spans="1:8" x14ac:dyDescent="0.25">
      <c r="A394">
        <v>16522</v>
      </c>
      <c r="B394" t="s">
        <v>4</v>
      </c>
      <c r="C394" t="str">
        <f>CONCATENATE(F394,"##")</f>
        <v>8505158##</v>
      </c>
      <c r="E394" t="str">
        <f>IFERROR(VLOOKUP(1*LEFT(C394,7),DF!$A$1:$F$9447,2,FALSE),"")</f>
        <v>PECT. BORD. AUXILIAR MAYOR BI</v>
      </c>
      <c r="F394" s="7">
        <v>8505158</v>
      </c>
      <c r="G394" t="s">
        <v>12627</v>
      </c>
      <c r="H394">
        <v>1</v>
      </c>
    </row>
    <row r="395" spans="1:8" x14ac:dyDescent="0.25">
      <c r="A395">
        <v>16522</v>
      </c>
      <c r="B395" t="s">
        <v>4</v>
      </c>
      <c r="C395" t="str">
        <f>CONCATENATE(F395,"##")</f>
        <v>8505157##</v>
      </c>
      <c r="E395" t="str">
        <f>IFERROR(VLOOKUP(1*LEFT(C395,7),DF!$A$1:$F$9447,2,FALSE),"")</f>
        <v>PECT. BORD. AUXILIAR PRIMERO    12 BI</v>
      </c>
      <c r="F395" s="7">
        <v>8505157</v>
      </c>
      <c r="G395" t="s">
        <v>12628</v>
      </c>
      <c r="H395">
        <v>1</v>
      </c>
    </row>
    <row r="396" spans="1:8" x14ac:dyDescent="0.25">
      <c r="A396">
        <v>16522</v>
      </c>
      <c r="B396" t="s">
        <v>4</v>
      </c>
      <c r="C396" t="str">
        <f>CONCATENATE(F396,"##")</f>
        <v>8505789##</v>
      </c>
      <c r="E396" t="str">
        <f>IFERROR(VLOOKUP(1*LEFT(C396,7),DF!$A$1:$F$9447,2,FALSE),"")</f>
        <v>PECT. BORD. AUXILIAR SEGUNDO BI</v>
      </c>
      <c r="F396" s="7">
        <v>8505789</v>
      </c>
      <c r="G396" t="s">
        <v>12629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>CONCATENATE(F397,"##")</f>
        <v>8505175##</v>
      </c>
      <c r="D397" s="2"/>
      <c r="E397" s="2" t="str">
        <f>IFERROR(VLOOKUP(1*LEFT(C397,7),DF!$A$1:$F$9447,2,FALSE),"")</f>
        <v>PECT. BORD. AUXILIAR SUPERIOR BI</v>
      </c>
      <c r="F397">
        <v>8505175</v>
      </c>
      <c r="G397" t="s">
        <v>13011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>CONCATENATE(F398,"##")</f>
        <v>8505142##</v>
      </c>
      <c r="D398" s="2"/>
      <c r="E398" s="2" t="str">
        <f>IFERROR(VLOOKUP(1*LEFT(C398,7),DF!$A$1:$F$9447,2,FALSE),"")</f>
        <v>PECT. BORD. B. VISB. AUX. MAYOR BI</v>
      </c>
      <c r="F398" s="7">
        <v>8505142</v>
      </c>
      <c r="G398" t="s">
        <v>12812</v>
      </c>
      <c r="H398">
        <v>1</v>
      </c>
    </row>
    <row r="399" spans="1:8" x14ac:dyDescent="0.25">
      <c r="A399">
        <v>16522</v>
      </c>
      <c r="B399" t="s">
        <v>4</v>
      </c>
      <c r="C399" t="str">
        <f>CONCATENATE(F399,"##")</f>
        <v>8505139##</v>
      </c>
      <c r="E399" t="str">
        <f>IFERROR(VLOOKUP(1*LEFT(C399,7),DF!$A$1:$F$9447,2,FALSE),"")</f>
        <v>PECT. BORD. B. VISIB. AUX. BI</v>
      </c>
      <c r="F399" s="7">
        <v>8505139</v>
      </c>
      <c r="G399" t="s">
        <v>12630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>CONCATENATE(F400,"##")</f>
        <v>8505141##</v>
      </c>
      <c r="D400" s="2"/>
      <c r="E400" s="2" t="str">
        <f>IFERROR(VLOOKUP(1*LEFT(C400,7),DF!$A$1:$F$9447,2,FALSE),"")</f>
        <v>PECT. BORD. B. VISIB. AUX. SEGUNDO BI</v>
      </c>
      <c r="F400" s="7">
        <v>8505141</v>
      </c>
      <c r="G400" t="s">
        <v>12631</v>
      </c>
      <c r="H400">
        <v>1</v>
      </c>
    </row>
    <row r="401" spans="1:8" x14ac:dyDescent="0.25">
      <c r="A401">
        <v>16522</v>
      </c>
      <c r="B401" t="s">
        <v>4</v>
      </c>
      <c r="C401" t="str">
        <f>CONCATENATE(F401,"##")</f>
        <v>8505140##</v>
      </c>
      <c r="E401" t="str">
        <f>IFERROR(VLOOKUP(1*LEFT(C401,7),DF!$A$1:$F$9447,2,FALSE),"")</f>
        <v>PECT. BORD. B. VISIB. AUXILIAR 1 BI</v>
      </c>
      <c r="F401" s="7">
        <v>8505140</v>
      </c>
      <c r="G401" t="s">
        <v>12632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>CONCATENATE(F402,"##")</f>
        <v>8505129##</v>
      </c>
      <c r="D402" s="2"/>
      <c r="E402" s="2" t="str">
        <f>IFERROR(VLOOKUP(1*LEFT(C402,7),DF!$A$1:$F$9447,2,FALSE),"")</f>
        <v>PECT. BORD. PENIT. ALAS SERP  BARG BI</v>
      </c>
      <c r="F402">
        <v>8505129</v>
      </c>
      <c r="G402" t="s">
        <v>13088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8505127##</v>
      </c>
      <c r="E403" t="str">
        <f>IFERROR(VLOOKUP(1*LEFT(C403,7),DF!$A$1:$F$9447,2,FALSE),"")</f>
        <v>PECT. BORD. PENIT. SERP RER</v>
      </c>
      <c r="F403" s="7">
        <v>8505127</v>
      </c>
      <c r="G403" t="s">
        <v>12633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7707266##</v>
      </c>
      <c r="E404" t="str">
        <f>IFERROR(VLOOKUP(1*LEFT(C404,7),DF!$A$1:$F$9447,2,FALSE),"")</f>
        <v>PECT. EJERCITO ARGENTINO   BARG BI</v>
      </c>
      <c r="F404" s="7">
        <v>7707266</v>
      </c>
      <c r="G404" t="s">
        <v>12634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>CONCATENATE(F405,"##")</f>
        <v>7709135##</v>
      </c>
      <c r="D405" s="2"/>
      <c r="E405" s="2" t="str">
        <f>IFERROR(VLOOKUP(1*LEFT(C405,7),DF!$A$1:$F$9447,2,FALSE),"")</f>
        <v>PECT. POLICIA BORDADO BAJA VISIBILIDAD</v>
      </c>
      <c r="F405" s="7">
        <v>7709135</v>
      </c>
      <c r="G405" t="s">
        <v>13953</v>
      </c>
      <c r="H405">
        <v>1</v>
      </c>
    </row>
    <row r="406" spans="1:8" x14ac:dyDescent="0.25">
      <c r="A406">
        <v>16522</v>
      </c>
      <c r="B406" t="s">
        <v>4</v>
      </c>
      <c r="C406" t="str">
        <f>CONCATENATE(F406,"##")</f>
        <v>8521374##</v>
      </c>
      <c r="E406" t="str">
        <f>IFERROR(VLOOKUP(1*LEFT(C406,7),DF!$A$1:$F$9447,2,FALSE),"")</f>
        <v>PINZA NAVAJA  MULTIFUNCION TACTICA 3526 GB</v>
      </c>
      <c r="F406">
        <v>8521374</v>
      </c>
      <c r="G406" t="s">
        <v>12635</v>
      </c>
      <c r="H406">
        <v>4</v>
      </c>
    </row>
    <row r="407" spans="1:8" x14ac:dyDescent="0.25">
      <c r="A407">
        <v>16522</v>
      </c>
      <c r="B407" t="s">
        <v>4</v>
      </c>
      <c r="C407" t="str">
        <f>CONCATENATE(F407,"##")</f>
        <v>8521499##</v>
      </c>
      <c r="E407" t="str">
        <f>IFERROR(VLOOKUP(1*LEFT(C407,7),DF!$A$1:$F$9447,2,FALSE),"")</f>
        <v>PINZA NAVAJA MULTIFUNCION 3019</v>
      </c>
      <c r="F407">
        <v>8521499</v>
      </c>
      <c r="G407" t="s">
        <v>12636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>CONCATENATE(F408,"##")</f>
        <v>8703036##</v>
      </c>
      <c r="D408" s="2"/>
      <c r="E408" s="2" t="str">
        <f>IFERROR(VLOOKUP(1*LEFT(C408,7),DF!$A$1:$F$9447,2,FALSE),"")</f>
        <v>PIST CUERO PANQUEQ CORTA 1036 TB</v>
      </c>
      <c r="F408" s="7">
        <v>8703036</v>
      </c>
      <c r="G408" t="s">
        <v>12637</v>
      </c>
      <c r="H408">
        <v>5</v>
      </c>
    </row>
    <row r="409" spans="1:8" x14ac:dyDescent="0.25">
      <c r="A409">
        <v>16522</v>
      </c>
      <c r="B409" t="s">
        <v>4</v>
      </c>
      <c r="C409" t="str">
        <f>CONCATENATE(F409,"##")</f>
        <v>8703570##</v>
      </c>
      <c r="E409" t="str">
        <f>IFERROR(VLOOKUP(1*LEFT(C409,7),DF!$A$1:$F$9447,2,FALSE),"")</f>
        <v>PIST NIVEL 1 + PORT CARG BERSA/PT92/BROW</v>
      </c>
      <c r="F409">
        <v>8703570</v>
      </c>
      <c r="G409" t="s">
        <v>12638</v>
      </c>
      <c r="H409">
        <v>7</v>
      </c>
    </row>
    <row r="410" spans="1:8" x14ac:dyDescent="0.25">
      <c r="A410" s="2">
        <v>16522</v>
      </c>
      <c r="B410" s="2" t="s">
        <v>4</v>
      </c>
      <c r="C410" s="2" t="str">
        <f>CONCATENATE(F410,"##")</f>
        <v>8703531##</v>
      </c>
      <c r="D410" s="2"/>
      <c r="E410" s="2" t="str">
        <f>IFERROR(VLOOKUP(1*LEFT(C410,7),DF!$A$1:$F$9447,2,FALSE),"")</f>
        <v>PIST NIVEL 2 TAURUS 809/TH9 B0</v>
      </c>
      <c r="F410">
        <v>8703531</v>
      </c>
      <c r="G410" t="s">
        <v>13078</v>
      </c>
      <c r="H410">
        <v>5</v>
      </c>
    </row>
    <row r="411" spans="1:8" x14ac:dyDescent="0.25">
      <c r="A411" s="2">
        <v>16522</v>
      </c>
      <c r="B411" s="2" t="s">
        <v>4</v>
      </c>
      <c r="C411" s="2" t="str">
        <f>CONCATENATE(F411,"##")</f>
        <v>8703600##</v>
      </c>
      <c r="D411" s="2"/>
      <c r="E411" s="2" t="str">
        <f>IFERROR(VLOOKUP(1*LEFT(C411,7),DF!$A$1:$F$9447,2,FALSE),"")</f>
        <v>PIST POLIA GUERRILLERA UNIVERSAL T600 T</v>
      </c>
      <c r="F411">
        <v>8703600</v>
      </c>
      <c r="G411" t="s">
        <v>13073</v>
      </c>
      <c r="H411">
        <v>5</v>
      </c>
    </row>
    <row r="412" spans="1:8" x14ac:dyDescent="0.25">
      <c r="A412" s="2">
        <v>16522</v>
      </c>
      <c r="B412" s="2" t="s">
        <v>4</v>
      </c>
      <c r="C412" s="2" t="str">
        <f>CONCATENATE(F412,"##")</f>
        <v>8703038##</v>
      </c>
      <c r="D412" s="2"/>
      <c r="E412" s="2" t="str">
        <f>IFERROR(VLOOKUP(1*LEFT(C412,7),DF!$A$1:$F$9447,2,FALSE),"")</f>
        <v>PIST. CUERO AVENGER/TAU/BE 1038 TB</v>
      </c>
      <c r="F412" s="7">
        <v>8703038</v>
      </c>
      <c r="G412" t="s">
        <v>12639</v>
      </c>
      <c r="H412">
        <v>6</v>
      </c>
    </row>
    <row r="413" spans="1:8" x14ac:dyDescent="0.25">
      <c r="A413" s="2">
        <v>16522</v>
      </c>
      <c r="B413" s="2" t="s">
        <v>4</v>
      </c>
      <c r="C413" s="2" t="str">
        <f>CONCATENATE(F413,"##")</f>
        <v>8703051##</v>
      </c>
      <c r="D413" s="2"/>
      <c r="E413" s="2" t="str">
        <f>IFERROR(VLOOKUP(1*LEFT(C413,7),DF!$A$1:$F$9447,2,FALSE),"")</f>
        <v>PIST. CUERO TODO CALIBRE 1051 TB</v>
      </c>
      <c r="F413">
        <v>8703051</v>
      </c>
      <c r="G413" t="s">
        <v>14010</v>
      </c>
      <c r="H413">
        <v>6</v>
      </c>
    </row>
    <row r="414" spans="1:8" x14ac:dyDescent="0.25">
      <c r="A414" s="2">
        <v>16522</v>
      </c>
      <c r="B414" s="2" t="s">
        <v>4</v>
      </c>
      <c r="C414" s="2" t="str">
        <f>CONCATENATE(F414,"##")</f>
        <v>8707113##</v>
      </c>
      <c r="D414" s="2"/>
      <c r="E414" s="2" t="str">
        <f>IFERROR(VLOOKUP(1*LEFT(C414,7),DF!$A$1:$F$9447,2,FALSE),"")</f>
        <v>PIST. MOLLE RRD11 BLK</v>
      </c>
      <c r="F414" s="7">
        <v>8707113</v>
      </c>
      <c r="G414" t="s">
        <v>12640</v>
      </c>
      <c r="H414">
        <v>3</v>
      </c>
    </row>
    <row r="415" spans="1:8" x14ac:dyDescent="0.25">
      <c r="A415">
        <v>16522</v>
      </c>
      <c r="B415" t="s">
        <v>4</v>
      </c>
      <c r="C415" t="str">
        <f>CONCATENATE(F415,"##")</f>
        <v>8703207##</v>
      </c>
      <c r="E415" t="str">
        <f>IFERROR(VLOOKUP(1*LEFT(C415,7),DF!$A$1:$F$9447,2,FALSE),"")</f>
        <v>PIST. N5 AH PX4 AUTOMATIC HOLSTER DEG</v>
      </c>
      <c r="F415">
        <v>8703207</v>
      </c>
      <c r="G415" t="s">
        <v>12641</v>
      </c>
      <c r="H415">
        <v>12</v>
      </c>
    </row>
    <row r="416" spans="1:8" x14ac:dyDescent="0.25">
      <c r="A416">
        <v>16522</v>
      </c>
      <c r="B416" t="s">
        <v>4</v>
      </c>
      <c r="C416" t="str">
        <f>CONCATENATE(F416,"##")</f>
        <v>8703950##</v>
      </c>
      <c r="E416" t="str">
        <f>IFERROR(VLOOKUP(1*LEFT(C416,7),DF!$A$1:$F$9447,2,FALSE),"")</f>
        <v>PIST. NIVEL 2 BERETTA 92/96 XTR</v>
      </c>
      <c r="F416">
        <v>8703950</v>
      </c>
      <c r="G416" t="s">
        <v>12642</v>
      </c>
      <c r="H416">
        <v>7</v>
      </c>
    </row>
    <row r="417" spans="1:8" x14ac:dyDescent="0.25">
      <c r="A417" s="2">
        <v>16522</v>
      </c>
      <c r="B417" s="2" t="s">
        <v>4</v>
      </c>
      <c r="C417" s="2" t="str">
        <f>CONCATENATE(F417,"##")</f>
        <v>8703350##</v>
      </c>
      <c r="D417" s="2"/>
      <c r="E417" s="2" t="str">
        <f>IFERROR(VLOOKUP(1*LEFT(C417,7),DF!$A$1:$F$9447,2,FALSE),"")</f>
        <v>PIST. NIVEL 2 BERSA THUNDER JA.BAR TB P010</v>
      </c>
      <c r="F417">
        <v>8703350</v>
      </c>
      <c r="G417" t="s">
        <v>13913</v>
      </c>
      <c r="H417">
        <v>3</v>
      </c>
    </row>
    <row r="418" spans="1:8" x14ac:dyDescent="0.25">
      <c r="A418" s="2">
        <v>16522</v>
      </c>
      <c r="B418" s="2" t="s">
        <v>4</v>
      </c>
      <c r="C418" s="2" t="str">
        <f>CONCATENATE(F418,"##")</f>
        <v>8703352##</v>
      </c>
      <c r="D418" s="2"/>
      <c r="E418" s="2" t="str">
        <f>IFERROR(VLOOKUP(1*LEFT(C418,7),DF!$A$1:$F$9447,2,FALSE),"")</f>
        <v>PIST. NIVEL 2 BERSA TPR9 JA.BAR TB P011</v>
      </c>
      <c r="F418">
        <v>8703352</v>
      </c>
      <c r="G418" t="s">
        <v>13912</v>
      </c>
      <c r="H418">
        <v>6</v>
      </c>
    </row>
    <row r="419" spans="1:8" x14ac:dyDescent="0.25">
      <c r="A419" s="2">
        <v>16522</v>
      </c>
      <c r="B419" s="2" t="s">
        <v>4</v>
      </c>
      <c r="C419" s="2" t="str">
        <f>CONCATENATE(F419,"##")</f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13074</v>
      </c>
      <c r="H419">
        <v>7</v>
      </c>
    </row>
    <row r="420" spans="1:8" x14ac:dyDescent="0.25">
      <c r="A420">
        <v>16522</v>
      </c>
      <c r="B420" t="s">
        <v>4</v>
      </c>
      <c r="C420" t="str">
        <f>CONCATENATE(F420,"##")</f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12643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>CONCATENATE(F421,"##")</f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13071</v>
      </c>
      <c r="H421">
        <v>3</v>
      </c>
    </row>
    <row r="422" spans="1:8" x14ac:dyDescent="0.25">
      <c r="A422">
        <v>16522</v>
      </c>
      <c r="B422" t="s">
        <v>4</v>
      </c>
      <c r="C422" t="str">
        <f>CONCATENATE(F422,"##")</f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12644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>CONCATENATE(F423,"##")</f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12645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>CONCATENATE(F424,"##")</f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12646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>CONCATENATE(F425,"##")</f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12647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13070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>CONCATENATE(F427,"##")</f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13082</v>
      </c>
      <c r="H427">
        <v>3</v>
      </c>
    </row>
    <row r="428" spans="1:8" x14ac:dyDescent="0.25">
      <c r="A428" s="2">
        <v>16522</v>
      </c>
      <c r="B428" s="2" t="s">
        <v>4</v>
      </c>
      <c r="C428" s="2" t="str">
        <f>CONCATENATE(F428,"##")</f>
        <v>8703254##</v>
      </c>
      <c r="D428" s="2"/>
      <c r="E428" s="2" t="str">
        <f>IFERROR(VLOOKUP(1*LEFT(C428,7),DF!$A$1:$F$9447,2,FALSE),"")</f>
        <v>PISTOLERA NIVEL 2 POLIM. BERSA THUNDER/PRO/TPR BO7</v>
      </c>
      <c r="F428">
        <v>8703254</v>
      </c>
      <c r="G428" t="s">
        <v>13950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>CONCATENATE(F429,"##")</f>
        <v>8703246##</v>
      </c>
      <c r="D429" s="2"/>
      <c r="E429" s="2" t="str">
        <f>IFERROR(VLOOKUP(1*LEFT(C429,7),DF!$A$1:$F$9447,2,FALSE),"")</f>
        <v>PISTOLERA NIVEL 2 POLIM. BROWNING BO7BRW</v>
      </c>
      <c r="F429">
        <v>8703246</v>
      </c>
      <c r="G429" t="s">
        <v>13910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>CONCATENATE(F430,"##")</f>
        <v>8703248##</v>
      </c>
      <c r="D430" s="2"/>
      <c r="E430" s="2" t="str">
        <f>IFERROR(VLOOKUP(1*LEFT(C430,7),DF!$A$1:$F$9447,2,FALSE),"")</f>
        <v>PISTOLERA NIVEL 2 POLIM. GLOCK 17 / 22 / 31  BO7G17</v>
      </c>
      <c r="F430">
        <v>8703248</v>
      </c>
      <c r="G430" t="s">
        <v>13911</v>
      </c>
      <c r="H430">
        <v>6</v>
      </c>
    </row>
    <row r="431" spans="1:8" x14ac:dyDescent="0.25">
      <c r="A431">
        <v>16522</v>
      </c>
      <c r="B431" t="s">
        <v>4</v>
      </c>
      <c r="C431" t="str">
        <f>CONCATENATE(F431,"##")</f>
        <v>8708272##</v>
      </c>
      <c r="E431" t="str">
        <f>IFERROR(VLOOKUP(1*LEFT(C431,7),DF!$A$1:$F$9447,2,FALSE),"")</f>
        <v>PLATAFORMA MUSLERA H.N2-72 FUN</v>
      </c>
      <c r="F431">
        <v>8708272</v>
      </c>
      <c r="G431" t="s">
        <v>12648</v>
      </c>
      <c r="H431">
        <v>5</v>
      </c>
    </row>
    <row r="432" spans="1:8" x14ac:dyDescent="0.25">
      <c r="A432" s="2">
        <v>16522</v>
      </c>
      <c r="B432" s="2" t="s">
        <v>4</v>
      </c>
      <c r="C432" s="2" t="str">
        <f>CONCATENATE(F432,"##")</f>
        <v>2220030##</v>
      </c>
      <c r="D432" s="2"/>
      <c r="E432" s="2" t="str">
        <f>IFERROR(VLOOKUP(1*LEFT(C432,7),DF!$A$1:$F$9447,2,FALSE),"")</f>
        <v>POLERA ALGODON AZUL RER</v>
      </c>
      <c r="F432" s="7">
        <v>2220030</v>
      </c>
      <c r="G432" t="s">
        <v>12649</v>
      </c>
      <c r="H432">
        <v>3</v>
      </c>
    </row>
    <row r="433" spans="1:8" x14ac:dyDescent="0.25">
      <c r="A433" s="2">
        <v>16522</v>
      </c>
      <c r="B433" s="2" t="s">
        <v>4</v>
      </c>
      <c r="C433" s="2" t="str">
        <f>CONCATENATE(F433,"##")</f>
        <v>2220034##</v>
      </c>
      <c r="D433" s="2"/>
      <c r="E433" s="2" t="str">
        <f>IFERROR(VLOOKUP(1*LEFT(C433,7),DF!$A$1:$F$9447,2,FALSE),"")</f>
        <v>POLERA ALGODON BLANCA RER</v>
      </c>
      <c r="F433" s="7">
        <v>2220034</v>
      </c>
      <c r="G433" t="s">
        <v>12650</v>
      </c>
      <c r="H433">
        <v>2</v>
      </c>
    </row>
    <row r="434" spans="1:8" x14ac:dyDescent="0.25">
      <c r="A434" s="2">
        <v>16522</v>
      </c>
      <c r="B434" s="2" t="s">
        <v>4</v>
      </c>
      <c r="C434" s="2" t="str">
        <f>CONCATENATE(F434,"##")</f>
        <v>2220032##</v>
      </c>
      <c r="D434" s="2"/>
      <c r="E434" s="2" t="str">
        <f>IFERROR(VLOOKUP(1*LEFT(C434,7),DF!$A$1:$F$9447,2,FALSE),"")</f>
        <v>POLERA ALGODON GRIS RER</v>
      </c>
      <c r="F434" s="7">
        <v>2220032</v>
      </c>
      <c r="G434" t="s">
        <v>12651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>CONCATENATE(F435,"##")</f>
        <v>2220037##</v>
      </c>
      <c r="D435" s="2"/>
      <c r="E435" s="2" t="str">
        <f>IFERROR(VLOOKUP(1*LEFT(C435,7),DF!$A$1:$F$9447,2,FALSE),"")</f>
        <v>POLERA ALGODON NEGRA RER</v>
      </c>
      <c r="F435" s="7">
        <v>2220037</v>
      </c>
      <c r="G435" t="s">
        <v>12652</v>
      </c>
      <c r="H435">
        <v>3</v>
      </c>
    </row>
    <row r="436" spans="1:8" x14ac:dyDescent="0.25">
      <c r="A436">
        <v>16522</v>
      </c>
      <c r="B436" t="s">
        <v>4</v>
      </c>
      <c r="C436" t="str">
        <f>CONCATENATE(F436,"##")</f>
        <v>1407094##</v>
      </c>
      <c r="E436" t="str">
        <f>IFERROR(VLOOKUP(1*LEFT(C436,7),DF!$A$1:$F$9447,2,FALSE),"")</f>
        <v>POLLERA POLICIA C FORRO RER</v>
      </c>
      <c r="F436">
        <v>1407094</v>
      </c>
      <c r="G436" t="s">
        <v>12653</v>
      </c>
      <c r="H436">
        <v>5</v>
      </c>
    </row>
    <row r="437" spans="1:8" x14ac:dyDescent="0.25">
      <c r="A437" s="2">
        <v>16522</v>
      </c>
      <c r="B437" s="2" t="s">
        <v>4</v>
      </c>
      <c r="C437" s="2" t="str">
        <f>CONCATENATE(F437,"##")</f>
        <v>1407093##</v>
      </c>
      <c r="D437" s="2"/>
      <c r="E437" s="2" t="str">
        <f>IFERROR(VLOOKUP(1*LEFT(C437,7),DF!$A$1:$F$9447,2,FALSE),"")</f>
        <v>POLLERA POLICIA SIN FORRAR RER</v>
      </c>
      <c r="F437" s="7">
        <v>1407093</v>
      </c>
      <c r="G437" t="s">
        <v>12654</v>
      </c>
      <c r="H437">
        <v>5</v>
      </c>
    </row>
    <row r="438" spans="1:8" x14ac:dyDescent="0.25">
      <c r="A438">
        <v>16522</v>
      </c>
      <c r="B438" t="s">
        <v>4</v>
      </c>
      <c r="C438" t="str">
        <f>CONCATENATE(F438,"##")</f>
        <v>8708299##</v>
      </c>
      <c r="E438" t="str">
        <f>IFERROR(VLOOKUP(1*LEFT(C438,7),DF!$A$1:$F$9447,2,FALSE),"")</f>
        <v>PORTA BOTELLA SISTEMA MOLLE 2995</v>
      </c>
      <c r="F438">
        <v>8708299</v>
      </c>
      <c r="G438" t="s">
        <v>12655</v>
      </c>
      <c r="H438">
        <v>4</v>
      </c>
    </row>
    <row r="439" spans="1:8" x14ac:dyDescent="0.25">
      <c r="A439">
        <v>16522</v>
      </c>
      <c r="B439" t="s">
        <v>4</v>
      </c>
      <c r="C439" t="str">
        <f>CONCATENATE(F439,"##")</f>
        <v>8705802##</v>
      </c>
      <c r="E439" t="str">
        <f>IFERROR(VLOOKUP(1*LEFT(C439,7),DF!$A$1:$F$9447,2,FALSE),"")</f>
        <v>PORTA CARG FAL VERDE MAZ</v>
      </c>
      <c r="F439">
        <v>8705802</v>
      </c>
      <c r="G439" t="s">
        <v>12656</v>
      </c>
      <c r="H439">
        <v>8</v>
      </c>
    </row>
    <row r="440" spans="1:8" x14ac:dyDescent="0.25">
      <c r="A440">
        <v>16522</v>
      </c>
      <c r="B440" t="s">
        <v>4</v>
      </c>
      <c r="C440" t="str">
        <f>CONCATENATE(F440,"##")</f>
        <v>8705552##</v>
      </c>
      <c r="E440" t="str">
        <f>IFERROR(VLOOKUP(1*LEFT(C440,7),DF!$A$1:$F$9447,2,FALSE),"")</f>
        <v>PORTA CARG POLIA GRIS VERDE CON GANCHO</v>
      </c>
      <c r="F440">
        <v>8705552</v>
      </c>
      <c r="G440" t="s">
        <v>12657</v>
      </c>
      <c r="H440">
        <v>8</v>
      </c>
    </row>
    <row r="441" spans="1:8" x14ac:dyDescent="0.25">
      <c r="A441" s="2">
        <v>16522</v>
      </c>
      <c r="B441" s="2" t="s">
        <v>4</v>
      </c>
      <c r="C441" s="2" t="str">
        <f>CONCATENATE(F441,"##")</f>
        <v>8705119##</v>
      </c>
      <c r="D441" s="2"/>
      <c r="E441" s="2" t="str">
        <f>IFERROR(VLOOKUP(1*LEFT(C441,7),DF!$A$1:$F$9447,2,FALSE),"")</f>
        <v>PORTA CARGADOR DOBLE UNIVERSAL POLIMERO BO4D</v>
      </c>
      <c r="F441">
        <v>8705119</v>
      </c>
      <c r="G441" t="s">
        <v>13083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>CONCATENATE(F442,"##")</f>
        <v>8705115##</v>
      </c>
      <c r="D442" s="2"/>
      <c r="E442" s="2" t="str">
        <f>IFERROR(VLOOKUP(1*LEFT(C442,7),DF!$A$1:$F$9447,2,FALSE),"")</f>
        <v>PORTA CARGADOR DOBLE UNIVERSAL POLIMERO BO4DT</v>
      </c>
      <c r="F442">
        <v>8705115</v>
      </c>
      <c r="G442" t="s">
        <v>13085</v>
      </c>
      <c r="H442">
        <v>7</v>
      </c>
    </row>
    <row r="443" spans="1:8" x14ac:dyDescent="0.25">
      <c r="A443" s="2">
        <v>16522</v>
      </c>
      <c r="B443" s="2" t="s">
        <v>4</v>
      </c>
      <c r="C443" s="2" t="str">
        <f>CONCATENATE(F443,"##")</f>
        <v>8705116##</v>
      </c>
      <c r="D443" s="2"/>
      <c r="E443" s="2" t="str">
        <f>IFERROR(VLOOKUP(1*LEFT(C443,7),DF!$A$1:$F$9447,2,FALSE),"")</f>
        <v>PORTA CARGADOR SIMPLE UNIV POLIMERO BO4S-MOLLE</v>
      </c>
      <c r="F443">
        <v>8705116</v>
      </c>
      <c r="G443" t="s">
        <v>13072</v>
      </c>
      <c r="H443">
        <v>6</v>
      </c>
    </row>
    <row r="444" spans="1:8" x14ac:dyDescent="0.25">
      <c r="A444" s="2">
        <v>16522</v>
      </c>
      <c r="B444" s="2" t="s">
        <v>4</v>
      </c>
      <c r="C444" s="2" t="str">
        <f>CONCATENATE(F444,"##")</f>
        <v>8705117##</v>
      </c>
      <c r="D444" s="2"/>
      <c r="E444" s="2" t="str">
        <f>IFERROR(VLOOKUP(1*LEFT(C444,7),DF!$A$1:$F$9447,2,FALSE),"")</f>
        <v>PORTA CARGADOR SIMPLE UNIVERSAL C/TAPA POLIMERO BO4ST</v>
      </c>
      <c r="F444">
        <v>8705117</v>
      </c>
      <c r="G444" t="s">
        <v>13086</v>
      </c>
      <c r="H444">
        <v>6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8705233##</v>
      </c>
      <c r="D445" s="2"/>
      <c r="E445" s="2" t="str">
        <f>IFERROR(VLOOKUP(1*LEFT(C445,7),DF!$A$1:$F$9447,2,FALSE),"")</f>
        <v>PORTA CELULAR GRANDE RRD69</v>
      </c>
      <c r="F445" s="7">
        <v>8705233</v>
      </c>
      <c r="G445" t="s">
        <v>12658</v>
      </c>
      <c r="H445">
        <v>7</v>
      </c>
    </row>
    <row r="446" spans="1:8" x14ac:dyDescent="0.25">
      <c r="A446">
        <v>16522</v>
      </c>
      <c r="B446" t="s">
        <v>4</v>
      </c>
      <c r="C446" t="str">
        <f>CONCATENATE(F446,"##")</f>
        <v>8501026##</v>
      </c>
      <c r="E446" t="str">
        <f>IFERROR(VLOOKUP(1*LEFT(C446,7),DF!$A$1:$F$9447,2,FALSE),"")</f>
        <v>PORTA CRED CUERO LIBRO 1026 TB</v>
      </c>
      <c r="F446">
        <v>8501026</v>
      </c>
      <c r="G446" t="s">
        <v>12659</v>
      </c>
      <c r="H446">
        <v>3</v>
      </c>
    </row>
    <row r="447" spans="1:8" x14ac:dyDescent="0.25">
      <c r="A447">
        <v>16522</v>
      </c>
      <c r="B447" t="s">
        <v>4</v>
      </c>
      <c r="C447" t="str">
        <f>CONCATENATE(F447,"##")</f>
        <v>8707750##</v>
      </c>
      <c r="E447" t="str">
        <f>IFERROR(VLOOKUP(1*LEFT(C447,7),DF!$A$1:$F$9447,2,FALSE),"")</f>
        <v>PORTA ESPO POLIA GRIS T552 C/TAPA TB</v>
      </c>
      <c r="F447">
        <v>8707750</v>
      </c>
      <c r="G447" t="s">
        <v>12660</v>
      </c>
      <c r="H447">
        <v>3</v>
      </c>
    </row>
    <row r="448" spans="1:8" x14ac:dyDescent="0.25">
      <c r="A448">
        <v>16522</v>
      </c>
      <c r="B448" t="s">
        <v>4</v>
      </c>
      <c r="C448" t="str">
        <f>CONCATENATE(F448,"##")</f>
        <v>8707026##</v>
      </c>
      <c r="E448" t="str">
        <f>IFERROR(VLOOKUP(1*LEFT(C448,7),DF!$A$1:$F$9447,2,FALSE),"")</f>
        <v>PORTA ESPOSAS FOBUS HSP MIN</v>
      </c>
      <c r="F448">
        <v>8707026</v>
      </c>
      <c r="G448" t="s">
        <v>12661</v>
      </c>
      <c r="H448">
        <v>6</v>
      </c>
    </row>
    <row r="449" spans="1:9" x14ac:dyDescent="0.25">
      <c r="A449">
        <v>16522</v>
      </c>
      <c r="B449" t="s">
        <v>4</v>
      </c>
      <c r="C449" t="str">
        <f>CONCATENATE(F449,"##")</f>
        <v>8707964##</v>
      </c>
      <c r="E449" t="str">
        <f>IFERROR(VLOOKUP(1*LEFT(C449,7),DF!$A$1:$F$9447,2,FALSE),"")</f>
        <v>PORTA ESPOSAS TACTICO POLIMERO REGUL2079</v>
      </c>
      <c r="F449">
        <v>8707964</v>
      </c>
      <c r="G449" t="s">
        <v>12662</v>
      </c>
      <c r="H449">
        <v>5</v>
      </c>
    </row>
    <row r="450" spans="1:9" x14ac:dyDescent="0.25">
      <c r="A450" s="2">
        <v>16522</v>
      </c>
      <c r="B450" s="2" t="s">
        <v>4</v>
      </c>
      <c r="C450" s="2" t="str">
        <f>CONCATENATE(F450,"##")</f>
        <v>8715803##</v>
      </c>
      <c r="D450" s="2"/>
      <c r="E450" s="2" t="str">
        <f>IFERROR(VLOOKUP(1*LEFT(C450,7),DF!$A$1:$F$9447,2,FALSE),"")</f>
        <v>PORTA TAHALI POLIA VERDE GN RER</v>
      </c>
      <c r="F450">
        <v>8715803</v>
      </c>
      <c r="G450" t="s">
        <v>13087</v>
      </c>
      <c r="H450">
        <v>2</v>
      </c>
    </row>
    <row r="451" spans="1:9" x14ac:dyDescent="0.25">
      <c r="A451">
        <v>16522</v>
      </c>
      <c r="B451" t="s">
        <v>4</v>
      </c>
      <c r="C451" t="str">
        <f>CONCATENATE(F451,"##")</f>
        <v>8705013##</v>
      </c>
      <c r="E451" t="str">
        <f>IFERROR(VLOOKUP(1*LEFT(C451,7),DF!$A$1:$F$9447,2,FALSE),"")</f>
        <v>PORTA TONFA FIJO PLASTICO RER 214</v>
      </c>
      <c r="F451">
        <v>8705013</v>
      </c>
      <c r="G451" t="s">
        <v>12663</v>
      </c>
      <c r="H451">
        <v>2</v>
      </c>
    </row>
    <row r="452" spans="1:9" x14ac:dyDescent="0.25">
      <c r="A452">
        <v>16522</v>
      </c>
      <c r="B452" t="s">
        <v>4</v>
      </c>
      <c r="C452" t="str">
        <f>CONCATENATE(F452,"##")</f>
        <v>8705553##</v>
      </c>
      <c r="E452" t="str">
        <f>IFERROR(VLOOKUP(1*LEFT(C452,7),DF!$A$1:$F$9447,2,FALSE),"")</f>
        <v>PORTA TONFA POLIA VERDE GN</v>
      </c>
      <c r="F452">
        <v>8705553</v>
      </c>
      <c r="G452" t="s">
        <v>12664</v>
      </c>
      <c r="H452">
        <v>3</v>
      </c>
    </row>
    <row r="453" spans="1:9" x14ac:dyDescent="0.25">
      <c r="A453">
        <v>16522</v>
      </c>
      <c r="B453" t="s">
        <v>4</v>
      </c>
      <c r="C453" t="str">
        <f>CONCATENATE(F453,"##")</f>
        <v>8500500##</v>
      </c>
      <c r="E453" t="str">
        <f>IFERROR(VLOOKUP(1*LEFT(C453,7),DF!$A$1:$F$9447,2,FALSE),"")</f>
        <v>PRECINTOS POLICIALES TACTICOS LUBRI MAL</v>
      </c>
      <c r="F453">
        <v>8500500</v>
      </c>
      <c r="G453" t="s">
        <v>12665</v>
      </c>
      <c r="H453">
        <v>3</v>
      </c>
    </row>
    <row r="454" spans="1:9" x14ac:dyDescent="0.25">
      <c r="A454">
        <v>16522</v>
      </c>
      <c r="B454" t="s">
        <v>4</v>
      </c>
      <c r="C454" t="str">
        <f>CONCATENATE(F454,"##")</f>
        <v>8520235##</v>
      </c>
      <c r="E454" t="str">
        <f>IFERROR(VLOOKUP(1*LEFT(C454,7),DF!$A$1:$F$9447,2,FALSE),"")</f>
        <v>PUNTERO LASER RECARGABLE</v>
      </c>
      <c r="F454">
        <v>8520235</v>
      </c>
      <c r="G454" t="s">
        <v>12666</v>
      </c>
      <c r="H454">
        <v>4</v>
      </c>
    </row>
    <row r="455" spans="1:9" x14ac:dyDescent="0.25">
      <c r="A455" s="2">
        <v>16522</v>
      </c>
      <c r="B455" s="2" t="s">
        <v>4</v>
      </c>
      <c r="C455" s="2" t="str">
        <f>CONCATENATE(F455,"##")</f>
        <v>8522999##</v>
      </c>
      <c r="D455" s="2"/>
      <c r="E455" s="2" t="str">
        <f>IFERROR(VLOOKUP(1*LEFT(C455,7),DF!$A$1:$F$9447,2,FALSE),"")</f>
        <v>RABIZA ANTIPERDIDA RAB-BROCHE/ABROJ EZ</v>
      </c>
      <c r="F455">
        <v>8522999</v>
      </c>
      <c r="G455" t="s">
        <v>12829</v>
      </c>
      <c r="H455">
        <v>3</v>
      </c>
    </row>
    <row r="456" spans="1:9" x14ac:dyDescent="0.25">
      <c r="A456" s="2">
        <v>16522</v>
      </c>
      <c r="B456" s="2" t="s">
        <v>4</v>
      </c>
      <c r="C456" s="2" t="str">
        <f>CONCATENATE(F456,"##")</f>
        <v>8522101##</v>
      </c>
      <c r="D456" s="2"/>
      <c r="E456" s="2" t="str">
        <f>IFERROR(VLOOKUP(1*LEFT(C456,7),DF!$A$1:$F$9447,2,FALSE),"")</f>
        <v>RABIZA EXTENSIBLE RETRACTIL 101RR FUN</v>
      </c>
      <c r="F456">
        <v>8522101</v>
      </c>
      <c r="G456" t="s">
        <v>12828</v>
      </c>
      <c r="H456">
        <v>3</v>
      </c>
    </row>
    <row r="457" spans="1:9" x14ac:dyDescent="0.25">
      <c r="A457">
        <v>16522</v>
      </c>
      <c r="B457" t="s">
        <v>4</v>
      </c>
      <c r="C457" t="str">
        <f>CONCATENATE(F457,"##")</f>
        <v>8303299##</v>
      </c>
      <c r="E457" t="str">
        <f>IFERROR(VLOOKUP(1*LEFT(C457,7),DF!$A$1:$F$9447,2,FALSE),"")</f>
        <v>RELOJ TACTICO DIGITAL 5514-30-48/3,6</v>
      </c>
      <c r="F457">
        <v>8303299</v>
      </c>
      <c r="G457" t="s">
        <v>12667</v>
      </c>
      <c r="H457">
        <v>5</v>
      </c>
    </row>
    <row r="458" spans="1:9" x14ac:dyDescent="0.25">
      <c r="A458" s="2">
        <v>16522</v>
      </c>
      <c r="B458" s="2" t="s">
        <v>4</v>
      </c>
      <c r="C458" s="2" t="str">
        <f>CONCATENATE(F458,"##")</f>
        <v>2220292##</v>
      </c>
      <c r="D458" s="2"/>
      <c r="E458" s="2" t="str">
        <f>IFERROR(VLOOKUP(1*LEFT(C458,7),DF!$A$1:$F$9447,2,FALSE),"")</f>
        <v>REMERA MC AZUL CON ESTAMPA POLICIA GEI</v>
      </c>
      <c r="F458">
        <v>2220292</v>
      </c>
      <c r="G458" t="s">
        <v>12668</v>
      </c>
      <c r="H458">
        <v>4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>CONCATENATE(F459,"##")</f>
        <v>2220333##</v>
      </c>
      <c r="D459" s="2"/>
      <c r="E459" s="2" t="str">
        <f>IFERROR(VLOOKUP(1*LEFT(C459,7),DF!$A$1:$F$9447,2,FALSE),"")</f>
        <v>REMERA MC AZUL LISA GEI</v>
      </c>
      <c r="F459" s="7">
        <v>2220333</v>
      </c>
      <c r="G459" t="s">
        <v>12669</v>
      </c>
      <c r="H459">
        <v>1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>CONCATENATE(F460,"##")</f>
        <v>2220856##</v>
      </c>
      <c r="D460" s="2"/>
      <c r="E460" s="2" t="str">
        <f>IFERROR(VLOOKUP(1*LEFT(C460,7),DF!$A$1:$F$9447,2,FALSE),"")</f>
        <v>REMERA MC BEIGE LISA GEI</v>
      </c>
      <c r="F460" s="7">
        <v>2220856</v>
      </c>
      <c r="G460" t="s">
        <v>12670</v>
      </c>
      <c r="H460">
        <v>1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>CONCATENATE(F461,"##")</f>
        <v>2220004##</v>
      </c>
      <c r="D461" s="2"/>
      <c r="E461" s="2" t="str">
        <f>IFERROR(VLOOKUP(1*LEFT(C461,7),DF!$A$1:$F$9447,2,FALSE),"")</f>
        <v>REMERA MC BLANCA LISA GEI</v>
      </c>
      <c r="F461" s="7">
        <v>2220004</v>
      </c>
      <c r="G461" t="s">
        <v>12671</v>
      </c>
      <c r="H461">
        <v>1</v>
      </c>
      <c r="I461">
        <v>1</v>
      </c>
    </row>
    <row r="462" spans="1:9" x14ac:dyDescent="0.25">
      <c r="A462" s="2">
        <v>16522</v>
      </c>
      <c r="B462" s="2" t="s">
        <v>4</v>
      </c>
      <c r="C462" s="2" t="str">
        <f>CONCATENATE(F462,"##")</f>
        <v>2220601##</v>
      </c>
      <c r="D462" s="2"/>
      <c r="E462" s="2" t="str">
        <f>IFERROR(VLOOKUP(1*LEFT(C462,7),DF!$A$1:$F$9447,2,FALSE),"")</f>
        <v>REMERA MC GRIS MELANGE SIN BORDAR GEI</v>
      </c>
      <c r="F462" s="7">
        <v>2220601</v>
      </c>
      <c r="G462" t="s">
        <v>12674</v>
      </c>
      <c r="H462">
        <v>3</v>
      </c>
    </row>
    <row r="463" spans="1:9" x14ac:dyDescent="0.25">
      <c r="A463" s="2">
        <v>16522</v>
      </c>
      <c r="B463" s="2" t="s">
        <v>4</v>
      </c>
      <c r="C463" s="2" t="str">
        <f>CONCATENATE(F463,"##")</f>
        <v>2220456##</v>
      </c>
      <c r="D463" s="2"/>
      <c r="E463" s="2" t="str">
        <f>IFERROR(VLOOKUP(1*LEFT(C463,7),DF!$A$1:$F$9447,2,FALSE),"")</f>
        <v>REMERA MC NEGRA CON ESTAMPA POLICIA GEI</v>
      </c>
      <c r="F463" s="7">
        <v>2220456</v>
      </c>
      <c r="G463" t="s">
        <v>12675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>CONCATENATE(F464,"##")</f>
        <v>2220444##</v>
      </c>
      <c r="D464" s="2"/>
      <c r="E464" s="2" t="str">
        <f>IFERROR(VLOOKUP(1*LEFT(C464,7),DF!$A$1:$F$9447,2,FALSE),"")</f>
        <v>REMERA MC NEGRA LISA GEI</v>
      </c>
      <c r="F464" s="7">
        <v>2220444</v>
      </c>
      <c r="G464" t="s">
        <v>12676</v>
      </c>
      <c r="H464">
        <v>1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2230600##</v>
      </c>
      <c r="D465" s="2"/>
      <c r="E465" s="2" t="str">
        <f>IFERROR(VLOOKUP(1*LEFT(C465,7),DF!$A$1:$F$9447,2,FALSE),"")</f>
        <v>REMERA MC VERDE LMGE GEI</v>
      </c>
      <c r="F465" s="7">
        <v>2230600</v>
      </c>
      <c r="G465" t="s">
        <v>12677</v>
      </c>
      <c r="H465">
        <v>1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>CONCATENATE(F466,"##")</f>
        <v>2220100##</v>
      </c>
      <c r="D466" s="2"/>
      <c r="E466" s="2" t="str">
        <f>IFERROR(VLOOKUP(1*LEFT(C466,7),DF!$A$1:$F$9447,2,FALSE),"")</f>
        <v>REMERA ML 1RA PIEL NEGRA MINIJACK RER</v>
      </c>
      <c r="F466" s="7">
        <v>2220100</v>
      </c>
      <c r="G466" t="s">
        <v>12678</v>
      </c>
      <c r="H466">
        <v>4</v>
      </c>
    </row>
    <row r="467" spans="1:9" x14ac:dyDescent="0.25">
      <c r="A467" s="2">
        <v>16522</v>
      </c>
      <c r="B467" s="2" t="s">
        <v>4</v>
      </c>
      <c r="C467" s="2" t="str">
        <f>CONCATENATE(F467,"##")</f>
        <v>2103495##</v>
      </c>
      <c r="D467" s="2"/>
      <c r="E467" s="2" t="str">
        <f>IFERROR(VLOOKUP(1*LEFT(C467,7),DF!$A$1:$F$9447,2,FALSE),"")</f>
        <v>REMERA ML COMBAT AZUL</v>
      </c>
      <c r="F467" s="7">
        <v>2103495</v>
      </c>
      <c r="G467" t="s">
        <v>12679</v>
      </c>
      <c r="H467">
        <v>5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>CONCATENATE(F468,"##")</f>
        <v>2103217##</v>
      </c>
      <c r="D468" s="2"/>
      <c r="E468" s="2" t="str">
        <f>IFERROR(VLOOKUP(1*LEFT(C468,7),DF!$A$1:$F$9447,2,FALSE),"")</f>
        <v>REMERA ML COMBAT NEGRA RER</v>
      </c>
      <c r="F468" s="7">
        <v>2103217</v>
      </c>
      <c r="G468" t="s">
        <v>12680</v>
      </c>
      <c r="H468">
        <v>5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2220591##</v>
      </c>
      <c r="D469" s="2"/>
      <c r="E469" s="2" t="str">
        <f>IFERROR(VLOOKUP(1*LEFT(C469,7),DF!$A$1:$F$9447,2,FALSE),"")</f>
        <v>REMERA ML TERMICAS SPINIT NEGRA GEI</v>
      </c>
      <c r="F469" s="7">
        <v>2220591</v>
      </c>
      <c r="G469" t="s">
        <v>12681</v>
      </c>
      <c r="H469">
        <v>2</v>
      </c>
    </row>
    <row r="470" spans="1:9" x14ac:dyDescent="0.25">
      <c r="A470">
        <v>16522</v>
      </c>
      <c r="B470" t="s">
        <v>4</v>
      </c>
      <c r="C470" t="str">
        <f>CONCATENATE(F470,"##")</f>
        <v>7711676##</v>
      </c>
      <c r="E470" t="str">
        <f>IFERROR(VLOOKUP(1*LEFT(C470,7),DF!$A$1:$F$9447,2,FALSE),"")</f>
        <v>ROMBO BORD ORO DG</v>
      </c>
      <c r="F470">
        <v>7711676</v>
      </c>
      <c r="G470" t="s">
        <v>12682</v>
      </c>
      <c r="H470">
        <v>1</v>
      </c>
    </row>
    <row r="471" spans="1:9" x14ac:dyDescent="0.25">
      <c r="A471">
        <v>16522</v>
      </c>
      <c r="B471" t="s">
        <v>4</v>
      </c>
      <c r="C471" t="str">
        <f>CONCATENATE(F471,"##")</f>
        <v>8401013##</v>
      </c>
      <c r="E471" t="str">
        <f>IFERROR(VLOOKUP(1*LEFT(C471,7),DF!$A$1:$F$9447,2,FALSE),"")</f>
        <v>SUDADERA RED MILITAR BEIGE 160 X 0.25 RE</v>
      </c>
      <c r="F471">
        <v>8401013</v>
      </c>
      <c r="G471" t="s">
        <v>12683</v>
      </c>
      <c r="H471">
        <v>1</v>
      </c>
    </row>
    <row r="472" spans="1:9" x14ac:dyDescent="0.25">
      <c r="A472">
        <v>16522</v>
      </c>
      <c r="B472" t="s">
        <v>4</v>
      </c>
      <c r="C472" t="str">
        <f>CONCATENATE(F472,"##")</f>
        <v>8401004##</v>
      </c>
      <c r="E472" t="str">
        <f>IFERROR(VLOOKUP(1*LEFT(C472,7),DF!$A$1:$F$9447,2,FALSE),"")</f>
        <v>SUDADERA RED MILITAR BEIGE ORF</v>
      </c>
      <c r="F472">
        <v>8401004</v>
      </c>
      <c r="G472" t="s">
        <v>12684</v>
      </c>
      <c r="H472">
        <v>1</v>
      </c>
    </row>
    <row r="473" spans="1:9" x14ac:dyDescent="0.25">
      <c r="A473">
        <v>16522</v>
      </c>
      <c r="B473" t="s">
        <v>4</v>
      </c>
      <c r="C473" t="str">
        <f>CONCATENATE(F473,"##")</f>
        <v>8401006##</v>
      </c>
      <c r="E473" t="str">
        <f>IFERROR(VLOOKUP(1*LEFT(C473,7),DF!$A$1:$F$9447,2,FALSE),"")</f>
        <v>SUDADERA RED MILITAR BLANCA ORF</v>
      </c>
      <c r="F473">
        <v>8401006</v>
      </c>
      <c r="G473" t="s">
        <v>12685</v>
      </c>
      <c r="H473">
        <v>1</v>
      </c>
    </row>
    <row r="474" spans="1:9" x14ac:dyDescent="0.25">
      <c r="A474">
        <v>16522</v>
      </c>
      <c r="B474" t="s">
        <v>4</v>
      </c>
      <c r="C474" t="str">
        <f>CONCATENATE(F474,"##")</f>
        <v>8401005##</v>
      </c>
      <c r="E474" t="str">
        <f>IFERROR(VLOOKUP(1*LEFT(C474,7),DF!$A$1:$F$9447,2,FALSE),"")</f>
        <v>SUDADERA RED MILITAR MARRON ORF</v>
      </c>
      <c r="F474">
        <v>8401005</v>
      </c>
      <c r="G474" t="s">
        <v>12686</v>
      </c>
      <c r="H474">
        <v>1</v>
      </c>
    </row>
    <row r="475" spans="1:9" x14ac:dyDescent="0.25">
      <c r="A475">
        <v>16522</v>
      </c>
      <c r="B475" t="s">
        <v>4</v>
      </c>
      <c r="C475" t="str">
        <f>CONCATENATE(F475,"##")</f>
        <v>8401010##</v>
      </c>
      <c r="E475" t="str">
        <f>IFERROR(VLOOKUP(1*LEFT(C475,7),DF!$A$1:$F$9447,2,FALSE),"")</f>
        <v>SUDADERA RED MILITAR NEG 160 X 0.25 RER</v>
      </c>
      <c r="F475">
        <v>8401010</v>
      </c>
      <c r="G475" t="s">
        <v>12687</v>
      </c>
      <c r="H475">
        <v>1</v>
      </c>
    </row>
    <row r="476" spans="1:9" x14ac:dyDescent="0.25">
      <c r="A476">
        <v>16522</v>
      </c>
      <c r="B476" t="s">
        <v>4</v>
      </c>
      <c r="C476" t="str">
        <f>CONCATENATE(F476,"##")</f>
        <v>8401009##</v>
      </c>
      <c r="E476" t="str">
        <f>IFERROR(VLOOKUP(1*LEFT(C476,7),DF!$A$1:$F$9447,2,FALSE),"")</f>
        <v>SUDADERA RED MILITAR NEG 160 X 0.45 RER</v>
      </c>
      <c r="F476">
        <v>8401009</v>
      </c>
      <c r="G476" t="s">
        <v>12688</v>
      </c>
      <c r="H476">
        <v>1</v>
      </c>
    </row>
    <row r="477" spans="1:9" x14ac:dyDescent="0.25">
      <c r="A477">
        <v>16522</v>
      </c>
      <c r="B477" t="s">
        <v>4</v>
      </c>
      <c r="C477" t="str">
        <f>CONCATENATE(F477,"##")</f>
        <v>8401001##</v>
      </c>
      <c r="E477" t="str">
        <f>IFERROR(VLOOKUP(1*LEFT(C477,7),DF!$A$1:$F$9447,2,FALSE),"")</f>
        <v>SUDADERA RED MILITAR NEGRA ORF</v>
      </c>
      <c r="F477">
        <v>8401001</v>
      </c>
      <c r="G477" t="s">
        <v>12689</v>
      </c>
      <c r="H477">
        <v>1</v>
      </c>
    </row>
    <row r="478" spans="1:9" x14ac:dyDescent="0.25">
      <c r="A478">
        <v>16522</v>
      </c>
      <c r="B478" t="s">
        <v>4</v>
      </c>
      <c r="C478" t="str">
        <f>CONCATENATE(F478,"##")</f>
        <v>8401012##</v>
      </c>
      <c r="E478" t="str">
        <f>IFERROR(VLOOKUP(1*LEFT(C478,7),DF!$A$1:$F$9447,2,FALSE),"")</f>
        <v>SUDADERA RED MILITAR VER 160 X 0.25 RER</v>
      </c>
      <c r="F478">
        <v>8401012</v>
      </c>
      <c r="G478" t="s">
        <v>12690</v>
      </c>
      <c r="H478">
        <v>1</v>
      </c>
    </row>
    <row r="479" spans="1:9" x14ac:dyDescent="0.25">
      <c r="A479">
        <v>16522</v>
      </c>
      <c r="B479" t="s">
        <v>4</v>
      </c>
      <c r="C479" t="str">
        <f>CONCATENATE(F479,"##")</f>
        <v>8401011##</v>
      </c>
      <c r="E479" t="str">
        <f>IFERROR(VLOOKUP(1*LEFT(C479,7),DF!$A$1:$F$9447,2,FALSE),"")</f>
        <v>SUDADERA RED MILITAR VER 160 X 0.45 RER</v>
      </c>
      <c r="F479">
        <v>8401011</v>
      </c>
      <c r="G479" t="s">
        <v>12691</v>
      </c>
      <c r="H479">
        <v>1</v>
      </c>
    </row>
    <row r="480" spans="1:9" x14ac:dyDescent="0.25">
      <c r="A480">
        <v>16522</v>
      </c>
      <c r="B480" t="s">
        <v>4</v>
      </c>
      <c r="C480" t="str">
        <f>CONCATENATE(F480,"##")</f>
        <v>8401003##</v>
      </c>
      <c r="E480" t="str">
        <f>IFERROR(VLOOKUP(1*LEFT(C480,7),DF!$A$1:$F$9447,2,FALSE),"")</f>
        <v>SUDADERA RED MILITAR VERDE ORF</v>
      </c>
      <c r="F480">
        <v>8401003</v>
      </c>
      <c r="G480" t="s">
        <v>12692</v>
      </c>
      <c r="H480">
        <v>1</v>
      </c>
    </row>
    <row r="481" spans="1:9" x14ac:dyDescent="0.25">
      <c r="A481">
        <v>16522</v>
      </c>
      <c r="B481" t="s">
        <v>4</v>
      </c>
      <c r="C481" t="str">
        <f>CONCATENATE(F481,"##")</f>
        <v>8507002##</v>
      </c>
      <c r="E481" t="str">
        <f>IFERROR(VLOOKUP(1*LEFT(C481,7),DF!$A$1:$F$9447,2,FALSE),"")</f>
        <v>TIRO SABLE CUERO 1041 TB</v>
      </c>
      <c r="F481">
        <v>8507002</v>
      </c>
      <c r="G481" t="s">
        <v>12693</v>
      </c>
      <c r="H481">
        <v>4</v>
      </c>
    </row>
    <row r="482" spans="1:9" x14ac:dyDescent="0.25">
      <c r="A482" s="2">
        <v>16522</v>
      </c>
      <c r="B482" s="2" t="s">
        <v>4</v>
      </c>
      <c r="C482" s="2" t="str">
        <f>CONCATENATE(F482,"##")</f>
        <v>2601004##</v>
      </c>
      <c r="D482" s="2"/>
      <c r="E482" s="2" t="str">
        <f>IFERROR(VLOOKUP(1*LEFT(C482,7),DF!$A$1:$F$9447,2,FALSE),"")</f>
        <v>TRICOPOLAR AZUL RER</v>
      </c>
      <c r="F482" s="7">
        <v>2601004</v>
      </c>
      <c r="G482" t="s">
        <v>12694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>CONCATENATE(F483,"##")</f>
        <v>2601750##</v>
      </c>
      <c r="D483" s="2"/>
      <c r="E483" s="2" t="str">
        <f>IFERROR(VLOOKUP(1*LEFT(C483,7),DF!$A$1:$F$9447,2,FALSE),"")</f>
        <v>TRICOPOLAR GRIS RER</v>
      </c>
      <c r="F483" s="7">
        <v>2601750</v>
      </c>
      <c r="G483" t="s">
        <v>12695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>CONCATENATE(F484,"##")</f>
        <v>2601003##</v>
      </c>
      <c r="D484" s="2"/>
      <c r="E484" s="2" t="str">
        <f>IFERROR(VLOOKUP(1*LEFT(C484,7),DF!$A$1:$F$9447,2,FALSE),"")</f>
        <v>TRICOPOLAR NEGRO RER</v>
      </c>
      <c r="F484" s="7">
        <v>2601003</v>
      </c>
      <c r="G484" t="s">
        <v>12696</v>
      </c>
      <c r="H484">
        <v>9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>CONCATENATE(F485,"##")</f>
        <v>2301888##</v>
      </c>
      <c r="D485" s="2"/>
      <c r="E485" s="2" t="str">
        <f>IFERROR(VLOOKUP(1*LEFT(C485,7),DF!$A$1:$F$9447,2,FALSE),"")</f>
        <v>TRICOTA C/POLERA FORRADA AZUL EM</v>
      </c>
      <c r="F485" s="7">
        <v>2301888</v>
      </c>
      <c r="G485" t="s">
        <v>12697</v>
      </c>
      <c r="H485">
        <v>9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>CONCATENATE(F486,"##")</f>
        <v>2301158##</v>
      </c>
      <c r="D486" s="2"/>
      <c r="E486" s="2" t="str">
        <f>IFERROR(VLOOKUP(1*LEFT(C486,7),DF!$A$1:$F$9447,2,FALSE),"")</f>
        <v>TRICOTA C/POLERA FORRADA GRIS EM</v>
      </c>
      <c r="F486" s="7">
        <v>2301158</v>
      </c>
      <c r="G486" t="s">
        <v>12698</v>
      </c>
      <c r="H486">
        <v>8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>CONCATENATE(F487,"##")</f>
        <v>2301048##</v>
      </c>
      <c r="D487" s="2"/>
      <c r="E487" s="2" t="str">
        <f>IFERROR(VLOOKUP(1*LEFT(C487,7),DF!$A$1:$F$9447,2,FALSE),"")</f>
        <v>TRICOTA C/POLERA FORRADA NEGRA EM</v>
      </c>
      <c r="F487" s="7">
        <v>2301048</v>
      </c>
      <c r="G487" t="s">
        <v>12699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>CONCATENATE(F488,"##")</f>
        <v>2301300##</v>
      </c>
      <c r="D488" s="2"/>
      <c r="E488" s="2" t="str">
        <f>IFERROR(VLOOKUP(1*LEFT(C488,7),DF!$A$1:$F$9447,2,FALSE),"")</f>
        <v>TRICOTA C/POLERA FORRADA VERDE EM</v>
      </c>
      <c r="F488" s="7">
        <v>2301300</v>
      </c>
      <c r="G488" t="s">
        <v>12700</v>
      </c>
      <c r="H488">
        <v>8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>CONCATENATE(F489,"##")</f>
        <v>2301777##</v>
      </c>
      <c r="D489" s="2"/>
      <c r="E489" s="2" t="str">
        <f>IFERROR(VLOOKUP(1*LEFT(C489,7),DF!$A$1:$F$9447,2,FALSE),"")</f>
        <v>TRICOTA CUELLO REDONDO FORRADA AZUL EM</v>
      </c>
      <c r="F489" s="7">
        <v>2301777</v>
      </c>
      <c r="G489" t="s">
        <v>12701</v>
      </c>
      <c r="H489">
        <v>4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>CONCATENATE(F490,"##")</f>
        <v>2301900##</v>
      </c>
      <c r="D490" s="2"/>
      <c r="E490" s="2" t="str">
        <f>IFERROR(VLOOKUP(1*LEFT(C490,7),DF!$A$1:$F$9447,2,FALSE),"")</f>
        <v>TRICOTA CUELLO REDONDO NEGRA EM</v>
      </c>
      <c r="F490" s="7">
        <v>2301900</v>
      </c>
      <c r="G490" t="s">
        <v>12702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>CONCATENATE(F491,"##")</f>
        <v>2301333##</v>
      </c>
      <c r="D491" s="2"/>
      <c r="E491" s="2" t="str">
        <f>IFERROR(VLOOKUP(1*LEFT(C491,7),DF!$A$1:$F$9447,2,FALSE),"")</f>
        <v>TRICOTA CUELLO REDONDO VERDE EM</v>
      </c>
      <c r="F491" s="7">
        <v>2301333</v>
      </c>
      <c r="G491" t="s">
        <v>12703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>CONCATENATE(F492,"##")</f>
        <v>2301666##</v>
      </c>
      <c r="D492" s="2"/>
      <c r="E492" s="2" t="str">
        <f>IFERROR(VLOOKUP(1*LEFT(C492,7),DF!$A$1:$F$9447,2,FALSE),"")</f>
        <v>TRICOTA ESCOTE V SIN FORRO AZUL EM</v>
      </c>
      <c r="F492" s="7">
        <v>2301666</v>
      </c>
      <c r="G492" t="s">
        <v>12704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>CONCATENATE(F493,"##")</f>
        <v>2301046##</v>
      </c>
      <c r="D493" s="2"/>
      <c r="E493" s="2" t="str">
        <f>IFERROR(VLOOKUP(1*LEFT(C493,7),DF!$A$1:$F$9447,2,FALSE),"")</f>
        <v>TRICOTA ESCOTE V SIN FORRO NEGRA EM</v>
      </c>
      <c r="F493" s="7">
        <v>2301046</v>
      </c>
      <c r="G493" t="s">
        <v>12705</v>
      </c>
      <c r="H493">
        <v>5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>CONCATENATE(F494,"##")</f>
        <v>8203265##</v>
      </c>
      <c r="D494" s="2"/>
      <c r="E494" s="2" t="str">
        <f>IFERROR(VLOOKUP(1*LEFT(C494,7),DF!$A$1:$F$9447,2,FALSE),"")</f>
        <v>ZAPATO DAMA CUERO FLOR ART.265 RER</v>
      </c>
      <c r="F494" s="7">
        <v>8203265</v>
      </c>
      <c r="G494" t="s">
        <v>12706</v>
      </c>
      <c r="H494">
        <v>8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>CONCATENATE(F495,"##")</f>
        <v>8203830##</v>
      </c>
      <c r="D495" s="2"/>
      <c r="E495" s="2" t="str">
        <f>IFERROR(VLOOKUP(1*LEFT(C495,7),DF!$A$1:$F$9447,2,FALSE),"")</f>
        <v>ZAPATO GOMA ELE</v>
      </c>
      <c r="F495" s="7">
        <v>8203830</v>
      </c>
      <c r="G495" t="s">
        <v>12707</v>
      </c>
      <c r="H495">
        <v>3</v>
      </c>
      <c r="I495">
        <v>1</v>
      </c>
    </row>
  </sheetData>
  <autoFilter ref="A1:J1">
    <sortState ref="A2:J496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13134</v>
      </c>
      <c r="B3" s="26" t="s">
        <v>13135</v>
      </c>
    </row>
    <row r="4" spans="1:2" x14ac:dyDescent="0.25">
      <c r="A4" s="26" t="s">
        <v>13136</v>
      </c>
      <c r="B4" s="27"/>
    </row>
    <row r="5" spans="1:2" x14ac:dyDescent="0.25">
      <c r="A5" s="26" t="s">
        <v>13137</v>
      </c>
      <c r="B5" s="27"/>
    </row>
    <row r="6" spans="1:2" x14ac:dyDescent="0.25">
      <c r="A6" s="26" t="s">
        <v>13138</v>
      </c>
      <c r="B6" s="27"/>
    </row>
    <row r="7" spans="1:2" x14ac:dyDescent="0.25">
      <c r="A7" s="26" t="s">
        <v>13139</v>
      </c>
      <c r="B7" s="27"/>
    </row>
    <row r="8" spans="1:2" x14ac:dyDescent="0.25">
      <c r="A8" s="26" t="s">
        <v>13140</v>
      </c>
      <c r="B8" s="27"/>
    </row>
    <row r="9" spans="1:2" x14ac:dyDescent="0.25">
      <c r="A9" s="26" t="s">
        <v>13141</v>
      </c>
      <c r="B9" s="27"/>
    </row>
    <row r="10" spans="1:2" x14ac:dyDescent="0.25">
      <c r="A10" s="26" t="s">
        <v>13142</v>
      </c>
      <c r="B10" s="27"/>
    </row>
    <row r="11" spans="1:2" x14ac:dyDescent="0.25">
      <c r="A11" s="26" t="s">
        <v>13143</v>
      </c>
      <c r="B11" s="27"/>
    </row>
    <row r="12" spans="1:2" x14ac:dyDescent="0.25">
      <c r="A12" s="26" t="s">
        <v>13144</v>
      </c>
      <c r="B12" s="27"/>
    </row>
    <row r="13" spans="1:2" x14ac:dyDescent="0.25">
      <c r="A13" s="26" t="s">
        <v>13145</v>
      </c>
      <c r="B13" s="27"/>
    </row>
    <row r="14" spans="1:2" x14ac:dyDescent="0.25">
      <c r="A14" s="26" t="s">
        <v>13146</v>
      </c>
      <c r="B14" s="26" t="s">
        <v>13147</v>
      </c>
    </row>
    <row r="15" spans="1:2" x14ac:dyDescent="0.25">
      <c r="A15" s="26" t="s">
        <v>13148</v>
      </c>
      <c r="B15" s="27"/>
    </row>
    <row r="16" spans="1:2" x14ac:dyDescent="0.25">
      <c r="A16" s="26" t="s">
        <v>13149</v>
      </c>
      <c r="B16" s="27"/>
    </row>
    <row r="17" spans="1:2" x14ac:dyDescent="0.25">
      <c r="A17" s="26" t="s">
        <v>13150</v>
      </c>
      <c r="B17" s="27"/>
    </row>
    <row r="18" spans="1:2" x14ac:dyDescent="0.25">
      <c r="A18" s="26" t="s">
        <v>13151</v>
      </c>
      <c r="B18" s="27"/>
    </row>
    <row r="19" spans="1:2" x14ac:dyDescent="0.25">
      <c r="A19" s="26" t="s">
        <v>13152</v>
      </c>
      <c r="B19" s="27"/>
    </row>
    <row r="20" spans="1:2" x14ac:dyDescent="0.25">
      <c r="A20" s="26" t="s">
        <v>13153</v>
      </c>
      <c r="B20" s="27"/>
    </row>
    <row r="21" spans="1:2" x14ac:dyDescent="0.25">
      <c r="A21" s="26" t="s">
        <v>13154</v>
      </c>
      <c r="B21" s="26" t="s">
        <v>13155</v>
      </c>
    </row>
    <row r="22" spans="1:2" x14ac:dyDescent="0.25">
      <c r="A22" s="26" t="s">
        <v>13156</v>
      </c>
      <c r="B22" s="27"/>
    </row>
    <row r="23" spans="1:2" x14ac:dyDescent="0.25">
      <c r="A23" s="28">
        <v>120</v>
      </c>
      <c r="B23" s="26" t="s">
        <v>13157</v>
      </c>
    </row>
    <row r="24" spans="1:2" x14ac:dyDescent="0.25">
      <c r="A24" s="28">
        <v>123</v>
      </c>
      <c r="B24" s="26" t="s">
        <v>13158</v>
      </c>
    </row>
    <row r="25" spans="1:2" x14ac:dyDescent="0.25">
      <c r="A25" s="28">
        <v>124</v>
      </c>
      <c r="B25" s="26" t="s">
        <v>13159</v>
      </c>
    </row>
    <row r="26" spans="1:2" x14ac:dyDescent="0.25">
      <c r="A26" s="28">
        <v>126</v>
      </c>
      <c r="B26" s="26" t="s">
        <v>13160</v>
      </c>
    </row>
    <row r="27" spans="1:2" x14ac:dyDescent="0.25">
      <c r="A27" s="28">
        <v>127</v>
      </c>
      <c r="B27" s="26" t="s">
        <v>13161</v>
      </c>
    </row>
    <row r="28" spans="1:2" x14ac:dyDescent="0.25">
      <c r="A28" s="28">
        <v>128</v>
      </c>
      <c r="B28" s="26" t="s">
        <v>13162</v>
      </c>
    </row>
    <row r="29" spans="1:2" x14ac:dyDescent="0.25">
      <c r="A29" s="28">
        <v>129</v>
      </c>
      <c r="B29" s="26" t="s">
        <v>13163</v>
      </c>
    </row>
    <row r="30" spans="1:2" x14ac:dyDescent="0.25">
      <c r="A30" s="28">
        <v>1</v>
      </c>
      <c r="B30" s="26" t="s">
        <v>13164</v>
      </c>
    </row>
    <row r="31" spans="1:2" x14ac:dyDescent="0.25">
      <c r="A31" s="28">
        <v>1</v>
      </c>
      <c r="B31" s="26" t="s">
        <v>13165</v>
      </c>
    </row>
    <row r="32" spans="1:2" x14ac:dyDescent="0.25">
      <c r="A32" s="28">
        <v>10</v>
      </c>
      <c r="B32" s="26" t="s">
        <v>13166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13167</v>
      </c>
      <c r="B54" s="27"/>
    </row>
    <row r="55" spans="1:2" x14ac:dyDescent="0.25">
      <c r="A55" s="26" t="s">
        <v>13168</v>
      </c>
      <c r="B55" s="27"/>
    </row>
    <row r="56" spans="1:2" x14ac:dyDescent="0.25">
      <c r="A56" s="26" t="s">
        <v>13169</v>
      </c>
      <c r="B56" s="26" t="s">
        <v>13170</v>
      </c>
    </row>
    <row r="57" spans="1:2" x14ac:dyDescent="0.25">
      <c r="A57" s="26" t="s">
        <v>13171</v>
      </c>
      <c r="B57" s="26" t="s">
        <v>13172</v>
      </c>
    </row>
    <row r="58" spans="1:2" x14ac:dyDescent="0.25">
      <c r="A58" s="26" t="s">
        <v>13173</v>
      </c>
      <c r="B58" s="26" t="s">
        <v>13174</v>
      </c>
    </row>
    <row r="59" spans="1:2" x14ac:dyDescent="0.25">
      <c r="A59" s="26" t="s">
        <v>13175</v>
      </c>
      <c r="B59" s="27"/>
    </row>
    <row r="60" spans="1:2" x14ac:dyDescent="0.25">
      <c r="A60" s="26" t="s">
        <v>13176</v>
      </c>
      <c r="B60" s="26" t="s">
        <v>13177</v>
      </c>
    </row>
    <row r="61" spans="1:2" x14ac:dyDescent="0.25">
      <c r="A61" s="26" t="s">
        <v>13178</v>
      </c>
      <c r="B61" s="27"/>
    </row>
    <row r="62" spans="1:2" x14ac:dyDescent="0.25">
      <c r="A62" s="26" t="s">
        <v>13179</v>
      </c>
      <c r="B62" s="27"/>
    </row>
    <row r="63" spans="1:2" x14ac:dyDescent="0.25">
      <c r="A63" s="26" t="s">
        <v>13180</v>
      </c>
      <c r="B63" s="26" t="s">
        <v>13181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13956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13182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13183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13184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13185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13186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13957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13187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13188</v>
      </c>
      <c r="B206" s="26" t="s">
        <v>13189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13190</v>
      </c>
      <c r="B208" s="26" t="s">
        <v>13191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13192</v>
      </c>
      <c r="B231" s="26" t="s">
        <v>13193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13194</v>
      </c>
      <c r="B243" s="27"/>
    </row>
    <row r="244" spans="1:2" x14ac:dyDescent="0.25">
      <c r="A244" s="26" t="s">
        <v>13195</v>
      </c>
      <c r="B244" s="27"/>
    </row>
    <row r="245" spans="1:2" x14ac:dyDescent="0.25">
      <c r="A245" s="26" t="s">
        <v>13196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13197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13198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13199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13200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13201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13202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13203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13204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13205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13206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13207</v>
      </c>
    </row>
    <row r="306" spans="1:2" x14ac:dyDescent="0.25">
      <c r="A306" s="28">
        <v>1120442</v>
      </c>
      <c r="B306" s="26" t="s">
        <v>13208</v>
      </c>
    </row>
    <row r="307" spans="1:2" x14ac:dyDescent="0.25">
      <c r="A307" s="26" t="s">
        <v>13209</v>
      </c>
      <c r="B307" s="27"/>
    </row>
    <row r="308" spans="1:2" x14ac:dyDescent="0.25">
      <c r="A308" s="28">
        <v>1120443</v>
      </c>
      <c r="B308" s="26" t="s">
        <v>13210</v>
      </c>
    </row>
    <row r="309" spans="1:2" x14ac:dyDescent="0.25">
      <c r="A309" s="26" t="s">
        <v>13211</v>
      </c>
      <c r="B309" s="27"/>
    </row>
    <row r="310" spans="1:2" x14ac:dyDescent="0.25">
      <c r="A310" s="28">
        <v>1120444</v>
      </c>
      <c r="B310" s="26" t="s">
        <v>13212</v>
      </c>
    </row>
    <row r="311" spans="1:2" x14ac:dyDescent="0.25">
      <c r="A311" s="26" t="s">
        <v>13213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13214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13215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13216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13217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13218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13219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13220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13221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13222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13223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13224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13225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13226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13958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13959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13227</v>
      </c>
    </row>
    <row r="543" spans="1:2" x14ac:dyDescent="0.25">
      <c r="A543" s="28">
        <v>112094036</v>
      </c>
      <c r="B543" s="26" t="s">
        <v>13228</v>
      </c>
    </row>
    <row r="544" spans="1:2" x14ac:dyDescent="0.25">
      <c r="A544" s="28">
        <v>112094038</v>
      </c>
      <c r="B544" s="26" t="s">
        <v>13229</v>
      </c>
    </row>
    <row r="545" spans="1:2" x14ac:dyDescent="0.25">
      <c r="A545" s="28">
        <v>112094040</v>
      </c>
      <c r="B545" s="26" t="s">
        <v>13230</v>
      </c>
    </row>
    <row r="546" spans="1:2" x14ac:dyDescent="0.25">
      <c r="A546" s="28">
        <v>112094044</v>
      </c>
      <c r="B546" s="26" t="s">
        <v>13231</v>
      </c>
    </row>
    <row r="547" spans="1:2" x14ac:dyDescent="0.25">
      <c r="A547" s="28">
        <v>112094046</v>
      </c>
      <c r="B547" s="26" t="s">
        <v>13232</v>
      </c>
    </row>
    <row r="548" spans="1:2" x14ac:dyDescent="0.25">
      <c r="A548" s="28">
        <v>112094048</v>
      </c>
      <c r="B548" s="26" t="s">
        <v>13233</v>
      </c>
    </row>
    <row r="549" spans="1:2" x14ac:dyDescent="0.25">
      <c r="A549" s="28">
        <v>112094052</v>
      </c>
      <c r="B549" s="26" t="s">
        <v>13234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13235</v>
      </c>
    </row>
    <row r="552" spans="1:2" x14ac:dyDescent="0.25">
      <c r="A552" s="28">
        <v>112094154</v>
      </c>
      <c r="B552" s="26" t="s">
        <v>13236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13237</v>
      </c>
    </row>
    <row r="555" spans="1:2" x14ac:dyDescent="0.25">
      <c r="A555" s="28">
        <v>112094258</v>
      </c>
      <c r="B555" s="26" t="s">
        <v>13238</v>
      </c>
    </row>
    <row r="556" spans="1:2" x14ac:dyDescent="0.25">
      <c r="A556" s="28">
        <v>112094260</v>
      </c>
      <c r="B556" s="26" t="s">
        <v>13239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13240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13241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13242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13243</v>
      </c>
    </row>
    <row r="575" spans="1:2" x14ac:dyDescent="0.25">
      <c r="A575" s="28">
        <v>1121004</v>
      </c>
      <c r="B575" s="26" t="s">
        <v>13244</v>
      </c>
    </row>
    <row r="576" spans="1:2" x14ac:dyDescent="0.25">
      <c r="A576" s="28">
        <v>1121005</v>
      </c>
      <c r="B576" s="26" t="s">
        <v>13245</v>
      </c>
    </row>
    <row r="577" spans="1:2" x14ac:dyDescent="0.25">
      <c r="A577" s="28">
        <v>1121006</v>
      </c>
      <c r="B577" s="26" t="s">
        <v>13246</v>
      </c>
    </row>
    <row r="578" spans="1:2" x14ac:dyDescent="0.25">
      <c r="A578" s="28">
        <v>1121106</v>
      </c>
      <c r="B578" s="26" t="s">
        <v>13247</v>
      </c>
    </row>
    <row r="579" spans="1:2" x14ac:dyDescent="0.25">
      <c r="A579" s="28">
        <v>1121107</v>
      </c>
      <c r="B579" s="26" t="s">
        <v>13248</v>
      </c>
    </row>
    <row r="580" spans="1:2" x14ac:dyDescent="0.25">
      <c r="A580" s="28">
        <v>1121110</v>
      </c>
      <c r="B580" s="26" t="s">
        <v>13249</v>
      </c>
    </row>
    <row r="581" spans="1:2" x14ac:dyDescent="0.25">
      <c r="A581" s="28">
        <v>1121111</v>
      </c>
      <c r="B581" s="26" t="s">
        <v>13250</v>
      </c>
    </row>
    <row r="582" spans="1:2" x14ac:dyDescent="0.25">
      <c r="A582" s="28">
        <v>1121130</v>
      </c>
      <c r="B582" s="26" t="s">
        <v>13251</v>
      </c>
    </row>
    <row r="583" spans="1:2" x14ac:dyDescent="0.25">
      <c r="A583" s="28">
        <v>1121131</v>
      </c>
      <c r="B583" s="26" t="s">
        <v>13252</v>
      </c>
    </row>
    <row r="584" spans="1:2" x14ac:dyDescent="0.25">
      <c r="A584" s="28">
        <v>1121132</v>
      </c>
      <c r="B584" s="26" t="s">
        <v>13253</v>
      </c>
    </row>
    <row r="585" spans="1:2" x14ac:dyDescent="0.25">
      <c r="A585" s="28">
        <v>1121133</v>
      </c>
      <c r="B585" s="26" t="s">
        <v>13254</v>
      </c>
    </row>
    <row r="586" spans="1:2" x14ac:dyDescent="0.25">
      <c r="A586" s="28">
        <v>1121140</v>
      </c>
      <c r="B586" s="26" t="s">
        <v>13255</v>
      </c>
    </row>
    <row r="587" spans="1:2" x14ac:dyDescent="0.25">
      <c r="A587" s="28">
        <v>1121150</v>
      </c>
      <c r="B587" s="26" t="s">
        <v>13256</v>
      </c>
    </row>
    <row r="588" spans="1:2" x14ac:dyDescent="0.25">
      <c r="A588" s="28">
        <v>1121160</v>
      </c>
      <c r="B588" s="26" t="s">
        <v>13257</v>
      </c>
    </row>
    <row r="589" spans="1:2" x14ac:dyDescent="0.25">
      <c r="A589" s="28">
        <v>1121165</v>
      </c>
      <c r="B589" s="26" t="s">
        <v>13258</v>
      </c>
    </row>
    <row r="590" spans="1:2" x14ac:dyDescent="0.25">
      <c r="A590" s="28">
        <v>1121166</v>
      </c>
      <c r="B590" s="26" t="s">
        <v>13259</v>
      </c>
    </row>
    <row r="591" spans="1:2" x14ac:dyDescent="0.25">
      <c r="A591" s="28">
        <v>1121167</v>
      </c>
      <c r="B591" s="26" t="s">
        <v>13260</v>
      </c>
    </row>
    <row r="592" spans="1:2" x14ac:dyDescent="0.25">
      <c r="A592" s="28">
        <v>1121168</v>
      </c>
      <c r="B592" s="26" t="s">
        <v>13261</v>
      </c>
    </row>
    <row r="593" spans="1:2" x14ac:dyDescent="0.25">
      <c r="A593" s="28">
        <v>1121170</v>
      </c>
      <c r="B593" s="26" t="s">
        <v>13262</v>
      </c>
    </row>
    <row r="594" spans="1:2" x14ac:dyDescent="0.25">
      <c r="A594" s="28">
        <v>1121175</v>
      </c>
      <c r="B594" s="26" t="s">
        <v>13263</v>
      </c>
    </row>
    <row r="595" spans="1:2" x14ac:dyDescent="0.25">
      <c r="A595" s="28">
        <v>1121180</v>
      </c>
      <c r="B595" s="26" t="s">
        <v>13264</v>
      </c>
    </row>
    <row r="596" spans="1:2" x14ac:dyDescent="0.25">
      <c r="A596" s="28">
        <v>1121182</v>
      </c>
      <c r="B596" s="26" t="s">
        <v>13265</v>
      </c>
    </row>
    <row r="597" spans="1:2" x14ac:dyDescent="0.25">
      <c r="A597" s="28">
        <v>1121183</v>
      </c>
      <c r="B597" s="26" t="s">
        <v>13266</v>
      </c>
    </row>
    <row r="598" spans="1:2" x14ac:dyDescent="0.25">
      <c r="A598" s="28">
        <v>1121184</v>
      </c>
      <c r="B598" s="26" t="s">
        <v>13267</v>
      </c>
    </row>
    <row r="599" spans="1:2" x14ac:dyDescent="0.25">
      <c r="A599" s="28">
        <v>1121185</v>
      </c>
      <c r="B599" s="26" t="s">
        <v>13268</v>
      </c>
    </row>
    <row r="600" spans="1:2" x14ac:dyDescent="0.25">
      <c r="A600" s="28">
        <v>1121190</v>
      </c>
      <c r="B600" s="26" t="s">
        <v>13269</v>
      </c>
    </row>
    <row r="601" spans="1:2" x14ac:dyDescent="0.25">
      <c r="A601" s="28">
        <v>1121195</v>
      </c>
      <c r="B601" s="26" t="s">
        <v>13270</v>
      </c>
    </row>
    <row r="602" spans="1:2" x14ac:dyDescent="0.25">
      <c r="A602" s="28">
        <v>1121206</v>
      </c>
      <c r="B602" s="26" t="s">
        <v>13271</v>
      </c>
    </row>
    <row r="603" spans="1:2" x14ac:dyDescent="0.25">
      <c r="A603" s="28">
        <v>1121207</v>
      </c>
      <c r="B603" s="26" t="s">
        <v>13272</v>
      </c>
    </row>
    <row r="604" spans="1:2" x14ac:dyDescent="0.25">
      <c r="A604" s="28">
        <v>1121208</v>
      </c>
      <c r="B604" s="26" t="s">
        <v>13273</v>
      </c>
    </row>
    <row r="605" spans="1:2" x14ac:dyDescent="0.25">
      <c r="A605" s="28">
        <v>1121209</v>
      </c>
      <c r="B605" s="26" t="s">
        <v>13274</v>
      </c>
    </row>
    <row r="606" spans="1:2" x14ac:dyDescent="0.25">
      <c r="A606" s="28">
        <v>1121224</v>
      </c>
      <c r="B606" s="26" t="s">
        <v>13275</v>
      </c>
    </row>
    <row r="607" spans="1:2" x14ac:dyDescent="0.25">
      <c r="A607" s="28">
        <v>1121225</v>
      </c>
      <c r="B607" s="26" t="s">
        <v>13276</v>
      </c>
    </row>
    <row r="608" spans="1:2" x14ac:dyDescent="0.25">
      <c r="A608" s="28">
        <v>1121246</v>
      </c>
      <c r="B608" s="26" t="s">
        <v>13277</v>
      </c>
    </row>
    <row r="609" spans="1:2" x14ac:dyDescent="0.25">
      <c r="A609" s="28">
        <v>1121247</v>
      </c>
      <c r="B609" s="26" t="s">
        <v>13278</v>
      </c>
    </row>
    <row r="610" spans="1:2" x14ac:dyDescent="0.25">
      <c r="A610" s="28">
        <v>1121248</v>
      </c>
      <c r="B610" s="26" t="s">
        <v>13279</v>
      </c>
    </row>
    <row r="611" spans="1:2" x14ac:dyDescent="0.25">
      <c r="A611" s="28">
        <v>1121285</v>
      </c>
      <c r="B611" s="26" t="s">
        <v>13280</v>
      </c>
    </row>
    <row r="612" spans="1:2" x14ac:dyDescent="0.25">
      <c r="A612" s="28">
        <v>1121315</v>
      </c>
      <c r="B612" s="26" t="s">
        <v>13281</v>
      </c>
    </row>
    <row r="613" spans="1:2" x14ac:dyDescent="0.25">
      <c r="A613" s="28">
        <v>1121316</v>
      </c>
      <c r="B613" s="26" t="s">
        <v>13282</v>
      </c>
    </row>
    <row r="614" spans="1:2" x14ac:dyDescent="0.25">
      <c r="A614" s="28">
        <v>1121317</v>
      </c>
      <c r="B614" s="26" t="s">
        <v>13283</v>
      </c>
    </row>
    <row r="615" spans="1:2" x14ac:dyDescent="0.25">
      <c r="A615" s="28">
        <v>1121318</v>
      </c>
      <c r="B615" s="26" t="s">
        <v>13284</v>
      </c>
    </row>
    <row r="616" spans="1:2" x14ac:dyDescent="0.25">
      <c r="A616" s="28">
        <v>1121323</v>
      </c>
      <c r="B616" s="26" t="s">
        <v>13285</v>
      </c>
    </row>
    <row r="617" spans="1:2" x14ac:dyDescent="0.25">
      <c r="A617" s="28">
        <v>1121324</v>
      </c>
      <c r="B617" s="26" t="s">
        <v>13286</v>
      </c>
    </row>
    <row r="618" spans="1:2" x14ac:dyDescent="0.25">
      <c r="A618" s="28">
        <v>1121325</v>
      </c>
      <c r="B618" s="26" t="s">
        <v>13287</v>
      </c>
    </row>
    <row r="619" spans="1:2" x14ac:dyDescent="0.25">
      <c r="A619" s="28">
        <v>1121330</v>
      </c>
      <c r="B619" s="26" t="s">
        <v>13288</v>
      </c>
    </row>
    <row r="620" spans="1:2" x14ac:dyDescent="0.25">
      <c r="A620" s="28">
        <v>1121331</v>
      </c>
      <c r="B620" s="26" t="s">
        <v>13289</v>
      </c>
    </row>
    <row r="621" spans="1:2" x14ac:dyDescent="0.25">
      <c r="A621" s="28">
        <v>1121332</v>
      </c>
      <c r="B621" s="26" t="s">
        <v>13290</v>
      </c>
    </row>
    <row r="622" spans="1:2" x14ac:dyDescent="0.25">
      <c r="A622" s="28">
        <v>1121333</v>
      </c>
      <c r="B622" s="26" t="s">
        <v>13291</v>
      </c>
    </row>
    <row r="623" spans="1:2" x14ac:dyDescent="0.25">
      <c r="A623" s="28">
        <v>1121334</v>
      </c>
      <c r="B623" s="26" t="s">
        <v>13292</v>
      </c>
    </row>
    <row r="624" spans="1:2" x14ac:dyDescent="0.25">
      <c r="A624" s="28">
        <v>1121335</v>
      </c>
      <c r="B624" s="26" t="s">
        <v>13293</v>
      </c>
    </row>
    <row r="625" spans="1:2" x14ac:dyDescent="0.25">
      <c r="A625" s="28">
        <v>1121336</v>
      </c>
      <c r="B625" s="26" t="s">
        <v>13294</v>
      </c>
    </row>
    <row r="626" spans="1:2" x14ac:dyDescent="0.25">
      <c r="A626" s="28">
        <v>1121400</v>
      </c>
      <c r="B626" s="26" t="s">
        <v>13295</v>
      </c>
    </row>
    <row r="627" spans="1:2" x14ac:dyDescent="0.25">
      <c r="A627" s="28">
        <v>1121401</v>
      </c>
      <c r="B627" s="26" t="s">
        <v>13296</v>
      </c>
    </row>
    <row r="628" spans="1:2" x14ac:dyDescent="0.25">
      <c r="A628" s="28">
        <v>1121402</v>
      </c>
      <c r="B628" s="26" t="s">
        <v>13297</v>
      </c>
    </row>
    <row r="629" spans="1:2" x14ac:dyDescent="0.25">
      <c r="A629" s="28">
        <v>1121433</v>
      </c>
      <c r="B629" s="26" t="s">
        <v>13298</v>
      </c>
    </row>
    <row r="630" spans="1:2" x14ac:dyDescent="0.25">
      <c r="A630" s="28">
        <v>1121434</v>
      </c>
      <c r="B630" s="26" t="s">
        <v>13299</v>
      </c>
    </row>
    <row r="631" spans="1:2" x14ac:dyDescent="0.25">
      <c r="A631" s="28">
        <v>1121441</v>
      </c>
      <c r="B631" s="26" t="s">
        <v>13300</v>
      </c>
    </row>
    <row r="632" spans="1:2" x14ac:dyDescent="0.25">
      <c r="A632" s="28">
        <v>1121442</v>
      </c>
      <c r="B632" s="26" t="s">
        <v>13301</v>
      </c>
    </row>
    <row r="633" spans="1:2" x14ac:dyDescent="0.25">
      <c r="A633" s="28">
        <v>1121443</v>
      </c>
      <c r="B633" s="26" t="s">
        <v>13302</v>
      </c>
    </row>
    <row r="634" spans="1:2" x14ac:dyDescent="0.25">
      <c r="A634" s="28">
        <v>1121444</v>
      </c>
      <c r="B634" s="26" t="s">
        <v>13303</v>
      </c>
    </row>
    <row r="635" spans="1:2" x14ac:dyDescent="0.25">
      <c r="A635" s="28">
        <v>1121445</v>
      </c>
      <c r="B635" s="26" t="s">
        <v>13304</v>
      </c>
    </row>
    <row r="636" spans="1:2" x14ac:dyDescent="0.25">
      <c r="A636" s="28">
        <v>1121446</v>
      </c>
      <c r="B636" s="26" t="s">
        <v>13305</v>
      </c>
    </row>
    <row r="637" spans="1:2" x14ac:dyDescent="0.25">
      <c r="A637" s="28">
        <v>1121462</v>
      </c>
      <c r="B637" s="26" t="s">
        <v>13306</v>
      </c>
    </row>
    <row r="638" spans="1:2" x14ac:dyDescent="0.25">
      <c r="A638" s="28">
        <v>1121463</v>
      </c>
      <c r="B638" s="26" t="s">
        <v>13307</v>
      </c>
    </row>
    <row r="639" spans="1:2" x14ac:dyDescent="0.25">
      <c r="A639" s="28">
        <v>1121464</v>
      </c>
      <c r="B639" s="26" t="s">
        <v>13308</v>
      </c>
    </row>
    <row r="640" spans="1:2" x14ac:dyDescent="0.25">
      <c r="A640" s="28">
        <v>1121478</v>
      </c>
      <c r="B640" s="26" t="s">
        <v>13309</v>
      </c>
    </row>
    <row r="641" spans="1:2" x14ac:dyDescent="0.25">
      <c r="A641" s="28">
        <v>1121479</v>
      </c>
      <c r="B641" s="26" t="s">
        <v>13310</v>
      </c>
    </row>
    <row r="642" spans="1:2" x14ac:dyDescent="0.25">
      <c r="A642" s="28">
        <v>1121493</v>
      </c>
      <c r="B642" s="26" t="s">
        <v>13311</v>
      </c>
    </row>
    <row r="643" spans="1:2" x14ac:dyDescent="0.25">
      <c r="A643" s="28">
        <v>1121496</v>
      </c>
      <c r="B643" s="26" t="s">
        <v>13312</v>
      </c>
    </row>
    <row r="644" spans="1:2" x14ac:dyDescent="0.25">
      <c r="A644" s="28">
        <v>1121497</v>
      </c>
      <c r="B644" s="26" t="s">
        <v>13313</v>
      </c>
    </row>
    <row r="645" spans="1:2" x14ac:dyDescent="0.25">
      <c r="A645" s="28">
        <v>1121498</v>
      </c>
      <c r="B645" s="26" t="s">
        <v>13314</v>
      </c>
    </row>
    <row r="646" spans="1:2" x14ac:dyDescent="0.25">
      <c r="A646" s="28">
        <v>1121499</v>
      </c>
      <c r="B646" s="26" t="s">
        <v>13315</v>
      </c>
    </row>
    <row r="647" spans="1:2" x14ac:dyDescent="0.25">
      <c r="A647" s="28">
        <v>1121512</v>
      </c>
      <c r="B647" s="26" t="s">
        <v>13316</v>
      </c>
    </row>
    <row r="648" spans="1:2" x14ac:dyDescent="0.25">
      <c r="A648" s="28">
        <v>1121513</v>
      </c>
      <c r="B648" s="26" t="s">
        <v>13317</v>
      </c>
    </row>
    <row r="649" spans="1:2" x14ac:dyDescent="0.25">
      <c r="A649" s="28">
        <v>1121514</v>
      </c>
      <c r="B649" s="26" t="s">
        <v>13318</v>
      </c>
    </row>
    <row r="650" spans="1:2" x14ac:dyDescent="0.25">
      <c r="A650" s="28">
        <v>1121623</v>
      </c>
      <c r="B650" s="26" t="s">
        <v>13319</v>
      </c>
    </row>
    <row r="651" spans="1:2" x14ac:dyDescent="0.25">
      <c r="A651" s="28">
        <v>1121624</v>
      </c>
      <c r="B651" s="26" t="s">
        <v>13320</v>
      </c>
    </row>
    <row r="652" spans="1:2" x14ac:dyDescent="0.25">
      <c r="A652" s="28">
        <v>1121625</v>
      </c>
      <c r="B652" s="26" t="s">
        <v>13321</v>
      </c>
    </row>
    <row r="653" spans="1:2" x14ac:dyDescent="0.25">
      <c r="A653" s="28">
        <v>1121626</v>
      </c>
      <c r="B653" s="26" t="s">
        <v>13322</v>
      </c>
    </row>
    <row r="654" spans="1:2" x14ac:dyDescent="0.25">
      <c r="A654" s="28">
        <v>1121640</v>
      </c>
      <c r="B654" s="26" t="s">
        <v>13323</v>
      </c>
    </row>
    <row r="655" spans="1:2" x14ac:dyDescent="0.25">
      <c r="A655" s="28">
        <v>1121641</v>
      </c>
      <c r="B655" s="26" t="s">
        <v>13324</v>
      </c>
    </row>
    <row r="656" spans="1:2" x14ac:dyDescent="0.25">
      <c r="A656" s="28">
        <v>1121642</v>
      </c>
      <c r="B656" s="26" t="s">
        <v>13325</v>
      </c>
    </row>
    <row r="657" spans="1:2" x14ac:dyDescent="0.25">
      <c r="A657" s="28">
        <v>1121643</v>
      </c>
      <c r="B657" s="26" t="s">
        <v>13326</v>
      </c>
    </row>
    <row r="658" spans="1:2" x14ac:dyDescent="0.25">
      <c r="A658" s="28">
        <v>1121666</v>
      </c>
      <c r="B658" s="26" t="s">
        <v>13327</v>
      </c>
    </row>
    <row r="659" spans="1:2" x14ac:dyDescent="0.25">
      <c r="A659" s="28">
        <v>1121667</v>
      </c>
      <c r="B659" s="26" t="s">
        <v>13328</v>
      </c>
    </row>
    <row r="660" spans="1:2" x14ac:dyDescent="0.25">
      <c r="A660" s="28">
        <v>1121668</v>
      </c>
      <c r="B660" s="26" t="s">
        <v>13329</v>
      </c>
    </row>
    <row r="661" spans="1:2" x14ac:dyDescent="0.25">
      <c r="A661" s="28">
        <v>1121669</v>
      </c>
      <c r="B661" s="26" t="s">
        <v>13330</v>
      </c>
    </row>
    <row r="662" spans="1:2" x14ac:dyDescent="0.25">
      <c r="A662" s="28">
        <v>1121750</v>
      </c>
      <c r="B662" s="26" t="s">
        <v>13331</v>
      </c>
    </row>
    <row r="663" spans="1:2" x14ac:dyDescent="0.25">
      <c r="A663" s="28">
        <v>1121751</v>
      </c>
      <c r="B663" s="26" t="s">
        <v>13332</v>
      </c>
    </row>
    <row r="664" spans="1:2" x14ac:dyDescent="0.25">
      <c r="A664" s="28">
        <v>1121752</v>
      </c>
      <c r="B664" s="26" t="s">
        <v>13333</v>
      </c>
    </row>
    <row r="665" spans="1:2" x14ac:dyDescent="0.25">
      <c r="A665" s="28">
        <v>1121753</v>
      </c>
      <c r="B665" s="26" t="s">
        <v>13334</v>
      </c>
    </row>
    <row r="666" spans="1:2" x14ac:dyDescent="0.25">
      <c r="A666" s="28">
        <v>1121800</v>
      </c>
      <c r="B666" s="26" t="s">
        <v>13335</v>
      </c>
    </row>
    <row r="667" spans="1:2" x14ac:dyDescent="0.25">
      <c r="A667" s="28">
        <v>1121801</v>
      </c>
      <c r="B667" s="26" t="s">
        <v>13336</v>
      </c>
    </row>
    <row r="668" spans="1:2" x14ac:dyDescent="0.25">
      <c r="A668" s="28">
        <v>1121802</v>
      </c>
      <c r="B668" s="26" t="s">
        <v>13337</v>
      </c>
    </row>
    <row r="669" spans="1:2" x14ac:dyDescent="0.25">
      <c r="A669" s="28">
        <v>1121803</v>
      </c>
      <c r="B669" s="26" t="s">
        <v>13338</v>
      </c>
    </row>
    <row r="670" spans="1:2" x14ac:dyDescent="0.25">
      <c r="A670" s="28">
        <v>1121850</v>
      </c>
      <c r="B670" s="26" t="s">
        <v>13339</v>
      </c>
    </row>
    <row r="671" spans="1:2" x14ac:dyDescent="0.25">
      <c r="A671" s="28">
        <v>1121851</v>
      </c>
      <c r="B671" s="26" t="s">
        <v>13340</v>
      </c>
    </row>
    <row r="672" spans="1:2" x14ac:dyDescent="0.25">
      <c r="A672" s="28">
        <v>1121852</v>
      </c>
      <c r="B672" s="26" t="s">
        <v>13341</v>
      </c>
    </row>
    <row r="673" spans="1:2" x14ac:dyDescent="0.25">
      <c r="A673" s="28">
        <v>1121853</v>
      </c>
      <c r="B673" s="26" t="s">
        <v>13342</v>
      </c>
    </row>
    <row r="674" spans="1:2" x14ac:dyDescent="0.25">
      <c r="A674" s="28">
        <v>1121856</v>
      </c>
      <c r="B674" s="26" t="s">
        <v>13343</v>
      </c>
    </row>
    <row r="675" spans="1:2" x14ac:dyDescent="0.25">
      <c r="A675" s="28">
        <v>1121857</v>
      </c>
      <c r="B675" s="26" t="s">
        <v>13344</v>
      </c>
    </row>
    <row r="676" spans="1:2" x14ac:dyDescent="0.25">
      <c r="A676" s="28">
        <v>1121858</v>
      </c>
      <c r="B676" s="26" t="s">
        <v>13345</v>
      </c>
    </row>
    <row r="677" spans="1:2" x14ac:dyDescent="0.25">
      <c r="A677" s="28">
        <v>1121859</v>
      </c>
      <c r="B677" s="26" t="s">
        <v>13346</v>
      </c>
    </row>
    <row r="678" spans="1:2" x14ac:dyDescent="0.25">
      <c r="A678" s="28">
        <v>1121860</v>
      </c>
      <c r="B678" s="26" t="s">
        <v>13347</v>
      </c>
    </row>
    <row r="679" spans="1:2" x14ac:dyDescent="0.25">
      <c r="A679" s="28">
        <v>1121861</v>
      </c>
      <c r="B679" s="26" t="s">
        <v>13348</v>
      </c>
    </row>
    <row r="680" spans="1:2" x14ac:dyDescent="0.25">
      <c r="A680" s="28">
        <v>1121862</v>
      </c>
      <c r="B680" s="26" t="s">
        <v>13349</v>
      </c>
    </row>
    <row r="681" spans="1:2" x14ac:dyDescent="0.25">
      <c r="A681" s="28">
        <v>1121863</v>
      </c>
      <c r="B681" s="26" t="s">
        <v>13350</v>
      </c>
    </row>
    <row r="682" spans="1:2" x14ac:dyDescent="0.25">
      <c r="A682" s="28">
        <v>1121873</v>
      </c>
      <c r="B682" s="26" t="s">
        <v>13351</v>
      </c>
    </row>
    <row r="683" spans="1:2" x14ac:dyDescent="0.25">
      <c r="A683" s="28">
        <v>1121875</v>
      </c>
      <c r="B683" s="26" t="s">
        <v>13352</v>
      </c>
    </row>
    <row r="684" spans="1:2" x14ac:dyDescent="0.25">
      <c r="A684" s="28">
        <v>1121876</v>
      </c>
      <c r="B684" s="26" t="s">
        <v>13353</v>
      </c>
    </row>
    <row r="685" spans="1:2" x14ac:dyDescent="0.25">
      <c r="A685" s="28">
        <v>1121877</v>
      </c>
      <c r="B685" s="26" t="s">
        <v>13354</v>
      </c>
    </row>
    <row r="686" spans="1:2" x14ac:dyDescent="0.25">
      <c r="A686" s="28">
        <v>1121879</v>
      </c>
      <c r="B686" s="26" t="s">
        <v>13355</v>
      </c>
    </row>
    <row r="687" spans="1:2" x14ac:dyDescent="0.25">
      <c r="A687" s="28">
        <v>1121881</v>
      </c>
      <c r="B687" s="26" t="s">
        <v>13356</v>
      </c>
    </row>
    <row r="688" spans="1:2" x14ac:dyDescent="0.25">
      <c r="A688" s="28">
        <v>1121882</v>
      </c>
      <c r="B688" s="26" t="s">
        <v>13357</v>
      </c>
    </row>
    <row r="689" spans="1:2" x14ac:dyDescent="0.25">
      <c r="A689" s="28">
        <v>1121887</v>
      </c>
      <c r="B689" s="26" t="s">
        <v>13358</v>
      </c>
    </row>
    <row r="690" spans="1:2" x14ac:dyDescent="0.25">
      <c r="A690" s="28">
        <v>1121900</v>
      </c>
      <c r="B690" s="26" t="s">
        <v>13359</v>
      </c>
    </row>
    <row r="691" spans="1:2" x14ac:dyDescent="0.25">
      <c r="A691" s="28">
        <v>1121901</v>
      </c>
      <c r="B691" s="26" t="s">
        <v>13360</v>
      </c>
    </row>
    <row r="692" spans="1:2" x14ac:dyDescent="0.25">
      <c r="A692" s="28">
        <v>1121902</v>
      </c>
      <c r="B692" s="26" t="s">
        <v>13361</v>
      </c>
    </row>
    <row r="693" spans="1:2" x14ac:dyDescent="0.25">
      <c r="A693" s="28">
        <v>1121903</v>
      </c>
      <c r="B693" s="26" t="s">
        <v>13362</v>
      </c>
    </row>
    <row r="694" spans="1:2" x14ac:dyDescent="0.25">
      <c r="A694" s="28">
        <v>1121904</v>
      </c>
      <c r="B694" s="26" t="s">
        <v>13363</v>
      </c>
    </row>
    <row r="695" spans="1:2" x14ac:dyDescent="0.25">
      <c r="A695" s="28">
        <v>1121940</v>
      </c>
      <c r="B695" s="26" t="s">
        <v>13364</v>
      </c>
    </row>
    <row r="696" spans="1:2" x14ac:dyDescent="0.25">
      <c r="A696" s="28">
        <v>1121941</v>
      </c>
      <c r="B696" s="26" t="s">
        <v>13365</v>
      </c>
    </row>
    <row r="697" spans="1:2" x14ac:dyDescent="0.25">
      <c r="A697" s="28">
        <v>1121942</v>
      </c>
      <c r="B697" s="26" t="s">
        <v>13366</v>
      </c>
    </row>
    <row r="698" spans="1:2" x14ac:dyDescent="0.25">
      <c r="A698" s="28">
        <v>1121943</v>
      </c>
      <c r="B698" s="26" t="s">
        <v>13367</v>
      </c>
    </row>
    <row r="699" spans="1:2" x14ac:dyDescent="0.25">
      <c r="A699" s="28">
        <v>1121946</v>
      </c>
      <c r="B699" s="26" t="s">
        <v>13368</v>
      </c>
    </row>
    <row r="700" spans="1:2" x14ac:dyDescent="0.25">
      <c r="A700" s="28">
        <v>1121947</v>
      </c>
      <c r="B700" s="26" t="s">
        <v>13369</v>
      </c>
    </row>
    <row r="701" spans="1:2" x14ac:dyDescent="0.25">
      <c r="A701" s="28">
        <v>1121948</v>
      </c>
      <c r="B701" s="26" t="s">
        <v>13370</v>
      </c>
    </row>
    <row r="702" spans="1:2" x14ac:dyDescent="0.25">
      <c r="A702" s="28">
        <v>1121949</v>
      </c>
      <c r="B702" s="26" t="s">
        <v>13371</v>
      </c>
    </row>
    <row r="703" spans="1:2" x14ac:dyDescent="0.25">
      <c r="A703" s="28">
        <v>1121950</v>
      </c>
      <c r="B703" s="26" t="s">
        <v>13372</v>
      </c>
    </row>
    <row r="704" spans="1:2" x14ac:dyDescent="0.25">
      <c r="A704" s="28">
        <v>1121952</v>
      </c>
      <c r="B704" s="26" t="s">
        <v>13373</v>
      </c>
    </row>
    <row r="705" spans="1:2" x14ac:dyDescent="0.25">
      <c r="A705" s="28">
        <v>1121953</v>
      </c>
      <c r="B705" s="26" t="s">
        <v>13374</v>
      </c>
    </row>
    <row r="706" spans="1:2" x14ac:dyDescent="0.25">
      <c r="A706" s="28">
        <v>1121954</v>
      </c>
      <c r="B706" s="26" t="s">
        <v>13375</v>
      </c>
    </row>
    <row r="707" spans="1:2" x14ac:dyDescent="0.25">
      <c r="A707" s="28">
        <v>1121977</v>
      </c>
      <c r="B707" s="26" t="s">
        <v>13376</v>
      </c>
    </row>
    <row r="708" spans="1:2" x14ac:dyDescent="0.25">
      <c r="A708" s="28">
        <v>1121978</v>
      </c>
      <c r="B708" s="26" t="s">
        <v>13377</v>
      </c>
    </row>
    <row r="709" spans="1:2" x14ac:dyDescent="0.25">
      <c r="A709" s="28">
        <v>1121979</v>
      </c>
      <c r="B709" s="26" t="s">
        <v>13378</v>
      </c>
    </row>
    <row r="710" spans="1:2" x14ac:dyDescent="0.25">
      <c r="A710" s="28">
        <v>1121980</v>
      </c>
      <c r="B710" s="26" t="s">
        <v>13379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13380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13381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13382</v>
      </c>
      <c r="B741" s="26" t="s">
        <v>13383</v>
      </c>
    </row>
    <row r="742" spans="1:2" x14ac:dyDescent="0.25">
      <c r="A742" s="26" t="s">
        <v>13384</v>
      </c>
      <c r="B742" s="27"/>
    </row>
    <row r="743" spans="1:2" x14ac:dyDescent="0.25">
      <c r="A743" s="26" t="s">
        <v>13385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13386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13387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13388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13389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13390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13391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13392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13393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13394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13395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13396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13960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13397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13398</v>
      </c>
      <c r="B775" s="26" t="s">
        <v>13399</v>
      </c>
    </row>
    <row r="776" spans="1:2" x14ac:dyDescent="0.25">
      <c r="A776" s="26" t="s">
        <v>13400</v>
      </c>
      <c r="B776" s="27"/>
    </row>
    <row r="777" spans="1:2" x14ac:dyDescent="0.25">
      <c r="A777" s="28">
        <v>2</v>
      </c>
      <c r="B777" s="26" t="s">
        <v>13401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13402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13403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13404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13405</v>
      </c>
    </row>
    <row r="818" spans="1:2" x14ac:dyDescent="0.25">
      <c r="A818" s="28">
        <v>2101121</v>
      </c>
      <c r="B818" s="26" t="s">
        <v>13406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13407</v>
      </c>
    </row>
    <row r="856" spans="1:2" x14ac:dyDescent="0.25">
      <c r="A856" s="28">
        <v>2101533</v>
      </c>
      <c r="B856" s="26" t="s">
        <v>13408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13409</v>
      </c>
    </row>
    <row r="897" spans="1:2" x14ac:dyDescent="0.25">
      <c r="A897" s="28">
        <v>2101761</v>
      </c>
      <c r="B897" s="26" t="s">
        <v>13410</v>
      </c>
    </row>
    <row r="898" spans="1:2" x14ac:dyDescent="0.25">
      <c r="A898" s="28">
        <v>2101770</v>
      </c>
      <c r="B898" s="26" t="s">
        <v>13411</v>
      </c>
    </row>
    <row r="899" spans="1:2" x14ac:dyDescent="0.25">
      <c r="A899" s="28">
        <v>2101771</v>
      </c>
      <c r="B899" s="26" t="s">
        <v>13412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13413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13414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13415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13416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13417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13418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13961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13419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13420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13421</v>
      </c>
      <c r="B1109" s="27"/>
    </row>
    <row r="1110" spans="1:2" x14ac:dyDescent="0.25">
      <c r="A1110" s="28">
        <v>3</v>
      </c>
      <c r="B1110" s="26" t="s">
        <v>13422</v>
      </c>
    </row>
    <row r="1111" spans="1:2" x14ac:dyDescent="0.25">
      <c r="A1111" s="26" t="s">
        <v>13423</v>
      </c>
      <c r="B1111" s="26" t="s">
        <v>13424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13425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13426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13427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13428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13429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13430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13431</v>
      </c>
      <c r="B1257" s="26" t="s">
        <v>13432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13962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13963</v>
      </c>
    </row>
    <row r="1267" spans="1:2" x14ac:dyDescent="0.25">
      <c r="A1267" s="28">
        <v>4120216</v>
      </c>
      <c r="B1267" s="26" t="s">
        <v>13964</v>
      </c>
    </row>
    <row r="1268" spans="1:2" x14ac:dyDescent="0.25">
      <c r="A1268" s="28">
        <v>4120217</v>
      </c>
      <c r="B1268" s="26" t="s">
        <v>13965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13433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13434</v>
      </c>
      <c r="B1441" s="27"/>
    </row>
    <row r="1442" spans="1:2" x14ac:dyDescent="0.25">
      <c r="A1442" s="28">
        <v>5</v>
      </c>
      <c r="B1442" s="26" t="s">
        <v>13435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13436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13966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13967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13437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13438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13439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13968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13440</v>
      </c>
    </row>
    <row r="1918" spans="1:2" x14ac:dyDescent="0.25">
      <c r="A1918" s="28">
        <v>7703051</v>
      </c>
      <c r="B1918" s="26" t="s">
        <v>13441</v>
      </c>
    </row>
    <row r="1919" spans="1:2" x14ac:dyDescent="0.25">
      <c r="A1919" s="28">
        <v>7703052</v>
      </c>
      <c r="B1919" s="26" t="s">
        <v>13442</v>
      </c>
    </row>
    <row r="1920" spans="1:2" x14ac:dyDescent="0.25">
      <c r="A1920" s="28">
        <v>7703053</v>
      </c>
      <c r="B1920" s="26" t="s">
        <v>13443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13444</v>
      </c>
    </row>
    <row r="1923" spans="1:2" x14ac:dyDescent="0.25">
      <c r="A1923" s="28">
        <v>7703057</v>
      </c>
      <c r="B1923" s="26" t="s">
        <v>13445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13446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13447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13969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13448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13449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13951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13970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13450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13451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13452</v>
      </c>
    </row>
    <row r="2182" spans="1:2" x14ac:dyDescent="0.25">
      <c r="A2182" s="28">
        <v>7707599</v>
      </c>
      <c r="B2182" s="26" t="s">
        <v>13453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13454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13971</v>
      </c>
    </row>
    <row r="2199" spans="1:2" x14ac:dyDescent="0.25">
      <c r="A2199" s="28">
        <v>7707728</v>
      </c>
      <c r="B2199" s="26" t="s">
        <v>13972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13455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13456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13457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13458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13459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13460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13461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13462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13463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13464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13465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13466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13973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13467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13468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13469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13470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13471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13472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13473</v>
      </c>
    </row>
    <row r="2563" spans="1:2" x14ac:dyDescent="0.25">
      <c r="A2563" s="28">
        <v>7710012</v>
      </c>
      <c r="B2563" s="26" t="s">
        <v>13474</v>
      </c>
    </row>
    <row r="2564" spans="1:2" x14ac:dyDescent="0.25">
      <c r="A2564" s="28">
        <v>7710013</v>
      </c>
      <c r="B2564" s="26" t="s">
        <v>13475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13476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13477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13974</v>
      </c>
    </row>
    <row r="2626" spans="1:2" x14ac:dyDescent="0.25">
      <c r="A2626" s="28">
        <v>8205038</v>
      </c>
      <c r="B2626" s="26" t="s">
        <v>13975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13478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13479</v>
      </c>
    </row>
    <row r="2647" spans="1:2" x14ac:dyDescent="0.25">
      <c r="A2647" s="28">
        <v>8205210</v>
      </c>
      <c r="B2647" s="26" t="s">
        <v>13480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13976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13481</v>
      </c>
    </row>
    <row r="2717" spans="1:2" x14ac:dyDescent="0.25">
      <c r="A2717" s="28">
        <v>8303223</v>
      </c>
      <c r="B2717" s="26" t="s">
        <v>13482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13483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13977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13978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13484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13485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13486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13979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13487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13488</v>
      </c>
    </row>
    <row r="3180" spans="1:2" x14ac:dyDescent="0.25">
      <c r="A3180" s="28">
        <v>8505591</v>
      </c>
      <c r="B3180" s="26" t="s">
        <v>13489</v>
      </c>
    </row>
    <row r="3181" spans="1:2" x14ac:dyDescent="0.25">
      <c r="A3181" s="28">
        <v>8505592</v>
      </c>
      <c r="B3181" s="26" t="s">
        <v>13952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13980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13981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13490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13982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13983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13491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13492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13493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13984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13985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13986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13987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13494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13495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13496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13497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13498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13988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13499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13500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13501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13502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13503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13504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13505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13506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13507</v>
      </c>
      <c r="B4264" s="27"/>
    </row>
    <row r="4265" spans="1:2" x14ac:dyDescent="0.25">
      <c r="A4265" s="26" t="s">
        <v>13508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13509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13510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13511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13512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13513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13514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13515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13516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13517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13518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13519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13520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13521</v>
      </c>
      <c r="B4296" s="27"/>
    </row>
    <row r="4297" spans="1:2" x14ac:dyDescent="0.25">
      <c r="A4297" s="28">
        <v>999</v>
      </c>
      <c r="B4297" s="26" t="s">
        <v>13522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13523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13524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13525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13526</v>
      </c>
      <c r="B4307" s="27"/>
    </row>
    <row r="4308" spans="1:2" x14ac:dyDescent="0.25">
      <c r="A4308" s="26" t="s">
        <v>13527</v>
      </c>
      <c r="B4308" s="26" t="s">
        <v>13528</v>
      </c>
    </row>
    <row r="4309" spans="1:2" x14ac:dyDescent="0.25">
      <c r="A4309" s="26" t="s">
        <v>13529</v>
      </c>
      <c r="B4309" s="26" t="s">
        <v>13530</v>
      </c>
    </row>
    <row r="4310" spans="1:2" x14ac:dyDescent="0.25">
      <c r="A4310" s="26" t="s">
        <v>13531</v>
      </c>
      <c r="B4310" s="26" t="s">
        <v>13532</v>
      </c>
    </row>
    <row r="4311" spans="1:2" x14ac:dyDescent="0.25">
      <c r="A4311" s="26" t="s">
        <v>13533</v>
      </c>
      <c r="B4311" s="26" t="s">
        <v>13534</v>
      </c>
    </row>
    <row r="4312" spans="1:2" x14ac:dyDescent="0.25">
      <c r="A4312" s="26" t="s">
        <v>13535</v>
      </c>
      <c r="B4312" s="26" t="s">
        <v>13536</v>
      </c>
    </row>
    <row r="4313" spans="1:2" x14ac:dyDescent="0.25">
      <c r="A4313" s="26" t="s">
        <v>13537</v>
      </c>
      <c r="B4313" s="26" t="s">
        <v>13538</v>
      </c>
    </row>
    <row r="4314" spans="1:2" x14ac:dyDescent="0.25">
      <c r="A4314" s="26" t="s">
        <v>13539</v>
      </c>
      <c r="B4314" s="26" t="s">
        <v>13540</v>
      </c>
    </row>
    <row r="4315" spans="1:2" x14ac:dyDescent="0.25">
      <c r="A4315" s="26" t="s">
        <v>13541</v>
      </c>
      <c r="B4315" s="26" t="s">
        <v>13542</v>
      </c>
    </row>
    <row r="4316" spans="1:2" x14ac:dyDescent="0.25">
      <c r="A4316" s="26" t="s">
        <v>13543</v>
      </c>
      <c r="B4316" s="26" t="s">
        <v>13544</v>
      </c>
    </row>
    <row r="4317" spans="1:2" x14ac:dyDescent="0.25">
      <c r="A4317" s="26" t="s">
        <v>13545</v>
      </c>
      <c r="B4317" s="26" t="s">
        <v>13546</v>
      </c>
    </row>
    <row r="4318" spans="1:2" x14ac:dyDescent="0.25">
      <c r="A4318" s="26" t="s">
        <v>13547</v>
      </c>
      <c r="B4318" s="26" t="s">
        <v>13548</v>
      </c>
    </row>
    <row r="4319" spans="1:2" x14ac:dyDescent="0.25">
      <c r="A4319" s="26" t="s">
        <v>13549</v>
      </c>
      <c r="B4319" s="26" t="s">
        <v>13550</v>
      </c>
    </row>
    <row r="4320" spans="1:2" x14ac:dyDescent="0.25">
      <c r="A4320" s="26" t="s">
        <v>13551</v>
      </c>
      <c r="B4320" s="26" t="s">
        <v>13552</v>
      </c>
    </row>
    <row r="4321" spans="1:2" x14ac:dyDescent="0.25">
      <c r="A4321" s="26" t="s">
        <v>13553</v>
      </c>
      <c r="B4321" s="26" t="s">
        <v>13554</v>
      </c>
    </row>
    <row r="4322" spans="1:2" x14ac:dyDescent="0.25">
      <c r="A4322" s="26" t="s">
        <v>13555</v>
      </c>
      <c r="B4322" s="26" t="s">
        <v>13556</v>
      </c>
    </row>
    <row r="4323" spans="1:2" x14ac:dyDescent="0.25">
      <c r="A4323" s="26" t="s">
        <v>13557</v>
      </c>
      <c r="B4323" s="26" t="s">
        <v>13558</v>
      </c>
    </row>
    <row r="4324" spans="1:2" x14ac:dyDescent="0.25">
      <c r="A4324" s="26" t="s">
        <v>13559</v>
      </c>
      <c r="B4324" s="26" t="s">
        <v>13560</v>
      </c>
    </row>
    <row r="4325" spans="1:2" x14ac:dyDescent="0.25">
      <c r="A4325" s="26" t="s">
        <v>13561</v>
      </c>
      <c r="B4325" s="26" t="s">
        <v>13562</v>
      </c>
    </row>
    <row r="4326" spans="1:2" x14ac:dyDescent="0.25">
      <c r="A4326" s="26" t="s">
        <v>13563</v>
      </c>
      <c r="B4326" s="26" t="s">
        <v>13564</v>
      </c>
    </row>
    <row r="4327" spans="1:2" x14ac:dyDescent="0.25">
      <c r="A4327" s="26" t="s">
        <v>13565</v>
      </c>
      <c r="B4327" s="26" t="s">
        <v>13566</v>
      </c>
    </row>
    <row r="4328" spans="1:2" x14ac:dyDescent="0.25">
      <c r="A4328" s="26" t="s">
        <v>13567</v>
      </c>
      <c r="B4328" s="26" t="s">
        <v>13568</v>
      </c>
    </row>
    <row r="4329" spans="1:2" x14ac:dyDescent="0.25">
      <c r="A4329" s="26" t="s">
        <v>13569</v>
      </c>
      <c r="B4329" s="26" t="s">
        <v>13570</v>
      </c>
    </row>
    <row r="4330" spans="1:2" x14ac:dyDescent="0.25">
      <c r="A4330" s="26" t="s">
        <v>13571</v>
      </c>
      <c r="B4330" s="26" t="s">
        <v>13572</v>
      </c>
    </row>
    <row r="4331" spans="1:2" x14ac:dyDescent="0.25">
      <c r="A4331" s="26" t="s">
        <v>13573</v>
      </c>
      <c r="B4331" s="26" t="s">
        <v>13574</v>
      </c>
    </row>
    <row r="4332" spans="1:2" x14ac:dyDescent="0.25">
      <c r="A4332" s="26" t="s">
        <v>13575</v>
      </c>
      <c r="B4332" s="26" t="s">
        <v>13576</v>
      </c>
    </row>
    <row r="4333" spans="1:2" x14ac:dyDescent="0.25">
      <c r="A4333" s="26" t="s">
        <v>13577</v>
      </c>
      <c r="B4333" s="26" t="s">
        <v>13578</v>
      </c>
    </row>
    <row r="4334" spans="1:2" x14ac:dyDescent="0.25">
      <c r="A4334" s="26" t="s">
        <v>13579</v>
      </c>
      <c r="B4334" s="26" t="s">
        <v>13580</v>
      </c>
    </row>
    <row r="4335" spans="1:2" x14ac:dyDescent="0.25">
      <c r="A4335" s="26" t="s">
        <v>13581</v>
      </c>
      <c r="B4335" s="26" t="s">
        <v>13582</v>
      </c>
    </row>
    <row r="4336" spans="1:2" x14ac:dyDescent="0.25">
      <c r="A4336" s="26" t="s">
        <v>13583</v>
      </c>
      <c r="B4336" s="26" t="s">
        <v>13584</v>
      </c>
    </row>
    <row r="4337" spans="1:2" x14ac:dyDescent="0.25">
      <c r="A4337" s="26" t="s">
        <v>13585</v>
      </c>
      <c r="B4337" s="26" t="s">
        <v>13586</v>
      </c>
    </row>
    <row r="4338" spans="1:2" x14ac:dyDescent="0.25">
      <c r="A4338" s="26" t="s">
        <v>13587</v>
      </c>
      <c r="B4338" s="26" t="s">
        <v>13588</v>
      </c>
    </row>
    <row r="4339" spans="1:2" x14ac:dyDescent="0.25">
      <c r="A4339" s="26" t="s">
        <v>13589</v>
      </c>
      <c r="B4339" s="26" t="s">
        <v>13590</v>
      </c>
    </row>
    <row r="4340" spans="1:2" x14ac:dyDescent="0.25">
      <c r="A4340" s="26" t="s">
        <v>13591</v>
      </c>
      <c r="B4340" s="26" t="s">
        <v>13592</v>
      </c>
    </row>
    <row r="4341" spans="1:2" x14ac:dyDescent="0.25">
      <c r="A4341" s="26" t="s">
        <v>13593</v>
      </c>
      <c r="B4341" s="26" t="s">
        <v>13594</v>
      </c>
    </row>
    <row r="4342" spans="1:2" x14ac:dyDescent="0.25">
      <c r="A4342" s="26" t="s">
        <v>13595</v>
      </c>
      <c r="B4342" s="27"/>
    </row>
    <row r="4343" spans="1:2" x14ac:dyDescent="0.25">
      <c r="A4343" s="26" t="s">
        <v>13596</v>
      </c>
      <c r="B4343" s="26" t="s">
        <v>13597</v>
      </c>
    </row>
    <row r="4344" spans="1:2" x14ac:dyDescent="0.25">
      <c r="A4344" s="26" t="s">
        <v>13598</v>
      </c>
      <c r="B4344" s="26" t="s">
        <v>13599</v>
      </c>
    </row>
    <row r="4345" spans="1:2" x14ac:dyDescent="0.25">
      <c r="A4345" s="26" t="s">
        <v>13600</v>
      </c>
      <c r="B4345" s="26" t="s">
        <v>13601</v>
      </c>
    </row>
    <row r="4346" spans="1:2" x14ac:dyDescent="0.25">
      <c r="A4346" s="26" t="s">
        <v>13602</v>
      </c>
      <c r="B4346" s="26" t="s">
        <v>13603</v>
      </c>
    </row>
    <row r="4347" spans="1:2" x14ac:dyDescent="0.25">
      <c r="A4347" s="26" t="s">
        <v>13604</v>
      </c>
      <c r="B4347" s="26" t="s">
        <v>13605</v>
      </c>
    </row>
    <row r="4348" spans="1:2" x14ac:dyDescent="0.25">
      <c r="A4348" s="26" t="s">
        <v>13606</v>
      </c>
      <c r="B4348" s="26" t="s">
        <v>13607</v>
      </c>
    </row>
    <row r="4349" spans="1:2" x14ac:dyDescent="0.25">
      <c r="A4349" s="26" t="s">
        <v>13608</v>
      </c>
      <c r="B4349" s="26" t="s">
        <v>13609</v>
      </c>
    </row>
    <row r="4350" spans="1:2" x14ac:dyDescent="0.25">
      <c r="A4350" s="26" t="s">
        <v>13610</v>
      </c>
      <c r="B4350" s="26" t="s">
        <v>13611</v>
      </c>
    </row>
    <row r="4351" spans="1:2" x14ac:dyDescent="0.25">
      <c r="A4351" s="26" t="s">
        <v>13612</v>
      </c>
      <c r="B4351" s="26" t="s">
        <v>13613</v>
      </c>
    </row>
    <row r="4352" spans="1:2" x14ac:dyDescent="0.25">
      <c r="A4352" s="26" t="s">
        <v>13614</v>
      </c>
      <c r="B4352" s="26" t="s">
        <v>13615</v>
      </c>
    </row>
    <row r="4353" spans="1:2" x14ac:dyDescent="0.25">
      <c r="A4353" s="26" t="s">
        <v>13616</v>
      </c>
      <c r="B4353" s="26" t="s">
        <v>13617</v>
      </c>
    </row>
    <row r="4354" spans="1:2" x14ac:dyDescent="0.25">
      <c r="A4354" s="26" t="s">
        <v>13618</v>
      </c>
      <c r="B4354" s="26" t="s">
        <v>13619</v>
      </c>
    </row>
    <row r="4355" spans="1:2" x14ac:dyDescent="0.25">
      <c r="A4355" s="26" t="s">
        <v>13620</v>
      </c>
      <c r="B4355" s="26" t="s">
        <v>13621</v>
      </c>
    </row>
    <row r="4356" spans="1:2" x14ac:dyDescent="0.25">
      <c r="A4356" s="26" t="s">
        <v>13622</v>
      </c>
      <c r="B4356" s="26" t="s">
        <v>13623</v>
      </c>
    </row>
    <row r="4357" spans="1:2" x14ac:dyDescent="0.25">
      <c r="A4357" s="26" t="s">
        <v>13624</v>
      </c>
      <c r="B4357" s="26" t="s">
        <v>13625</v>
      </c>
    </row>
    <row r="4358" spans="1:2" x14ac:dyDescent="0.25">
      <c r="A4358" s="26" t="s">
        <v>13626</v>
      </c>
      <c r="B4358" s="26" t="s">
        <v>13627</v>
      </c>
    </row>
    <row r="4359" spans="1:2" x14ac:dyDescent="0.25">
      <c r="A4359" s="26" t="s">
        <v>13628</v>
      </c>
      <c r="B4359" s="26" t="s">
        <v>13627</v>
      </c>
    </row>
    <row r="4360" spans="1:2" x14ac:dyDescent="0.25">
      <c r="A4360" s="26" t="s">
        <v>13629</v>
      </c>
      <c r="B4360" s="26" t="s">
        <v>13630</v>
      </c>
    </row>
    <row r="4361" spans="1:2" x14ac:dyDescent="0.25">
      <c r="A4361" s="26" t="s">
        <v>13631</v>
      </c>
      <c r="B4361" s="26" t="s">
        <v>13632</v>
      </c>
    </row>
    <row r="4362" spans="1:2" x14ac:dyDescent="0.25">
      <c r="A4362" s="26" t="s">
        <v>13633</v>
      </c>
      <c r="B4362" s="26" t="s">
        <v>13634</v>
      </c>
    </row>
    <row r="4363" spans="1:2" x14ac:dyDescent="0.25">
      <c r="A4363" s="26" t="s">
        <v>13635</v>
      </c>
      <c r="B4363" s="26" t="s">
        <v>13636</v>
      </c>
    </row>
    <row r="4364" spans="1:2" x14ac:dyDescent="0.25">
      <c r="A4364" s="26" t="s">
        <v>13637</v>
      </c>
      <c r="B4364" s="26" t="s">
        <v>13638</v>
      </c>
    </row>
    <row r="4365" spans="1:2" x14ac:dyDescent="0.25">
      <c r="A4365" s="26" t="s">
        <v>13639</v>
      </c>
      <c r="B4365" s="26" t="s">
        <v>13640</v>
      </c>
    </row>
    <row r="4366" spans="1:2" x14ac:dyDescent="0.25">
      <c r="A4366" s="26" t="s">
        <v>13641</v>
      </c>
      <c r="B4366" s="26" t="s">
        <v>13642</v>
      </c>
    </row>
    <row r="4367" spans="1:2" x14ac:dyDescent="0.25">
      <c r="A4367" s="26" t="s">
        <v>13643</v>
      </c>
      <c r="B4367" s="26" t="s">
        <v>13644</v>
      </c>
    </row>
    <row r="4368" spans="1:2" x14ac:dyDescent="0.25">
      <c r="A4368" s="26" t="s">
        <v>13645</v>
      </c>
      <c r="B4368" s="26" t="s">
        <v>13646</v>
      </c>
    </row>
    <row r="4369" spans="1:2" x14ac:dyDescent="0.25">
      <c r="A4369" s="26" t="s">
        <v>13647</v>
      </c>
      <c r="B4369" s="26" t="s">
        <v>13648</v>
      </c>
    </row>
    <row r="4370" spans="1:2" x14ac:dyDescent="0.25">
      <c r="A4370" s="26" t="s">
        <v>13649</v>
      </c>
      <c r="B4370" s="26" t="s">
        <v>13650</v>
      </c>
    </row>
    <row r="4371" spans="1:2" x14ac:dyDescent="0.25">
      <c r="A4371" s="26" t="s">
        <v>13651</v>
      </c>
      <c r="B4371" s="26" t="s">
        <v>13652</v>
      </c>
    </row>
    <row r="4372" spans="1:2" x14ac:dyDescent="0.25">
      <c r="A4372" s="26" t="s">
        <v>13653</v>
      </c>
      <c r="B4372" s="26" t="s">
        <v>13654</v>
      </c>
    </row>
    <row r="4373" spans="1:2" x14ac:dyDescent="0.25">
      <c r="A4373" s="26" t="s">
        <v>13655</v>
      </c>
      <c r="B4373" s="26" t="s">
        <v>13656</v>
      </c>
    </row>
    <row r="4374" spans="1:2" x14ac:dyDescent="0.25">
      <c r="A4374" s="26" t="s">
        <v>13657</v>
      </c>
      <c r="B4374" s="26" t="s">
        <v>13658</v>
      </c>
    </row>
    <row r="4375" spans="1:2" x14ac:dyDescent="0.25">
      <c r="A4375" s="26" t="s">
        <v>13659</v>
      </c>
      <c r="B4375" s="26" t="s">
        <v>13660</v>
      </c>
    </row>
    <row r="4376" spans="1:2" x14ac:dyDescent="0.25">
      <c r="A4376" s="26" t="s">
        <v>13661</v>
      </c>
      <c r="B4376" s="26" t="s">
        <v>13662</v>
      </c>
    </row>
    <row r="4377" spans="1:2" x14ac:dyDescent="0.25">
      <c r="A4377" s="26" t="s">
        <v>13663</v>
      </c>
      <c r="B4377" s="26" t="s">
        <v>13664</v>
      </c>
    </row>
    <row r="4378" spans="1:2" x14ac:dyDescent="0.25">
      <c r="A4378" s="26" t="s">
        <v>13665</v>
      </c>
      <c r="B4378" s="26" t="s">
        <v>13664</v>
      </c>
    </row>
    <row r="4379" spans="1:2" x14ac:dyDescent="0.25">
      <c r="A4379" s="26" t="s">
        <v>13666</v>
      </c>
      <c r="B4379" s="26" t="s">
        <v>13667</v>
      </c>
    </row>
    <row r="4380" spans="1:2" x14ac:dyDescent="0.25">
      <c r="A4380" s="26" t="s">
        <v>13668</v>
      </c>
      <c r="B4380" s="26" t="s">
        <v>13669</v>
      </c>
    </row>
    <row r="4381" spans="1:2" x14ac:dyDescent="0.25">
      <c r="A4381" s="26" t="s">
        <v>13670</v>
      </c>
      <c r="B4381" s="26" t="s">
        <v>13671</v>
      </c>
    </row>
    <row r="4382" spans="1:2" x14ac:dyDescent="0.25">
      <c r="A4382" s="26" t="s">
        <v>13672</v>
      </c>
      <c r="B4382" s="26" t="s">
        <v>13673</v>
      </c>
    </row>
    <row r="4383" spans="1:2" x14ac:dyDescent="0.25">
      <c r="A4383" s="26" t="s">
        <v>13989</v>
      </c>
      <c r="B4383" s="27"/>
    </row>
    <row r="4384" spans="1:2" x14ac:dyDescent="0.25">
      <c r="A4384" s="26" t="s">
        <v>13674</v>
      </c>
      <c r="B4384" s="26" t="s">
        <v>13674</v>
      </c>
    </row>
    <row r="4385" spans="1:2" x14ac:dyDescent="0.25">
      <c r="A4385" s="26" t="s">
        <v>13675</v>
      </c>
      <c r="B4385" s="26" t="s">
        <v>13676</v>
      </c>
    </row>
    <row r="4386" spans="1:2" x14ac:dyDescent="0.25">
      <c r="A4386" s="26" t="s">
        <v>13677</v>
      </c>
      <c r="B4386" s="26" t="s">
        <v>13678</v>
      </c>
    </row>
    <row r="4387" spans="1:2" x14ac:dyDescent="0.25">
      <c r="A4387" s="26" t="s">
        <v>13679</v>
      </c>
      <c r="B4387" s="26" t="s">
        <v>13680</v>
      </c>
    </row>
    <row r="4388" spans="1:2" x14ac:dyDescent="0.25">
      <c r="A4388" s="26" t="s">
        <v>13681</v>
      </c>
      <c r="B4388" s="26" t="s">
        <v>13682</v>
      </c>
    </row>
    <row r="4389" spans="1:2" x14ac:dyDescent="0.25">
      <c r="A4389" s="26" t="s">
        <v>13683</v>
      </c>
      <c r="B4389" s="26" t="s">
        <v>13684</v>
      </c>
    </row>
    <row r="4390" spans="1:2" x14ac:dyDescent="0.25">
      <c r="A4390" s="26" t="s">
        <v>13685</v>
      </c>
      <c r="B4390" s="26" t="s">
        <v>13686</v>
      </c>
    </row>
    <row r="4391" spans="1:2" x14ac:dyDescent="0.25">
      <c r="A4391" s="26" t="s">
        <v>13687</v>
      </c>
      <c r="B4391" s="26" t="s">
        <v>13688</v>
      </c>
    </row>
    <row r="4392" spans="1:2" x14ac:dyDescent="0.25">
      <c r="A4392" s="26" t="s">
        <v>13689</v>
      </c>
      <c r="B4392" s="26" t="s">
        <v>13690</v>
      </c>
    </row>
    <row r="4393" spans="1:2" x14ac:dyDescent="0.25">
      <c r="A4393" s="26" t="s">
        <v>13691</v>
      </c>
      <c r="B4393" s="26" t="s">
        <v>13692</v>
      </c>
    </row>
    <row r="4394" spans="1:2" x14ac:dyDescent="0.25">
      <c r="A4394" s="26" t="s">
        <v>13693</v>
      </c>
      <c r="B4394" s="26" t="s">
        <v>13694</v>
      </c>
    </row>
    <row r="4395" spans="1:2" x14ac:dyDescent="0.25">
      <c r="A4395" s="26" t="s">
        <v>13695</v>
      </c>
      <c r="B4395" s="26" t="s">
        <v>13696</v>
      </c>
    </row>
    <row r="4396" spans="1:2" x14ac:dyDescent="0.25">
      <c r="A4396" s="26" t="s">
        <v>13697</v>
      </c>
      <c r="B4396" s="26" t="s">
        <v>13698</v>
      </c>
    </row>
    <row r="4397" spans="1:2" x14ac:dyDescent="0.25">
      <c r="A4397" s="26" t="s">
        <v>13699</v>
      </c>
      <c r="B4397" s="26" t="s">
        <v>13700</v>
      </c>
    </row>
    <row r="4398" spans="1:2" x14ac:dyDescent="0.25">
      <c r="A4398" s="26" t="s">
        <v>13701</v>
      </c>
      <c r="B4398" s="26" t="s">
        <v>13702</v>
      </c>
    </row>
    <row r="4399" spans="1:2" x14ac:dyDescent="0.25">
      <c r="A4399" s="26" t="s">
        <v>13703</v>
      </c>
      <c r="B4399" s="26" t="s">
        <v>13704</v>
      </c>
    </row>
    <row r="4400" spans="1:2" x14ac:dyDescent="0.25">
      <c r="A4400" s="26" t="s">
        <v>13705</v>
      </c>
      <c r="B4400" s="26" t="s">
        <v>13706</v>
      </c>
    </row>
    <row r="4401" spans="1:2" x14ac:dyDescent="0.25">
      <c r="A4401" s="26" t="s">
        <v>13707</v>
      </c>
      <c r="B4401" s="26" t="s">
        <v>13708</v>
      </c>
    </row>
    <row r="4402" spans="1:2" x14ac:dyDescent="0.25">
      <c r="A4402" s="26" t="s">
        <v>13709</v>
      </c>
      <c r="B4402" s="26" t="s">
        <v>13710</v>
      </c>
    </row>
    <row r="4403" spans="1:2" x14ac:dyDescent="0.25">
      <c r="A4403" s="26" t="s">
        <v>13711</v>
      </c>
      <c r="B4403" s="26" t="s">
        <v>13712</v>
      </c>
    </row>
    <row r="4404" spans="1:2" x14ac:dyDescent="0.25">
      <c r="A4404" s="26" t="s">
        <v>13713</v>
      </c>
      <c r="B4404" s="26" t="s">
        <v>13712</v>
      </c>
    </row>
    <row r="4405" spans="1:2" x14ac:dyDescent="0.25">
      <c r="A4405" s="26" t="s">
        <v>13714</v>
      </c>
      <c r="B4405" s="26" t="s">
        <v>13715</v>
      </c>
    </row>
    <row r="4406" spans="1:2" x14ac:dyDescent="0.25">
      <c r="A4406" s="26" t="s">
        <v>13716</v>
      </c>
      <c r="B4406" s="26" t="s">
        <v>13717</v>
      </c>
    </row>
    <row r="4407" spans="1:2" x14ac:dyDescent="0.25">
      <c r="A4407" s="26" t="s">
        <v>13718</v>
      </c>
      <c r="B4407" s="26" t="s">
        <v>13719</v>
      </c>
    </row>
    <row r="4408" spans="1:2" x14ac:dyDescent="0.25">
      <c r="A4408" s="26" t="s">
        <v>13720</v>
      </c>
      <c r="B4408" s="26" t="s">
        <v>13721</v>
      </c>
    </row>
    <row r="4409" spans="1:2" x14ac:dyDescent="0.25">
      <c r="A4409" s="26" t="s">
        <v>13722</v>
      </c>
      <c r="B4409" s="26" t="s">
        <v>13723</v>
      </c>
    </row>
    <row r="4410" spans="1:2" x14ac:dyDescent="0.25">
      <c r="A4410" s="26" t="s">
        <v>13724</v>
      </c>
      <c r="B4410" s="26" t="s">
        <v>13725</v>
      </c>
    </row>
    <row r="4411" spans="1:2" x14ac:dyDescent="0.25">
      <c r="A4411" s="26" t="s">
        <v>13726</v>
      </c>
      <c r="B4411" s="26" t="s">
        <v>13727</v>
      </c>
    </row>
    <row r="4412" spans="1:2" x14ac:dyDescent="0.25">
      <c r="A4412" s="26" t="s">
        <v>13728</v>
      </c>
      <c r="B4412" s="26" t="s">
        <v>13729</v>
      </c>
    </row>
    <row r="4413" spans="1:2" x14ac:dyDescent="0.25">
      <c r="A4413" s="26" t="s">
        <v>13730</v>
      </c>
      <c r="B4413" s="26" t="s">
        <v>13731</v>
      </c>
    </row>
    <row r="4414" spans="1:2" x14ac:dyDescent="0.25">
      <c r="A4414" s="26" t="s">
        <v>13732</v>
      </c>
      <c r="B4414" s="26" t="s">
        <v>13733</v>
      </c>
    </row>
    <row r="4415" spans="1:2" x14ac:dyDescent="0.25">
      <c r="A4415" s="26" t="s">
        <v>13734</v>
      </c>
      <c r="B4415" s="26" t="s">
        <v>13735</v>
      </c>
    </row>
    <row r="4416" spans="1:2" x14ac:dyDescent="0.25">
      <c r="A4416" s="26" t="s">
        <v>13736</v>
      </c>
      <c r="B4416" s="26" t="s">
        <v>13737</v>
      </c>
    </row>
    <row r="4417" spans="1:2" x14ac:dyDescent="0.25">
      <c r="A4417" s="26" t="s">
        <v>13738</v>
      </c>
      <c r="B4417" s="26" t="s">
        <v>13597</v>
      </c>
    </row>
    <row r="4418" spans="1:2" x14ac:dyDescent="0.25">
      <c r="A4418" s="26" t="s">
        <v>13739</v>
      </c>
      <c r="B4418" s="26" t="s">
        <v>13740</v>
      </c>
    </row>
    <row r="4419" spans="1:2" x14ac:dyDescent="0.25">
      <c r="A4419" s="26" t="s">
        <v>13741</v>
      </c>
      <c r="B4419" s="26" t="s">
        <v>13742</v>
      </c>
    </row>
    <row r="4420" spans="1:2" x14ac:dyDescent="0.25">
      <c r="A4420" s="26" t="s">
        <v>13743</v>
      </c>
      <c r="B4420" s="26" t="s">
        <v>13744</v>
      </c>
    </row>
    <row r="4421" spans="1:2" x14ac:dyDescent="0.25">
      <c r="A4421" s="26" t="s">
        <v>13745</v>
      </c>
      <c r="B4421" s="26" t="s">
        <v>13746</v>
      </c>
    </row>
    <row r="4422" spans="1:2" x14ac:dyDescent="0.25">
      <c r="A4422" s="26" t="s">
        <v>13747</v>
      </c>
      <c r="B4422" s="26" t="s">
        <v>13748</v>
      </c>
    </row>
    <row r="4423" spans="1:2" x14ac:dyDescent="0.25">
      <c r="A4423" s="26" t="s">
        <v>13749</v>
      </c>
      <c r="B4423" s="26" t="s">
        <v>13750</v>
      </c>
    </row>
    <row r="4424" spans="1:2" x14ac:dyDescent="0.25">
      <c r="A4424" s="26" t="s">
        <v>13751</v>
      </c>
      <c r="B4424" s="26" t="s">
        <v>13752</v>
      </c>
    </row>
    <row r="4425" spans="1:2" x14ac:dyDescent="0.25">
      <c r="A4425" s="26" t="s">
        <v>13753</v>
      </c>
      <c r="B4425" s="26" t="s">
        <v>13754</v>
      </c>
    </row>
    <row r="4426" spans="1:2" x14ac:dyDescent="0.25">
      <c r="A4426" s="26" t="s">
        <v>13755</v>
      </c>
      <c r="B4426" s="27"/>
    </row>
    <row r="4427" spans="1:2" x14ac:dyDescent="0.25">
      <c r="A4427" s="26" t="s">
        <v>13756</v>
      </c>
      <c r="B4427" s="26" t="s">
        <v>13757</v>
      </c>
    </row>
    <row r="4428" spans="1:2" x14ac:dyDescent="0.25">
      <c r="A4428" s="26" t="s">
        <v>13758</v>
      </c>
      <c r="B4428" s="26" t="s">
        <v>13615</v>
      </c>
    </row>
    <row r="4429" spans="1:2" x14ac:dyDescent="0.25">
      <c r="A4429" s="26" t="s">
        <v>13759</v>
      </c>
      <c r="B4429" s="26" t="s">
        <v>13759</v>
      </c>
    </row>
    <row r="4430" spans="1:2" x14ac:dyDescent="0.25">
      <c r="A4430" s="26" t="s">
        <v>13760</v>
      </c>
      <c r="B4430" s="26" t="s">
        <v>13761</v>
      </c>
    </row>
    <row r="4431" spans="1:2" x14ac:dyDescent="0.25">
      <c r="A4431" s="26" t="s">
        <v>13762</v>
      </c>
      <c r="B4431" s="26" t="s">
        <v>13763</v>
      </c>
    </row>
    <row r="4432" spans="1:2" x14ac:dyDescent="0.25">
      <c r="A4432" s="26" t="s">
        <v>13764</v>
      </c>
      <c r="B4432" s="26" t="s">
        <v>13765</v>
      </c>
    </row>
    <row r="4433" spans="1:2" x14ac:dyDescent="0.25">
      <c r="A4433" s="26" t="s">
        <v>13766</v>
      </c>
      <c r="B4433" s="26" t="s">
        <v>13767</v>
      </c>
    </row>
    <row r="4434" spans="1:2" x14ac:dyDescent="0.25">
      <c r="A4434" s="26" t="s">
        <v>13768</v>
      </c>
      <c r="B4434" s="26" t="s">
        <v>13769</v>
      </c>
    </row>
    <row r="4435" spans="1:2" x14ac:dyDescent="0.25">
      <c r="A4435" s="26" t="s">
        <v>13770</v>
      </c>
      <c r="B4435" s="26" t="s">
        <v>13771</v>
      </c>
    </row>
    <row r="4436" spans="1:2" x14ac:dyDescent="0.25">
      <c r="A4436" s="26" t="s">
        <v>13772</v>
      </c>
      <c r="B4436" s="26" t="s">
        <v>13772</v>
      </c>
    </row>
    <row r="4437" spans="1:2" x14ac:dyDescent="0.25">
      <c r="A4437" s="26" t="s">
        <v>13773</v>
      </c>
      <c r="B4437" s="26" t="s">
        <v>13774</v>
      </c>
    </row>
    <row r="4438" spans="1:2" x14ac:dyDescent="0.25">
      <c r="A4438" s="26" t="s">
        <v>13775</v>
      </c>
      <c r="B4438" s="26" t="s">
        <v>13776</v>
      </c>
    </row>
    <row r="4439" spans="1:2" x14ac:dyDescent="0.25">
      <c r="A4439" s="26" t="s">
        <v>13777</v>
      </c>
      <c r="B4439" s="26" t="s">
        <v>13778</v>
      </c>
    </row>
    <row r="4440" spans="1:2" x14ac:dyDescent="0.25">
      <c r="A4440" s="26" t="s">
        <v>13779</v>
      </c>
      <c r="B4440" s="26" t="s">
        <v>13780</v>
      </c>
    </row>
    <row r="4441" spans="1:2" x14ac:dyDescent="0.25">
      <c r="A4441" s="26" t="s">
        <v>13781</v>
      </c>
      <c r="B4441" s="26" t="s">
        <v>13782</v>
      </c>
    </row>
    <row r="4442" spans="1:2" x14ac:dyDescent="0.25">
      <c r="A4442" s="26" t="s">
        <v>13783</v>
      </c>
      <c r="B4442" s="26" t="s">
        <v>13784</v>
      </c>
    </row>
    <row r="4443" spans="1:2" x14ac:dyDescent="0.25">
      <c r="A4443" s="26" t="s">
        <v>13785</v>
      </c>
      <c r="B4443" s="26" t="s">
        <v>13760</v>
      </c>
    </row>
    <row r="4444" spans="1:2" x14ac:dyDescent="0.25">
      <c r="A4444" s="26" t="s">
        <v>13786</v>
      </c>
      <c r="B4444" s="26" t="s">
        <v>13787</v>
      </c>
    </row>
    <row r="4445" spans="1:2" x14ac:dyDescent="0.25">
      <c r="A4445" s="26" t="s">
        <v>11022</v>
      </c>
      <c r="B4445" s="26" t="s">
        <v>13788</v>
      </c>
    </row>
    <row r="4446" spans="1:2" x14ac:dyDescent="0.25">
      <c r="A4446" s="26" t="s">
        <v>13789</v>
      </c>
      <c r="B4446" s="26" t="s">
        <v>13790</v>
      </c>
    </row>
    <row r="4447" spans="1:2" x14ac:dyDescent="0.25">
      <c r="A4447" s="26" t="s">
        <v>13791</v>
      </c>
      <c r="B4447" s="26" t="s">
        <v>13792</v>
      </c>
    </row>
    <row r="4448" spans="1:2" x14ac:dyDescent="0.25">
      <c r="A4448" s="26" t="s">
        <v>13793</v>
      </c>
      <c r="B4448" s="26" t="s">
        <v>13794</v>
      </c>
    </row>
    <row r="4449" spans="1:2" x14ac:dyDescent="0.25">
      <c r="A4449" s="26" t="s">
        <v>13795</v>
      </c>
      <c r="B4449" s="26" t="s">
        <v>13796</v>
      </c>
    </row>
    <row r="4450" spans="1:2" x14ac:dyDescent="0.25">
      <c r="A4450" s="26" t="s">
        <v>13797</v>
      </c>
      <c r="B4450" s="26" t="s">
        <v>13798</v>
      </c>
    </row>
    <row r="4451" spans="1:2" x14ac:dyDescent="0.25">
      <c r="A4451" s="26" t="s">
        <v>13799</v>
      </c>
      <c r="B4451" s="26" t="s">
        <v>13800</v>
      </c>
    </row>
    <row r="4452" spans="1:2" x14ac:dyDescent="0.25">
      <c r="A4452" s="26" t="s">
        <v>13801</v>
      </c>
      <c r="B4452" s="26" t="s">
        <v>13802</v>
      </c>
    </row>
    <row r="4453" spans="1:2" x14ac:dyDescent="0.25">
      <c r="A4453" s="26" t="s">
        <v>13803</v>
      </c>
      <c r="B4453" s="26" t="s">
        <v>13804</v>
      </c>
    </row>
    <row r="4454" spans="1:2" x14ac:dyDescent="0.25">
      <c r="A4454" s="26" t="s">
        <v>13805</v>
      </c>
      <c r="B4454" s="26" t="s">
        <v>13805</v>
      </c>
    </row>
    <row r="4455" spans="1:2" x14ac:dyDescent="0.25">
      <c r="A4455" s="26" t="s">
        <v>13806</v>
      </c>
      <c r="B4455" s="26" t="s">
        <v>13807</v>
      </c>
    </row>
    <row r="4456" spans="1:2" x14ac:dyDescent="0.25">
      <c r="A4456" s="26" t="s">
        <v>13808</v>
      </c>
      <c r="B4456" s="26" t="s">
        <v>13809</v>
      </c>
    </row>
    <row r="4457" spans="1:2" x14ac:dyDescent="0.25">
      <c r="A4457" s="26" t="s">
        <v>13810</v>
      </c>
      <c r="B4457" s="26" t="s">
        <v>13811</v>
      </c>
    </row>
    <row r="4458" spans="1:2" x14ac:dyDescent="0.25">
      <c r="A4458" s="26" t="s">
        <v>13812</v>
      </c>
      <c r="B4458" s="26" t="s">
        <v>13813</v>
      </c>
    </row>
    <row r="4459" spans="1:2" x14ac:dyDescent="0.25">
      <c r="A4459" s="26" t="s">
        <v>13814</v>
      </c>
      <c r="B4459" s="26" t="s">
        <v>13815</v>
      </c>
    </row>
    <row r="4460" spans="1:2" x14ac:dyDescent="0.25">
      <c r="A4460" s="26" t="s">
        <v>13816</v>
      </c>
      <c r="B4460" s="26" t="s">
        <v>13816</v>
      </c>
    </row>
    <row r="4461" spans="1:2" x14ac:dyDescent="0.25">
      <c r="A4461" s="26" t="s">
        <v>13817</v>
      </c>
      <c r="B4461" s="26" t="s">
        <v>13817</v>
      </c>
    </row>
    <row r="4462" spans="1:2" x14ac:dyDescent="0.25">
      <c r="A4462" s="26" t="s">
        <v>13818</v>
      </c>
      <c r="B4462" s="26" t="s">
        <v>13818</v>
      </c>
    </row>
    <row r="4463" spans="1:2" x14ac:dyDescent="0.25">
      <c r="A4463" s="26" t="s">
        <v>13819</v>
      </c>
      <c r="B4463" s="26" t="s">
        <v>13820</v>
      </c>
    </row>
    <row r="4464" spans="1:2" x14ac:dyDescent="0.25">
      <c r="A4464" s="26" t="s">
        <v>13821</v>
      </c>
      <c r="B4464" s="26" t="s">
        <v>13822</v>
      </c>
    </row>
    <row r="4465" spans="1:2" x14ac:dyDescent="0.25">
      <c r="A4465" s="26" t="s">
        <v>13823</v>
      </c>
      <c r="B4465" s="26" t="s">
        <v>13824</v>
      </c>
    </row>
    <row r="4466" spans="1:2" x14ac:dyDescent="0.25">
      <c r="A4466" s="26" t="s">
        <v>13825</v>
      </c>
      <c r="B4466" s="26" t="s">
        <v>13826</v>
      </c>
    </row>
    <row r="4467" spans="1:2" x14ac:dyDescent="0.25">
      <c r="A4467" s="26" t="s">
        <v>13827</v>
      </c>
      <c r="B4467" s="26" t="s">
        <v>13828</v>
      </c>
    </row>
    <row r="4468" spans="1:2" x14ac:dyDescent="0.25">
      <c r="A4468" s="26" t="s">
        <v>13829</v>
      </c>
      <c r="B4468" s="26" t="s">
        <v>13830</v>
      </c>
    </row>
    <row r="4469" spans="1:2" x14ac:dyDescent="0.25">
      <c r="A4469" s="26" t="s">
        <v>13831</v>
      </c>
      <c r="B4469" s="26" t="s">
        <v>13832</v>
      </c>
    </row>
    <row r="4470" spans="1:2" x14ac:dyDescent="0.25">
      <c r="A4470" s="26" t="s">
        <v>13833</v>
      </c>
      <c r="B4470" s="27"/>
    </row>
    <row r="4471" spans="1:2" x14ac:dyDescent="0.25">
      <c r="A4471" s="26" t="s">
        <v>13834</v>
      </c>
      <c r="B4471" s="26" t="s">
        <v>13835</v>
      </c>
    </row>
    <row r="4472" spans="1:2" x14ac:dyDescent="0.25">
      <c r="A4472" s="26" t="s">
        <v>13836</v>
      </c>
      <c r="B4472" s="26" t="s">
        <v>13837</v>
      </c>
    </row>
    <row r="4473" spans="1:2" x14ac:dyDescent="0.25">
      <c r="A4473" s="26" t="s">
        <v>13838</v>
      </c>
      <c r="B4473" s="26" t="s">
        <v>13839</v>
      </c>
    </row>
    <row r="4474" spans="1:2" x14ac:dyDescent="0.25">
      <c r="A4474" s="26" t="s">
        <v>13840</v>
      </c>
      <c r="B4474" s="26" t="s">
        <v>13841</v>
      </c>
    </row>
    <row r="4475" spans="1:2" x14ac:dyDescent="0.25">
      <c r="A4475" s="26" t="s">
        <v>13842</v>
      </c>
      <c r="B4475" s="26" t="s">
        <v>13843</v>
      </c>
    </row>
    <row r="4476" spans="1:2" x14ac:dyDescent="0.25">
      <c r="A4476" s="26" t="s">
        <v>13844</v>
      </c>
      <c r="B4476" s="27"/>
    </row>
    <row r="4477" spans="1:2" x14ac:dyDescent="0.25">
      <c r="A4477" s="26" t="s">
        <v>13845</v>
      </c>
      <c r="B4477" s="27"/>
    </row>
    <row r="4478" spans="1:2" x14ac:dyDescent="0.25">
      <c r="A4478" s="26" t="s">
        <v>13846</v>
      </c>
      <c r="B4478" s="26" t="s">
        <v>13847</v>
      </c>
    </row>
    <row r="4479" spans="1:2" x14ac:dyDescent="0.25">
      <c r="A4479" s="26" t="s">
        <v>13848</v>
      </c>
      <c r="B4479" s="27"/>
    </row>
    <row r="4480" spans="1:2" x14ac:dyDescent="0.25">
      <c r="A4480" s="2" t="s">
        <v>13707</v>
      </c>
      <c r="B4480" s="2" t="s">
        <v>13708</v>
      </c>
    </row>
    <row r="4481" spans="1:2" x14ac:dyDescent="0.25">
      <c r="A4481" s="2" t="s">
        <v>13709</v>
      </c>
      <c r="B4481" s="2" t="s">
        <v>13710</v>
      </c>
    </row>
    <row r="4482" spans="1:2" x14ac:dyDescent="0.25">
      <c r="A4482" s="2" t="s">
        <v>13711</v>
      </c>
      <c r="B4482" s="2" t="s">
        <v>13712</v>
      </c>
    </row>
    <row r="4483" spans="1:2" x14ac:dyDescent="0.25">
      <c r="A4483" s="2" t="s">
        <v>13713</v>
      </c>
      <c r="B4483" s="2" t="s">
        <v>13712</v>
      </c>
    </row>
    <row r="4484" spans="1:2" x14ac:dyDescent="0.25">
      <c r="A4484" s="2" t="s">
        <v>13714</v>
      </c>
      <c r="B4484" s="2" t="s">
        <v>13715</v>
      </c>
    </row>
    <row r="4485" spans="1:2" x14ac:dyDescent="0.25">
      <c r="A4485" s="2" t="s">
        <v>13716</v>
      </c>
      <c r="B4485" s="2" t="s">
        <v>13717</v>
      </c>
    </row>
    <row r="4486" spans="1:2" x14ac:dyDescent="0.25">
      <c r="A4486" s="2" t="s">
        <v>13718</v>
      </c>
      <c r="B4486" s="2" t="s">
        <v>13719</v>
      </c>
    </row>
    <row r="4487" spans="1:2" x14ac:dyDescent="0.25">
      <c r="A4487" s="2" t="s">
        <v>13720</v>
      </c>
      <c r="B4487" s="2" t="s">
        <v>13721</v>
      </c>
    </row>
    <row r="4488" spans="1:2" x14ac:dyDescent="0.25">
      <c r="A4488" s="2" t="s">
        <v>13722</v>
      </c>
      <c r="B4488" s="2" t="s">
        <v>13723</v>
      </c>
    </row>
    <row r="4489" spans="1:2" x14ac:dyDescent="0.25">
      <c r="A4489" s="2" t="s">
        <v>13724</v>
      </c>
      <c r="B4489" s="2" t="s">
        <v>13725</v>
      </c>
    </row>
    <row r="4490" spans="1:2" x14ac:dyDescent="0.25">
      <c r="A4490" s="2" t="s">
        <v>13726</v>
      </c>
      <c r="B4490" s="2" t="s">
        <v>13727</v>
      </c>
    </row>
    <row r="4491" spans="1:2" x14ac:dyDescent="0.25">
      <c r="A4491" s="2" t="s">
        <v>13728</v>
      </c>
      <c r="B4491" s="2" t="s">
        <v>13729</v>
      </c>
    </row>
    <row r="4492" spans="1:2" x14ac:dyDescent="0.25">
      <c r="A4492" s="2" t="s">
        <v>13730</v>
      </c>
      <c r="B4492" s="2" t="s">
        <v>13731</v>
      </c>
    </row>
    <row r="4493" spans="1:2" x14ac:dyDescent="0.25">
      <c r="A4493" s="2" t="s">
        <v>13732</v>
      </c>
      <c r="B4493" s="2" t="s">
        <v>13733</v>
      </c>
    </row>
    <row r="4494" spans="1:2" x14ac:dyDescent="0.25">
      <c r="A4494" s="2" t="s">
        <v>13734</v>
      </c>
      <c r="B4494" s="2" t="s">
        <v>13735</v>
      </c>
    </row>
    <row r="4495" spans="1:2" x14ac:dyDescent="0.25">
      <c r="A4495" s="2" t="s">
        <v>13736</v>
      </c>
      <c r="B4495" s="2" t="s">
        <v>13737</v>
      </c>
    </row>
    <row r="4496" spans="1:2" x14ac:dyDescent="0.25">
      <c r="A4496" s="2" t="s">
        <v>13738</v>
      </c>
      <c r="B4496" s="2" t="s">
        <v>13597</v>
      </c>
    </row>
    <row r="4497" spans="1:2" x14ac:dyDescent="0.25">
      <c r="A4497" s="2" t="s">
        <v>13739</v>
      </c>
      <c r="B4497" s="2" t="s">
        <v>13740</v>
      </c>
    </row>
    <row r="4498" spans="1:2" x14ac:dyDescent="0.25">
      <c r="A4498" s="2" t="s">
        <v>13741</v>
      </c>
      <c r="B4498" s="2" t="s">
        <v>13742</v>
      </c>
    </row>
    <row r="4499" spans="1:2" x14ac:dyDescent="0.25">
      <c r="A4499" s="2" t="s">
        <v>13743</v>
      </c>
      <c r="B4499" s="2" t="s">
        <v>13744</v>
      </c>
    </row>
    <row r="4500" spans="1:2" x14ac:dyDescent="0.25">
      <c r="A4500" s="2" t="s">
        <v>13745</v>
      </c>
      <c r="B4500" s="2" t="s">
        <v>13746</v>
      </c>
    </row>
    <row r="4501" spans="1:2" x14ac:dyDescent="0.25">
      <c r="A4501" s="2" t="s">
        <v>13747</v>
      </c>
      <c r="B4501" s="2" t="s">
        <v>13748</v>
      </c>
    </row>
    <row r="4502" spans="1:2" x14ac:dyDescent="0.25">
      <c r="A4502" s="2" t="s">
        <v>13749</v>
      </c>
      <c r="B4502" s="2" t="s">
        <v>13750</v>
      </c>
    </row>
    <row r="4503" spans="1:2" x14ac:dyDescent="0.25">
      <c r="A4503" s="2" t="s">
        <v>13751</v>
      </c>
      <c r="B4503" s="2" t="s">
        <v>13752</v>
      </c>
    </row>
    <row r="4504" spans="1:2" x14ac:dyDescent="0.25">
      <c r="A4504" s="2" t="s">
        <v>13753</v>
      </c>
      <c r="B4504" s="2" t="s">
        <v>13754</v>
      </c>
    </row>
    <row r="4505" spans="1:2" x14ac:dyDescent="0.25">
      <c r="A4505" s="2" t="s">
        <v>13755</v>
      </c>
    </row>
    <row r="4506" spans="1:2" x14ac:dyDescent="0.25">
      <c r="A4506" s="2" t="s">
        <v>13756</v>
      </c>
      <c r="B4506" s="2" t="s">
        <v>13757</v>
      </c>
    </row>
    <row r="4507" spans="1:2" x14ac:dyDescent="0.25">
      <c r="A4507" s="2" t="s">
        <v>13758</v>
      </c>
      <c r="B4507" s="2" t="s">
        <v>13615</v>
      </c>
    </row>
    <row r="4508" spans="1:2" x14ac:dyDescent="0.25">
      <c r="A4508" s="2" t="s">
        <v>13759</v>
      </c>
      <c r="B4508" s="2" t="s">
        <v>13759</v>
      </c>
    </row>
    <row r="4509" spans="1:2" x14ac:dyDescent="0.25">
      <c r="A4509" s="2" t="s">
        <v>13760</v>
      </c>
      <c r="B4509" s="2" t="s">
        <v>13761</v>
      </c>
    </row>
    <row r="4510" spans="1:2" x14ac:dyDescent="0.25">
      <c r="A4510" s="2" t="s">
        <v>13762</v>
      </c>
      <c r="B4510" s="2" t="s">
        <v>13763</v>
      </c>
    </row>
    <row r="4511" spans="1:2" x14ac:dyDescent="0.25">
      <c r="A4511" s="2" t="s">
        <v>13764</v>
      </c>
      <c r="B4511" s="2" t="s">
        <v>13765</v>
      </c>
    </row>
    <row r="4512" spans="1:2" x14ac:dyDescent="0.25">
      <c r="A4512" s="2" t="s">
        <v>13766</v>
      </c>
      <c r="B4512" s="2" t="s">
        <v>13767</v>
      </c>
    </row>
    <row r="4513" spans="1:2" x14ac:dyDescent="0.25">
      <c r="A4513" s="2" t="s">
        <v>13768</v>
      </c>
      <c r="B4513" s="2" t="s">
        <v>13769</v>
      </c>
    </row>
    <row r="4514" spans="1:2" x14ac:dyDescent="0.25">
      <c r="A4514" s="2" t="s">
        <v>13770</v>
      </c>
      <c r="B4514" s="2" t="s">
        <v>13771</v>
      </c>
    </row>
    <row r="4515" spans="1:2" x14ac:dyDescent="0.25">
      <c r="A4515" s="2" t="s">
        <v>13772</v>
      </c>
      <c r="B4515" s="2" t="s">
        <v>13772</v>
      </c>
    </row>
    <row r="4516" spans="1:2" x14ac:dyDescent="0.25">
      <c r="A4516" s="2" t="s">
        <v>13773</v>
      </c>
      <c r="B4516" s="2" t="s">
        <v>13774</v>
      </c>
    </row>
    <row r="4517" spans="1:2" x14ac:dyDescent="0.25">
      <c r="A4517" s="2" t="s">
        <v>13775</v>
      </c>
      <c r="B4517" s="2" t="s">
        <v>13776</v>
      </c>
    </row>
    <row r="4518" spans="1:2" x14ac:dyDescent="0.25">
      <c r="A4518" s="2" t="s">
        <v>13777</v>
      </c>
      <c r="B4518" s="2" t="s">
        <v>13778</v>
      </c>
    </row>
    <row r="4519" spans="1:2" x14ac:dyDescent="0.25">
      <c r="A4519" s="2" t="s">
        <v>13779</v>
      </c>
      <c r="B4519" s="2" t="s">
        <v>13780</v>
      </c>
    </row>
    <row r="4520" spans="1:2" x14ac:dyDescent="0.25">
      <c r="A4520" s="2" t="s">
        <v>13781</v>
      </c>
      <c r="B4520" s="2" t="s">
        <v>13782</v>
      </c>
    </row>
    <row r="4521" spans="1:2" x14ac:dyDescent="0.25">
      <c r="A4521" s="2" t="s">
        <v>13783</v>
      </c>
      <c r="B4521" s="2" t="s">
        <v>13784</v>
      </c>
    </row>
    <row r="4522" spans="1:2" x14ac:dyDescent="0.25">
      <c r="A4522" s="2" t="s">
        <v>13785</v>
      </c>
      <c r="B4522" s="2" t="s">
        <v>13760</v>
      </c>
    </row>
    <row r="4523" spans="1:2" x14ac:dyDescent="0.25">
      <c r="A4523" s="2" t="s">
        <v>13786</v>
      </c>
      <c r="B4523" s="2" t="s">
        <v>13787</v>
      </c>
    </row>
    <row r="4524" spans="1:2" x14ac:dyDescent="0.25">
      <c r="A4524" s="2" t="s">
        <v>11022</v>
      </c>
      <c r="B4524" s="2" t="s">
        <v>13788</v>
      </c>
    </row>
    <row r="4525" spans="1:2" x14ac:dyDescent="0.25">
      <c r="A4525" s="2" t="s">
        <v>13789</v>
      </c>
      <c r="B4525" s="2" t="s">
        <v>13790</v>
      </c>
    </row>
    <row r="4526" spans="1:2" x14ac:dyDescent="0.25">
      <c r="A4526" s="2" t="s">
        <v>13791</v>
      </c>
      <c r="B4526" s="2" t="s">
        <v>13792</v>
      </c>
    </row>
    <row r="4527" spans="1:2" x14ac:dyDescent="0.25">
      <c r="A4527" s="2" t="s">
        <v>13793</v>
      </c>
      <c r="B4527" s="2" t="s">
        <v>13794</v>
      </c>
    </row>
    <row r="4528" spans="1:2" x14ac:dyDescent="0.25">
      <c r="A4528" s="2" t="s">
        <v>13795</v>
      </c>
      <c r="B4528" s="2" t="s">
        <v>13796</v>
      </c>
    </row>
    <row r="4529" spans="1:2" x14ac:dyDescent="0.25">
      <c r="A4529" s="2" t="s">
        <v>13797</v>
      </c>
      <c r="B4529" s="2" t="s">
        <v>13798</v>
      </c>
    </row>
    <row r="4530" spans="1:2" x14ac:dyDescent="0.25">
      <c r="A4530" s="2" t="s">
        <v>13799</v>
      </c>
      <c r="B4530" s="2" t="s">
        <v>13800</v>
      </c>
    </row>
    <row r="4531" spans="1:2" x14ac:dyDescent="0.25">
      <c r="A4531" s="2" t="s">
        <v>13801</v>
      </c>
      <c r="B4531" s="2" t="s">
        <v>13802</v>
      </c>
    </row>
    <row r="4532" spans="1:2" x14ac:dyDescent="0.25">
      <c r="A4532" s="2" t="s">
        <v>13803</v>
      </c>
      <c r="B4532" s="2" t="s">
        <v>13804</v>
      </c>
    </row>
    <row r="4533" spans="1:2" x14ac:dyDescent="0.25">
      <c r="A4533" s="2" t="s">
        <v>13805</v>
      </c>
      <c r="B4533" s="2" t="s">
        <v>13805</v>
      </c>
    </row>
    <row r="4534" spans="1:2" x14ac:dyDescent="0.25">
      <c r="A4534" s="2" t="s">
        <v>13806</v>
      </c>
      <c r="B4534" s="2" t="s">
        <v>13807</v>
      </c>
    </row>
    <row r="4535" spans="1:2" x14ac:dyDescent="0.25">
      <c r="A4535" s="2" t="s">
        <v>13808</v>
      </c>
      <c r="B4535" s="2" t="s">
        <v>13809</v>
      </c>
    </row>
    <row r="4536" spans="1:2" x14ac:dyDescent="0.25">
      <c r="A4536" s="2" t="s">
        <v>13810</v>
      </c>
      <c r="B4536" s="2" t="s">
        <v>13811</v>
      </c>
    </row>
    <row r="4537" spans="1:2" x14ac:dyDescent="0.25">
      <c r="A4537" s="2" t="s">
        <v>13812</v>
      </c>
      <c r="B4537" s="2" t="s">
        <v>13813</v>
      </c>
    </row>
    <row r="4538" spans="1:2" x14ac:dyDescent="0.25">
      <c r="A4538" s="2" t="s">
        <v>13814</v>
      </c>
      <c r="B4538" s="2" t="s">
        <v>13815</v>
      </c>
    </row>
    <row r="4539" spans="1:2" x14ac:dyDescent="0.25">
      <c r="A4539" s="2" t="s">
        <v>13816</v>
      </c>
      <c r="B4539" s="2" t="s">
        <v>13816</v>
      </c>
    </row>
    <row r="4540" spans="1:2" x14ac:dyDescent="0.25">
      <c r="A4540" s="2" t="s">
        <v>13817</v>
      </c>
      <c r="B4540" s="2" t="s">
        <v>13817</v>
      </c>
    </row>
    <row r="4541" spans="1:2" x14ac:dyDescent="0.25">
      <c r="A4541" s="2" t="s">
        <v>13818</v>
      </c>
      <c r="B4541" s="2" t="s">
        <v>13818</v>
      </c>
    </row>
    <row r="4542" spans="1:2" x14ac:dyDescent="0.25">
      <c r="A4542" s="2" t="s">
        <v>13819</v>
      </c>
      <c r="B4542" s="2" t="s">
        <v>13820</v>
      </c>
    </row>
    <row r="4543" spans="1:2" x14ac:dyDescent="0.25">
      <c r="A4543" s="2" t="s">
        <v>13821</v>
      </c>
      <c r="B4543" s="2" t="s">
        <v>13822</v>
      </c>
    </row>
    <row r="4544" spans="1:2" x14ac:dyDescent="0.25">
      <c r="A4544" s="2" t="s">
        <v>13823</v>
      </c>
      <c r="B4544" s="2" t="s">
        <v>13824</v>
      </c>
    </row>
    <row r="4545" spans="1:2" x14ac:dyDescent="0.25">
      <c r="A4545" s="2" t="s">
        <v>13825</v>
      </c>
      <c r="B4545" s="2" t="s">
        <v>13826</v>
      </c>
    </row>
    <row r="4546" spans="1:2" x14ac:dyDescent="0.25">
      <c r="A4546" s="2" t="s">
        <v>13827</v>
      </c>
      <c r="B4546" s="2" t="s">
        <v>13828</v>
      </c>
    </row>
    <row r="4547" spans="1:2" x14ac:dyDescent="0.25">
      <c r="A4547" s="2" t="s">
        <v>13829</v>
      </c>
      <c r="B4547" s="2" t="s">
        <v>13830</v>
      </c>
    </row>
    <row r="4548" spans="1:2" x14ac:dyDescent="0.25">
      <c r="A4548" s="2" t="s">
        <v>13831</v>
      </c>
      <c r="B4548" s="2" t="s">
        <v>13832</v>
      </c>
    </row>
    <row r="4549" spans="1:2" x14ac:dyDescent="0.25">
      <c r="A4549" s="2" t="s">
        <v>13833</v>
      </c>
    </row>
    <row r="4550" spans="1:2" x14ac:dyDescent="0.25">
      <c r="A4550" s="2" t="s">
        <v>13834</v>
      </c>
      <c r="B4550" s="2" t="s">
        <v>13835</v>
      </c>
    </row>
    <row r="4551" spans="1:2" x14ac:dyDescent="0.25">
      <c r="A4551" s="2" t="s">
        <v>13836</v>
      </c>
      <c r="B4551" s="2" t="s">
        <v>13837</v>
      </c>
    </row>
    <row r="4552" spans="1:2" x14ac:dyDescent="0.25">
      <c r="A4552" s="2" t="s">
        <v>13838</v>
      </c>
      <c r="B4552" s="2" t="s">
        <v>13839</v>
      </c>
    </row>
    <row r="4553" spans="1:2" x14ac:dyDescent="0.25">
      <c r="A4553" s="2" t="s">
        <v>13840</v>
      </c>
      <c r="B4553" s="2" t="s">
        <v>13841</v>
      </c>
    </row>
    <row r="4554" spans="1:2" x14ac:dyDescent="0.25">
      <c r="A4554" s="2" t="s">
        <v>13842</v>
      </c>
      <c r="B4554" s="2" t="s">
        <v>13843</v>
      </c>
    </row>
    <row r="4555" spans="1:2" x14ac:dyDescent="0.25">
      <c r="A4555" s="2" t="s">
        <v>13844</v>
      </c>
    </row>
    <row r="4556" spans="1:2" x14ac:dyDescent="0.25">
      <c r="A4556" s="2" t="s">
        <v>13845</v>
      </c>
    </row>
    <row r="4557" spans="1:2" x14ac:dyDescent="0.25">
      <c r="A4557" s="2" t="s">
        <v>13846</v>
      </c>
      <c r="B4557" s="2" t="s">
        <v>13847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2024-08-07T12:56:49Z</dcterms:modified>
</cp:coreProperties>
</file>