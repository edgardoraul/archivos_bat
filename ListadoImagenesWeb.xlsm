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Color'!$A$1:$I$1</definedName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J2" i="4" l="1"/>
  <c r="D1698" i="1" l="1"/>
  <c r="F1698" i="1"/>
  <c r="F542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699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1722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751" i="1"/>
  <c r="F1752" i="1"/>
  <c r="F1753" i="1"/>
  <c r="F1754" i="1"/>
  <c r="F1755" i="1"/>
  <c r="F1756" i="1"/>
  <c r="F1757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4" i="1"/>
  <c r="F2115" i="1"/>
  <c r="F2116" i="1"/>
  <c r="F2117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2139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2154" i="1"/>
  <c r="F2155" i="1"/>
  <c r="F2156" i="1"/>
  <c r="F2157" i="1"/>
  <c r="F2158" i="1"/>
  <c r="F2159" i="1"/>
  <c r="F2160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8" i="1"/>
  <c r="F2389" i="1"/>
  <c r="F2390" i="1"/>
  <c r="F2391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421" i="1"/>
  <c r="F2422" i="1"/>
  <c r="F2423" i="1"/>
  <c r="F2424" i="1"/>
  <c r="F2425" i="1"/>
  <c r="F2427" i="1"/>
  <c r="F2428" i="1"/>
  <c r="F2429" i="1"/>
  <c r="F2430" i="1"/>
  <c r="F2431" i="1"/>
  <c r="F2432" i="1"/>
  <c r="F2433" i="1"/>
  <c r="F2434" i="1"/>
  <c r="F2435" i="1"/>
  <c r="F2436" i="1"/>
  <c r="F2437" i="1"/>
  <c r="F2439" i="1"/>
  <c r="F2440" i="1"/>
  <c r="F2441" i="1"/>
  <c r="F2442" i="1"/>
  <c r="F2443" i="1"/>
  <c r="F2444" i="1"/>
  <c r="F2445" i="1"/>
  <c r="F2446" i="1"/>
  <c r="F2447" i="1"/>
  <c r="F2448" i="1"/>
  <c r="F2449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1" i="1"/>
  <c r="F2512" i="1"/>
  <c r="F2513" i="1"/>
  <c r="F2514" i="1"/>
  <c r="F2515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543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6" i="1"/>
  <c r="F1137" i="1"/>
  <c r="F1138" i="1"/>
  <c r="F113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8" i="1"/>
  <c r="F1199" i="1"/>
  <c r="F12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510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25" i="1"/>
  <c r="F1526" i="1"/>
  <c r="F1527" i="1"/>
  <c r="F1528" i="1"/>
  <c r="F1529" i="1"/>
  <c r="F1530" i="1"/>
  <c r="F1531" i="1"/>
  <c r="F1533" i="1"/>
  <c r="F1534" i="1"/>
  <c r="F1535" i="1"/>
  <c r="F1536" i="1"/>
  <c r="F1537" i="1"/>
  <c r="F1538" i="1"/>
  <c r="F1539" i="1"/>
  <c r="F1540" i="1"/>
  <c r="F1541" i="1"/>
  <c r="F1542" i="1"/>
  <c r="F1543" i="1"/>
  <c r="F1545" i="1"/>
  <c r="F1546" i="1"/>
  <c r="F1547" i="1"/>
  <c r="F1548" i="1"/>
  <c r="F1549" i="1"/>
  <c r="F1550" i="1"/>
  <c r="F1551" i="1"/>
  <c r="F1552" i="1"/>
  <c r="F1553" i="1"/>
  <c r="F1554" i="1"/>
  <c r="F1556" i="1"/>
  <c r="F1557" i="1"/>
  <c r="F1558" i="1"/>
  <c r="F1559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574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58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</calcChain>
</file>

<file path=xl/sharedStrings.xml><?xml version="1.0" encoding="utf-8"?>
<sst xmlns="http://schemas.openxmlformats.org/spreadsheetml/2006/main" count="16903" uniqueCount="8056">
  <si>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</si>
  <si>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</si>
  <si>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</si>
  <si>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</si>
  <si>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</si>
  <si>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</si>
  <si>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</si>
  <si>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</si>
  <si>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</si>
  <si>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</si>
  <si>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</si>
  <si>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</si>
  <si>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</si>
  <si>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</si>
  <si>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</si>
  <si>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</si>
  <si>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</si>
  <si>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</si>
  <si>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</si>
  <si>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</si>
  <si>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</si>
  <si>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</si>
  <si>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</si>
  <si>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</si>
  <si>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</si>
  <si>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</si>
  <si>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</si>
  <si>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</si>
  <si>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</si>
  <si>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</si>
  <si>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</si>
  <si>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</si>
  <si>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</si>
  <si>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</si>
  <si>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</si>
  <si>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</si>
  <si>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</si>
  <si>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</si>
  <si>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</si>
  <si>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</si>
  <si>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</si>
  <si>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</si>
  <si>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</si>
  <si>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</si>
  <si>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</si>
  <si>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</si>
  <si>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</si>
  <si>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</si>
  <si>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</si>
  <si>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</si>
  <si>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</si>
  <si>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</si>
  <si>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</si>
  <si>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</si>
  <si>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</si>
  <si>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</si>
  <si>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</si>
  <si>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</si>
  <si>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</si>
  <si>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</si>
  <si>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</si>
  <si>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</si>
  <si>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</si>
  <si>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</si>
  <si>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</si>
  <si>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</si>
  <si>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</si>
  <si>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</si>
  <si>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</si>
  <si>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</si>
  <si>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</si>
  <si>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</si>
  <si>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</si>
  <si>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</si>
  <si>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</si>
  <si>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</si>
  <si>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</si>
  <si>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</si>
  <si>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</si>
  <si>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</si>
  <si>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</si>
  <si>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</si>
  <si>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</si>
  <si>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</si>
  <si>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</si>
  <si>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</si>
  <si>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</si>
  <si>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</si>
  <si>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</si>
  <si>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</si>
  <si>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</si>
  <si>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</si>
  <si>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</si>
  <si>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</si>
  <si>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</si>
  <si>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</si>
  <si>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</si>
  <si>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</si>
  <si>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</si>
  <si>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</si>
  <si>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</si>
  <si>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</si>
  <si>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</si>
  <si>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</si>
  <si>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</si>
  <si>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</si>
  <si>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</si>
  <si>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</si>
  <si>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</si>
  <si>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</si>
  <si>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</si>
  <si>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</si>
  <si>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</si>
  <si>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</si>
  <si>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</si>
  <si>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</si>
  <si>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</si>
  <si>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</si>
  <si>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</si>
  <si>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</si>
  <si>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</si>
  <si>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</si>
  <si>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</si>
  <si>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</si>
  <si>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</si>
  <si>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</si>
  <si>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</si>
  <si>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</si>
  <si>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</si>
  <si>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</si>
  <si>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</si>
  <si>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</si>
  <si>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</si>
  <si>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</si>
  <si>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</si>
  <si>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</si>
  <si>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</si>
  <si>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</si>
  <si>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</si>
  <si>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</si>
  <si>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</si>
  <si>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</si>
  <si>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</si>
  <si>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</si>
  <si>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</si>
  <si>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</si>
  <si>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</si>
  <si>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</si>
  <si>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</si>
  <si>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</si>
  <si>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</si>
  <si>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</si>
  <si>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</si>
  <si>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</si>
  <si>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</si>
  <si>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</si>
  <si>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</si>
  <si>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</si>
  <si>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</si>
  <si>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</si>
  <si>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</si>
  <si>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</si>
  <si>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</si>
  <si>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</si>
  <si>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</si>
  <si>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</si>
  <si>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</si>
  <si>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</si>
  <si>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</si>
  <si>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</si>
  <si>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</si>
  <si>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</si>
  <si>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</si>
  <si>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</si>
  <si>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</si>
  <si>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</si>
  <si>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</si>
  <si>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</si>
  <si>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</si>
  <si>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</si>
  <si>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</si>
  <si>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</si>
  <si>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</si>
  <si>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</si>
  <si>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</si>
  <si>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</si>
  <si>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</si>
  <si>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</si>
  <si>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</si>
  <si>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</si>
  <si>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</si>
  <si>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</si>
  <si>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</si>
  <si>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</si>
  <si>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</si>
  <si>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</si>
  <si>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</si>
  <si>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</si>
  <si>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</si>
  <si>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</si>
  <si>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</si>
  <si>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</si>
  <si>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</si>
  <si>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</si>
  <si>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</si>
  <si>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</si>
  <si>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</si>
  <si>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</si>
  <si>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</si>
  <si>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</si>
  <si>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</si>
  <si>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</si>
  <si>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</si>
  <si>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</si>
  <si>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</si>
  <si>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</si>
  <si>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</si>
  <si>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</si>
  <si>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</si>
  <si>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</si>
  <si>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</si>
  <si>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</si>
  <si>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</si>
  <si>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</si>
  <si>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</si>
  <si>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</si>
  <si>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</si>
  <si>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</si>
  <si>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</si>
  <si>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</si>
  <si>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</si>
  <si>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</si>
  <si>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</si>
  <si>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</si>
  <si>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</si>
  <si>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</si>
  <si>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</si>
  <si>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</si>
  <si>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</si>
  <si>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</si>
  <si>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</si>
  <si>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</si>
  <si>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</si>
  <si>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</si>
  <si>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</si>
  <si>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</si>
  <si>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</si>
  <si>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</si>
  <si>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</si>
  <si>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</si>
  <si>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</si>
  <si>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</si>
  <si>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</si>
  <si>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</si>
  <si>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</si>
  <si>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</si>
  <si>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</si>
  <si>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</si>
  <si>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</si>
  <si>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</si>
  <si>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</si>
  <si>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</si>
  <si>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</si>
  <si>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</si>
  <si>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</si>
  <si>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</si>
  <si>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</si>
  <si>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</si>
  <si>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</si>
  <si>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</si>
  <si>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</si>
  <si>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</si>
  <si>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</si>
  <si>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</si>
  <si>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</si>
  <si>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</si>
  <si>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</si>
  <si>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</si>
  <si>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</si>
  <si>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</si>
  <si>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</si>
  <si>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</si>
  <si>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</si>
  <si>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</si>
  <si>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</si>
  <si>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</si>
  <si>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</si>
  <si>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</si>
  <si>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</si>
  <si>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</si>
  <si>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</si>
  <si>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</si>
  <si>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</si>
  <si>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</si>
  <si>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</si>
  <si>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</si>
  <si>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</si>
  <si>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</si>
  <si>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</si>
  <si>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</si>
  <si>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</si>
  <si>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</si>
  <si>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</si>
  <si>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</si>
  <si>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</si>
  <si>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</si>
  <si>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</si>
  <si>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</si>
  <si>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</si>
  <si>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</si>
  <si>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</si>
  <si>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</si>
  <si>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</si>
  <si>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</si>
  <si>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</si>
  <si>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</si>
  <si>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</si>
  <si>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</si>
  <si>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</si>
  <si>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</si>
  <si>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</si>
  <si>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</si>
  <si>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</si>
  <si>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</si>
  <si>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</si>
  <si>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</si>
  <si>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</si>
  <si>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</si>
  <si>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</si>
  <si>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</si>
  <si>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</si>
  <si>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</si>
  <si>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</si>
  <si>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</si>
  <si>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</si>
  <si>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</si>
  <si>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</si>
  <si>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</si>
  <si>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</si>
  <si>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</si>
  <si>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</si>
  <si>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</si>
  <si>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</si>
  <si>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</si>
  <si>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</si>
  <si>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</si>
  <si>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</si>
  <si>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</si>
  <si>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</si>
  <si>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</si>
  <si>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</si>
  <si>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</si>
  <si>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</si>
  <si>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</si>
  <si>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</si>
  <si>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</si>
  <si>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</si>
  <si>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</si>
  <si>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</si>
  <si>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</si>
  <si>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</si>
  <si>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</si>
  <si>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</si>
  <si>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</si>
  <si>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</si>
  <si>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</si>
  <si>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</si>
  <si>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</si>
  <si>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</si>
  <si>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</si>
  <si>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</si>
  <si>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</si>
  <si>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</si>
  <si>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</si>
  <si>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</si>
  <si>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</si>
  <si>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</si>
  <si>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</si>
  <si>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</si>
  <si>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</si>
  <si>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</si>
  <si>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</si>
  <si>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</si>
  <si>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</si>
  <si>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</si>
  <si>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</si>
  <si>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</si>
  <si>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</si>
  <si>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</si>
  <si>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</si>
  <si>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</si>
  <si>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</si>
  <si>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</si>
  <si>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</si>
  <si>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</si>
  <si>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</si>
  <si>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</si>
  <si>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</si>
  <si>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</si>
  <si>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</si>
  <si>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</si>
  <si>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</si>
  <si>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</si>
  <si>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</si>
  <si>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</si>
  <si>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</si>
  <si>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</si>
  <si>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</si>
  <si>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</si>
  <si>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</si>
  <si>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</si>
  <si>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</si>
  <si>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</si>
  <si>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</si>
  <si>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</si>
  <si>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</si>
  <si>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</si>
  <si>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</si>
  <si>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</si>
  <si>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</si>
  <si>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</si>
  <si>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</si>
  <si>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</si>
  <si>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</si>
  <si>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</si>
  <si>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</si>
  <si>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</si>
  <si>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</si>
  <si>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</si>
  <si>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</si>
  <si>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</si>
  <si>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</si>
  <si>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</si>
  <si>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</si>
  <si>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</si>
  <si>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</si>
  <si>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</si>
  <si>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</si>
  <si>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</si>
  <si>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</si>
  <si>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</si>
  <si>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</si>
  <si>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</si>
  <si>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</si>
  <si>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</si>
  <si>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</si>
  <si>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</si>
  <si>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</si>
  <si>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</si>
  <si>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</si>
  <si>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</si>
  <si>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</si>
  <si>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</si>
  <si>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</si>
  <si>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</si>
  <si>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</si>
  <si>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</si>
  <si>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</si>
  <si>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</si>
  <si>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</si>
  <si>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</si>
  <si>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</si>
  <si>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</si>
  <si>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</si>
  <si>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</si>
  <si>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</si>
  <si>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</si>
  <si>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</si>
  <si>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</si>
  <si>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</si>
  <si>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</si>
  <si>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</si>
  <si>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</si>
  <si>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</si>
  <si>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</si>
  <si>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</si>
  <si>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</si>
  <si>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</si>
  <si>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</si>
  <si>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</si>
  <si>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</si>
  <si>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</si>
  <si>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</si>
  <si>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</si>
  <si>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</si>
  <si>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</si>
  <si>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</si>
  <si>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</si>
  <si>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</si>
  <si>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</si>
  <si>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</si>
  <si>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</si>
  <si>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</si>
  <si>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</si>
  <si>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</si>
  <si>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</si>
  <si>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</si>
  <si>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</si>
  <si>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</si>
  <si>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</si>
  <si>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</si>
  <si>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</si>
  <si>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</si>
  <si>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</si>
  <si>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</si>
  <si>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</si>
  <si>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</si>
  <si>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</si>
  <si>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</si>
  <si>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</si>
  <si>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</si>
  <si>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</si>
  <si>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</si>
  <si>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</si>
  <si>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</si>
  <si>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</si>
  <si>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</si>
  <si>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</si>
  <si>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</si>
  <si>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</si>
  <si>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</si>
  <si>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</si>
  <si>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</si>
  <si>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</si>
  <si>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</si>
  <si>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</si>
  <si>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</si>
  <si>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</si>
  <si>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</si>
  <si>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</si>
  <si>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</si>
  <si>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</si>
  <si>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</si>
  <si>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</si>
  <si>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</si>
  <si>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</si>
  <si>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</si>
  <si>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</si>
  <si>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</si>
  <si>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</si>
  <si>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</si>
  <si>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</si>
  <si>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</si>
  <si>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</si>
  <si>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</si>
  <si>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</si>
  <si>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</si>
  <si>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</si>
  <si>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</si>
  <si>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</si>
  <si>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</si>
  <si>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</si>
  <si>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</si>
  <si>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</si>
  <si>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</si>
  <si>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</si>
  <si>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</si>
  <si>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</si>
  <si>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</si>
  <si>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</si>
  <si>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</si>
  <si>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</si>
  <si>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</si>
  <si>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</si>
  <si>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</si>
  <si>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</si>
  <si>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</si>
  <si>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</si>
  <si>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</si>
  <si>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</si>
  <si>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</si>
  <si>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</si>
  <si>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</si>
  <si>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</si>
  <si>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</si>
  <si>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</si>
  <si>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</si>
  <si>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</si>
  <si>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</si>
  <si>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</si>
  <si>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</si>
  <si>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</si>
  <si>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</si>
  <si>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</si>
  <si>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</si>
  <si>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</si>
  <si>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</si>
  <si>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</si>
  <si>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</si>
  <si>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</si>
  <si>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</si>
  <si>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</si>
  <si>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</si>
  <si>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</si>
  <si>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</si>
  <si>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</si>
  <si>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</si>
  <si>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</si>
  <si>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</si>
  <si>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</si>
  <si>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</si>
  <si>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</si>
  <si>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</si>
  <si>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</si>
  <si>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</si>
  <si>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</si>
  <si>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</si>
  <si>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</si>
  <si>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</si>
  <si>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</si>
  <si>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</si>
  <si>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</si>
  <si>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</si>
  <si>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</si>
  <si>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</si>
  <si>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</si>
  <si>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</si>
  <si>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</si>
  <si>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</si>
  <si>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</si>
  <si>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</si>
  <si>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</si>
  <si>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</si>
  <si>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</si>
  <si>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</si>
  <si>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</si>
  <si>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</si>
  <si>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</si>
  <si>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</si>
  <si>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</si>
  <si>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</si>
  <si>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</si>
  <si>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</si>
  <si>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</si>
  <si>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</si>
  <si>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</si>
  <si>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</si>
  <si>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</si>
  <si>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</si>
  <si>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</si>
  <si>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</si>
  <si>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</si>
  <si>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</si>
  <si>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</si>
  <si>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</si>
  <si>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</si>
  <si>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</si>
  <si>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</si>
  <si>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</si>
  <si>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</si>
  <si>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</si>
  <si>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</si>
  <si>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</si>
  <si>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</si>
  <si>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</si>
  <si>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</si>
  <si>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</si>
  <si>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</si>
  <si>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</si>
  <si>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</si>
  <si>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</si>
  <si>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</si>
  <si>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</si>
  <si>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</si>
  <si>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</si>
  <si>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</si>
  <si>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</si>
  <si>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</si>
  <si>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</si>
  <si>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</si>
  <si>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</si>
  <si>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</si>
  <si>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</si>
  <si>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</si>
  <si>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</si>
  <si>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</si>
  <si>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</si>
  <si>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</si>
  <si>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</si>
  <si>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</si>
  <si>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</si>
  <si>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</si>
  <si>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</si>
  <si>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</si>
  <si>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</si>
  <si>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</si>
  <si>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</si>
  <si>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</si>
  <si>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</si>
  <si>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</si>
  <si>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</si>
  <si>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</si>
  <si>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</si>
  <si>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</si>
  <si>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</si>
  <si>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</si>
  <si>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</si>
  <si>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</si>
  <si>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</si>
  <si>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</si>
  <si>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</si>
  <si>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</si>
  <si>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</si>
  <si>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</si>
  <si>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</si>
  <si>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</si>
  <si>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</si>
  <si>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</si>
  <si>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</si>
  <si>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</si>
  <si>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</si>
  <si>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</si>
  <si>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</si>
  <si>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</si>
  <si>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</si>
  <si>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</si>
  <si>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</si>
  <si>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</si>
  <si>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</si>
  <si>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</si>
  <si>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</si>
  <si>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</si>
  <si>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</si>
  <si>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</si>
  <si>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</si>
  <si>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</si>
  <si>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</si>
  <si>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</si>
  <si>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</si>
  <si>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</si>
  <si>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</si>
  <si>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</si>
  <si>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</si>
  <si>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</si>
  <si>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</si>
  <si>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</si>
  <si>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</si>
  <si>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</si>
  <si>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</si>
  <si>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</si>
  <si>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</si>
  <si>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</si>
  <si>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</si>
  <si>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</si>
  <si>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</si>
  <si>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</si>
  <si>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</si>
  <si>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</si>
  <si>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</si>
  <si>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</si>
  <si>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</si>
  <si>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</si>
  <si>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</si>
  <si>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</si>
  <si>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</si>
  <si>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</si>
  <si>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</si>
  <si>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</si>
  <si>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</si>
  <si>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</si>
  <si>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</si>
  <si>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</si>
  <si>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</si>
  <si>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</si>
  <si>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</si>
  <si>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</si>
  <si>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</si>
  <si>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</si>
  <si>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</si>
  <si>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</si>
  <si>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</si>
  <si>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</si>
  <si>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</si>
  <si>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</si>
  <si>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</si>
  <si>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</si>
  <si>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</si>
  <si>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</si>
  <si>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</si>
  <si>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</si>
  <si>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</si>
  <si>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</si>
  <si>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</si>
  <si>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</si>
  <si>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</si>
  <si>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</si>
  <si>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</si>
  <si>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</si>
  <si>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</si>
  <si>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</si>
  <si>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</si>
  <si>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</si>
  <si>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</si>
  <si>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</si>
  <si>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</si>
  <si>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</si>
  <si>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</si>
  <si>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</si>
  <si>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</si>
  <si>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</si>
  <si>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</si>
  <si>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</si>
  <si>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</si>
  <si>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</si>
  <si>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</si>
  <si>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</si>
  <si>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</si>
  <si>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</si>
  <si>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</si>
  <si>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</si>
  <si>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</si>
  <si>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</si>
  <si>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</si>
  <si>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</si>
  <si>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</si>
  <si>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</si>
  <si>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</si>
  <si>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</si>
  <si>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</si>
  <si>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</si>
  <si>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</si>
  <si>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</si>
  <si>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</si>
  <si>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</si>
  <si>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</si>
  <si>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</si>
  <si>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</si>
  <si>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</si>
  <si>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</si>
  <si>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</si>
  <si>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</si>
  <si>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</si>
  <si>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</si>
  <si>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</si>
  <si>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</si>
  <si>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</si>
  <si>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</si>
  <si>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</si>
  <si>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</si>
  <si>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</si>
  <si>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</si>
  <si>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</si>
  <si>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</si>
  <si>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</si>
  <si>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</si>
  <si>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</si>
  <si>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</si>
  <si>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</si>
  <si>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</si>
  <si>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</si>
  <si>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</si>
  <si>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</si>
  <si>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</si>
  <si>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</si>
  <si>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</si>
  <si>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</si>
  <si>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</si>
  <si>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</si>
  <si>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</si>
  <si>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</si>
  <si>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</si>
  <si>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</si>
  <si>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</si>
  <si>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</si>
  <si>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</si>
  <si>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</si>
  <si>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</si>
  <si>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</si>
  <si>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</si>
  <si>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</si>
  <si>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</si>
  <si>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</si>
  <si>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</si>
  <si>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</si>
  <si>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</si>
  <si>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</si>
  <si>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</si>
  <si>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</si>
  <si>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</si>
  <si>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</si>
  <si>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</si>
  <si>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</si>
  <si>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</si>
  <si>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</si>
  <si>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</si>
  <si>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</si>
  <si>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</si>
  <si>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</si>
  <si>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</si>
  <si>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</si>
  <si>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</si>
  <si>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</si>
  <si>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</si>
  <si>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</si>
  <si>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</si>
  <si>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</si>
  <si>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</si>
  <si>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</si>
  <si>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</si>
  <si>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</si>
  <si>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</si>
  <si>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</si>
  <si>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</si>
  <si>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</si>
  <si>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</si>
  <si>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</si>
  <si>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</si>
  <si>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</si>
  <si>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</si>
  <si>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</si>
  <si>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</si>
  <si>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</si>
  <si>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</si>
  <si>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</si>
  <si>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</si>
  <si>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</si>
  <si>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</si>
  <si>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</si>
  <si>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</si>
  <si>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</si>
  <si>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</si>
  <si>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</si>
  <si>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</si>
  <si>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</si>
  <si>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</si>
  <si>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</si>
  <si>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</si>
  <si>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</si>
  <si>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</si>
  <si>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</si>
  <si>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</si>
  <si>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</si>
  <si>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</si>
  <si>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</si>
  <si>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</si>
  <si>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</si>
  <si>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</si>
  <si>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</si>
  <si>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</si>
  <si>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</si>
  <si>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</si>
  <si>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</si>
  <si>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</si>
  <si>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</si>
  <si>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</si>
  <si>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</si>
  <si>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</si>
  <si>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</si>
  <si>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</si>
  <si>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</si>
  <si>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</si>
  <si>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</si>
  <si>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</si>
  <si>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</si>
  <si>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</si>
  <si>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</si>
  <si>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</si>
  <si>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</si>
  <si>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</si>
  <si>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</si>
  <si>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</si>
  <si>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</si>
  <si>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</si>
  <si>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</si>
  <si>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</si>
  <si>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</si>
  <si>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</si>
  <si>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</si>
  <si>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</si>
  <si>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</si>
  <si>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</si>
  <si>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</si>
  <si>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</si>
  <si>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</si>
  <si>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</si>
  <si>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</si>
  <si>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</si>
  <si>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</si>
  <si>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</si>
  <si>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</si>
  <si>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</si>
  <si>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</si>
  <si>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</si>
  <si>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</si>
  <si>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</si>
  <si>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</si>
  <si>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</si>
  <si>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</si>
  <si>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</si>
  <si>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</si>
  <si>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</si>
  <si>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</si>
  <si>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</si>
  <si>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</si>
  <si>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</si>
  <si>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</si>
  <si>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</si>
  <si>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</si>
  <si>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</si>
  <si>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</si>
  <si>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</si>
  <si>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</si>
  <si>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</si>
  <si>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</si>
  <si>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</si>
  <si>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</si>
  <si>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</si>
  <si>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</si>
  <si>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</si>
  <si>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</si>
  <si>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</si>
  <si>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</si>
  <si>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</si>
  <si>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</si>
  <si>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</si>
  <si>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</si>
  <si>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</si>
  <si>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</si>
  <si>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</si>
  <si>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</si>
  <si>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</si>
  <si>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</si>
  <si>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</si>
  <si>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</si>
  <si>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</si>
  <si>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</si>
  <si>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</si>
  <si>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</si>
  <si>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</si>
  <si>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</si>
  <si>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</si>
  <si>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</si>
  <si>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</si>
  <si>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</si>
  <si>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</si>
  <si>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</si>
  <si>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</si>
  <si>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</si>
  <si>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</si>
  <si>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</si>
  <si>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</si>
  <si>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</si>
  <si>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</si>
  <si>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</si>
  <si>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</si>
  <si>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</si>
  <si>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</si>
  <si>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</si>
  <si>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</si>
  <si>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</si>
  <si>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</si>
  <si>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</si>
  <si>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</si>
  <si>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</si>
  <si>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</si>
  <si>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</si>
  <si>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</si>
  <si>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</si>
  <si>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</si>
  <si>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</si>
  <si>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</si>
  <si>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</si>
  <si>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</si>
  <si>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</si>
  <si>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</si>
  <si>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</si>
  <si>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</si>
  <si>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</si>
  <si>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</si>
  <si>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</si>
  <si>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</si>
  <si>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</si>
  <si>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</si>
  <si>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</si>
  <si>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</si>
  <si>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</si>
  <si>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</si>
  <si>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</si>
  <si>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</si>
  <si>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</si>
  <si>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</si>
  <si>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</si>
  <si>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</si>
  <si>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</si>
  <si>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</si>
  <si>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</si>
  <si>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</si>
  <si>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</si>
  <si>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</si>
  <si>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</si>
  <si>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</si>
  <si>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</si>
  <si>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</si>
  <si>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</si>
  <si>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</si>
  <si>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</si>
  <si>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</si>
  <si>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</si>
  <si>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</si>
  <si>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</si>
  <si>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</si>
  <si>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</si>
  <si>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</si>
  <si>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</si>
  <si>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</si>
  <si>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</si>
  <si>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</si>
  <si>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</si>
  <si>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</si>
  <si>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</si>
  <si>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</si>
  <si>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</si>
  <si>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</si>
  <si>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</si>
  <si>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</si>
  <si>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</si>
  <si>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</si>
  <si>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</si>
  <si>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</si>
  <si>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</si>
  <si>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</si>
  <si>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</si>
  <si>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</si>
  <si>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</si>
  <si>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</si>
  <si>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</si>
  <si>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</si>
  <si>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</si>
  <si>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</si>
  <si>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</si>
  <si>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</si>
  <si>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</si>
  <si>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</si>
  <si>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</si>
  <si>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</si>
  <si>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</si>
  <si>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</si>
  <si>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</si>
  <si>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</si>
  <si>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</si>
  <si>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</si>
  <si>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</si>
  <si>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</si>
  <si>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</si>
  <si>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</si>
  <si>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</si>
  <si>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</si>
  <si>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</si>
  <si>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</si>
  <si>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</si>
  <si>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</si>
  <si>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</si>
  <si>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</si>
  <si>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</si>
  <si>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</si>
  <si>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</si>
  <si>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</si>
  <si>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</si>
  <si>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</si>
  <si>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</si>
  <si>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</si>
  <si>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</si>
  <si>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</si>
  <si>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</si>
  <si>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</si>
  <si>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</si>
  <si>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</si>
  <si>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</si>
  <si>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</si>
  <si>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</si>
  <si>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</si>
  <si>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</si>
  <si>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</si>
  <si>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</si>
  <si>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</si>
  <si>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</si>
  <si>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</si>
  <si>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</si>
  <si>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</si>
  <si>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</si>
  <si>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</si>
  <si>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</si>
  <si>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</si>
  <si>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</si>
  <si>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</si>
  <si>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</si>
  <si>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</si>
  <si>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</si>
  <si>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</si>
  <si>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</si>
  <si>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</si>
  <si>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</si>
  <si>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</si>
  <si>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</si>
  <si>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</si>
  <si>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</si>
  <si>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</si>
  <si>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</si>
  <si>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</si>
  <si>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</si>
  <si>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</si>
  <si>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</si>
  <si>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</si>
  <si>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</si>
  <si>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</si>
  <si>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</si>
  <si>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</si>
  <si>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</si>
  <si>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</si>
  <si>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</si>
  <si>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</si>
  <si>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</si>
  <si>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</si>
  <si>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</si>
  <si>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</si>
  <si>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</si>
  <si>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</si>
  <si>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</si>
  <si>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</si>
  <si>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</si>
  <si>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</si>
  <si>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</si>
  <si>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</si>
  <si>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</si>
  <si>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</si>
  <si>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</si>
  <si>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</si>
  <si>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</si>
  <si>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</si>
  <si>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</si>
  <si>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</si>
  <si>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</si>
  <si>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</si>
  <si>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</si>
  <si>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</si>
  <si>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</si>
  <si>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</si>
  <si>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</si>
  <si>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</si>
  <si>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</si>
  <si>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</si>
  <si>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</si>
  <si>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</si>
  <si>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</si>
  <si>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</si>
  <si>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</si>
  <si>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</si>
  <si>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</si>
  <si>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</si>
  <si>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</si>
  <si>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</si>
  <si>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</si>
  <si>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</si>
  <si>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</si>
  <si>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</si>
  <si>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</si>
  <si>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</si>
  <si>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</si>
  <si>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</si>
  <si>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</si>
  <si>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</si>
  <si>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</si>
  <si>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</si>
  <si>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</si>
  <si>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</si>
  <si>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</si>
  <si>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</si>
  <si>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</si>
  <si>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</si>
  <si>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</si>
  <si>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</si>
  <si>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</si>
  <si>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</si>
  <si>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</si>
  <si>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</si>
  <si>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</si>
  <si>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</si>
  <si>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</si>
  <si>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</si>
  <si>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</si>
  <si>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</si>
  <si>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</si>
  <si>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</si>
  <si>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</si>
  <si>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</si>
  <si>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</si>
  <si>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</si>
  <si>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</si>
  <si>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</si>
  <si>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</si>
  <si>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</si>
  <si>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</si>
  <si>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</si>
  <si>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</si>
  <si>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</si>
  <si>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</si>
  <si>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</si>
  <si>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</si>
  <si>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</si>
  <si>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</si>
  <si>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</si>
  <si>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</si>
  <si>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</si>
  <si>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</si>
  <si>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</si>
  <si>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</si>
  <si>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</si>
  <si>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</si>
  <si>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</si>
  <si>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</si>
  <si>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</si>
  <si>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</si>
  <si>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</si>
  <si>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</si>
  <si>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</si>
  <si>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</si>
  <si>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</si>
  <si>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</si>
  <si>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</si>
  <si>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</si>
  <si>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</si>
  <si>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</si>
  <si>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</si>
  <si>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</si>
  <si>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</si>
  <si>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</si>
  <si>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</si>
  <si>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</si>
  <si>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</si>
  <si>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</si>
  <si>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</si>
  <si>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</si>
  <si>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</si>
  <si>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</si>
  <si>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</si>
  <si>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</si>
  <si>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</si>
  <si>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</si>
  <si>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</si>
  <si>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</si>
  <si>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</si>
  <si>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</si>
  <si>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</si>
  <si>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</si>
  <si>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</si>
  <si>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</si>
  <si>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</si>
  <si>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</si>
  <si>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</si>
  <si>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</si>
  <si>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</si>
  <si>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</si>
  <si>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</si>
  <si>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</si>
  <si>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</si>
  <si>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</si>
  <si>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</si>
  <si>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</si>
  <si>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</si>
  <si>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</si>
  <si>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</si>
  <si>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</si>
  <si>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</si>
  <si>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</si>
  <si>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</si>
  <si>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</si>
  <si>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</si>
  <si>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</si>
  <si>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</si>
  <si>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</si>
  <si>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</si>
  <si>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</si>
  <si>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</si>
  <si>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</si>
  <si>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</si>
  <si>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</si>
  <si>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</si>
  <si>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</si>
  <si>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</si>
  <si>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</si>
  <si>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</si>
  <si>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</si>
  <si>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</si>
  <si>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</si>
  <si>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</si>
  <si>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</si>
  <si>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</si>
  <si>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</si>
  <si>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</si>
  <si>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</si>
  <si>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</si>
  <si>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</si>
  <si>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</si>
  <si>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</si>
  <si>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</si>
  <si>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</si>
  <si>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</si>
  <si>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</si>
  <si>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</si>
  <si>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</si>
  <si>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</si>
  <si>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</si>
  <si>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</si>
  <si>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</si>
  <si>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</si>
  <si>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</si>
  <si>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</si>
  <si>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</si>
  <si>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</si>
  <si>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</si>
  <si>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</si>
  <si>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</si>
  <si>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</si>
  <si>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</si>
  <si>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</si>
  <si>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</si>
  <si>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</si>
  <si>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</si>
  <si>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</si>
  <si>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</si>
  <si>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</si>
  <si>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</si>
  <si>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</si>
  <si>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</si>
  <si>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</si>
  <si>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</si>
  <si>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</si>
  <si>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</si>
  <si>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</si>
  <si>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</si>
  <si>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</si>
  <si>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</si>
  <si>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</si>
  <si>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</si>
  <si>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</si>
  <si>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</si>
  <si>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</si>
  <si>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</si>
  <si>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</si>
  <si>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</si>
  <si>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</si>
  <si>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</si>
  <si>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</si>
  <si>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</si>
  <si>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</si>
  <si>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</si>
  <si>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</si>
  <si>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</si>
  <si>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</si>
  <si>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</si>
  <si>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</si>
  <si>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</si>
  <si>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</si>
  <si>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</si>
  <si>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</si>
  <si>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</si>
  <si>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</si>
  <si>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</si>
  <si>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</si>
  <si>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</si>
  <si>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</si>
  <si>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</si>
  <si>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</si>
  <si>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</si>
  <si>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</si>
  <si>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</si>
  <si>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</si>
  <si>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</si>
  <si>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</si>
  <si>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</si>
  <si>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</si>
  <si>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</si>
  <si>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</si>
  <si>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</si>
  <si>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</si>
  <si>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</si>
  <si>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</si>
  <si>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</si>
  <si>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</si>
  <si>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</si>
  <si>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</si>
  <si>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</si>
  <si>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</si>
  <si>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</si>
  <si>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</si>
  <si>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</si>
  <si>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</si>
  <si>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</si>
  <si>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</si>
  <si>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</si>
  <si>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</si>
  <si>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</si>
  <si>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</si>
  <si>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</si>
  <si>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</si>
  <si>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</si>
  <si>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</si>
  <si>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</si>
  <si>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</si>
  <si>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</si>
  <si>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</si>
  <si>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</si>
  <si>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</si>
  <si>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</si>
  <si>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</si>
  <si>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</si>
  <si>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</si>
  <si>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</si>
  <si>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</si>
  <si>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</si>
  <si>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</si>
  <si>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</si>
  <si>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</si>
  <si>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</si>
  <si>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</si>
  <si>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</si>
  <si>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</si>
  <si>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</si>
  <si>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</si>
  <si>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</si>
  <si>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</si>
  <si>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</si>
  <si>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</si>
  <si>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</si>
  <si>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</si>
  <si>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</si>
  <si>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</si>
  <si>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</si>
  <si>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</si>
  <si>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</si>
  <si>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</si>
  <si>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</si>
  <si>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</si>
  <si>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</si>
  <si>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</si>
  <si>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</si>
  <si>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</si>
  <si>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</si>
  <si>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</si>
  <si>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</si>
  <si>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</si>
  <si>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</si>
  <si>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</si>
  <si>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</si>
  <si>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</si>
  <si>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</si>
  <si>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</si>
  <si>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</si>
  <si>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</si>
  <si>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</si>
  <si>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</si>
  <si>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</si>
  <si>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</si>
  <si>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</si>
  <si>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</si>
  <si>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</si>
  <si>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</si>
  <si>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</si>
  <si>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</si>
  <si>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</si>
  <si>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</si>
  <si>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</si>
  <si>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</si>
  <si>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</si>
  <si>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</si>
  <si>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</si>
  <si>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</si>
  <si>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</si>
  <si>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</si>
  <si>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</si>
  <si>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</si>
  <si>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</si>
  <si>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</si>
  <si>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</si>
  <si>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</si>
  <si>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</si>
  <si>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</si>
  <si>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</si>
  <si>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</si>
  <si>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</si>
  <si>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</si>
  <si>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</si>
  <si>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</si>
  <si>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</si>
  <si>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</si>
  <si>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</si>
  <si>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</si>
  <si>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</si>
  <si>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</si>
  <si>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</si>
  <si>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</si>
  <si>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</si>
  <si>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</si>
  <si>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</si>
  <si>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</si>
  <si>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</si>
  <si>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</si>
  <si>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</si>
  <si>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</si>
  <si>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</si>
  <si>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</si>
  <si>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</si>
  <si>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</si>
  <si>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</si>
  <si>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</si>
  <si>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</si>
  <si>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</si>
  <si>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</si>
  <si>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</si>
  <si>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</si>
  <si>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</si>
  <si>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</si>
  <si>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</si>
  <si>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</si>
  <si>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</si>
  <si>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</si>
  <si>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</si>
  <si>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</si>
  <si>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</si>
  <si>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</si>
  <si>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</si>
  <si>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</si>
  <si>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</si>
  <si>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</si>
  <si>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</si>
  <si>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</si>
  <si>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</si>
  <si>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</si>
  <si>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</si>
  <si>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</si>
  <si>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</si>
  <si>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</si>
  <si>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</si>
  <si>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</si>
  <si>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</si>
  <si>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</si>
  <si>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</si>
  <si>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</si>
  <si>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</si>
  <si>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</si>
  <si>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</si>
  <si>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</si>
  <si>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</si>
  <si>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</si>
  <si>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</si>
  <si>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</si>
  <si>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</si>
  <si>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</si>
  <si>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</si>
  <si>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</si>
  <si>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</si>
  <si>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</si>
  <si>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</si>
  <si>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</si>
  <si>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</si>
  <si>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</si>
  <si>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</si>
  <si>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</si>
  <si>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</si>
  <si>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</si>
  <si>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</si>
  <si>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</si>
  <si>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</si>
  <si>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</si>
  <si>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</si>
  <si>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</si>
  <si>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</si>
  <si>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</si>
  <si>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</si>
  <si>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</si>
  <si>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</si>
  <si>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</si>
  <si>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</si>
  <si>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</si>
  <si>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</si>
  <si>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</si>
  <si>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</si>
  <si>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</si>
  <si>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</si>
  <si>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</si>
  <si>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</si>
  <si>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</si>
  <si>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</si>
  <si>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</si>
  <si>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</si>
  <si>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</si>
  <si>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</si>
  <si>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</si>
  <si>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</si>
  <si>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</si>
  <si>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</si>
  <si>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</si>
  <si>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</si>
  <si>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</si>
  <si>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</si>
  <si>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</si>
  <si>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</si>
  <si>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</si>
  <si>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</si>
  <si>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</si>
  <si>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</si>
  <si>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</si>
  <si>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</si>
  <si>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</si>
  <si>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</si>
  <si>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</si>
  <si>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</si>
  <si>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</si>
  <si>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</si>
  <si>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</si>
  <si>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</si>
  <si>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</si>
  <si>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</si>
  <si>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</si>
  <si>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</si>
  <si>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</si>
  <si>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</si>
  <si>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</si>
  <si>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</si>
  <si>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</si>
  <si>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</si>
  <si>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</si>
  <si>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</si>
  <si>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</si>
  <si>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</si>
  <si>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</si>
  <si>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</si>
  <si>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</si>
  <si>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</si>
  <si>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</si>
  <si>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</si>
  <si>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</si>
  <si>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</si>
  <si>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</si>
  <si>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</si>
  <si>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</si>
  <si>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</si>
  <si>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</si>
  <si>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</si>
  <si>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</si>
  <si>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</si>
  <si>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</si>
  <si>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</si>
  <si>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</si>
  <si>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</si>
  <si>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</si>
  <si>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</si>
  <si>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</si>
  <si>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</si>
  <si>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</si>
  <si>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</si>
  <si>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</si>
  <si>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</si>
  <si>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</si>
  <si>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</si>
  <si>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</si>
  <si>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</si>
  <si>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</si>
  <si>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</si>
  <si>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</si>
  <si>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</si>
  <si>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</si>
  <si>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</si>
  <si>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</si>
  <si>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</si>
  <si>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</si>
  <si>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</si>
  <si>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</si>
  <si>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</si>
  <si>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</si>
  <si>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</si>
  <si>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</si>
  <si>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</si>
  <si>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</si>
  <si>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</si>
  <si>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</si>
  <si>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</si>
  <si>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</si>
  <si>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</si>
  <si>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</si>
  <si>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</si>
  <si>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</si>
  <si>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</si>
  <si>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</si>
  <si>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</si>
  <si>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</si>
  <si>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</si>
  <si>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</si>
  <si>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</si>
  <si>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</si>
  <si>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</si>
  <si>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</si>
  <si>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</si>
  <si>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</si>
  <si>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</si>
  <si>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</si>
  <si>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</si>
  <si>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</si>
  <si>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</si>
  <si>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</si>
  <si>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</si>
  <si>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</si>
  <si>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</si>
  <si>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</si>
  <si>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</si>
  <si>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</si>
  <si>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</si>
  <si>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</si>
  <si>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</si>
  <si>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</si>
  <si>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</si>
  <si>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</si>
  <si>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</si>
  <si>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</si>
  <si>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</si>
  <si>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</si>
  <si>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</si>
  <si>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</si>
  <si>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</si>
  <si>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</si>
  <si>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</si>
  <si>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</si>
  <si>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</si>
  <si>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</si>
  <si>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</si>
  <si>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</si>
  <si>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</si>
  <si>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</si>
  <si>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</si>
  <si>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</si>
  <si>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</si>
  <si>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</si>
  <si>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</si>
  <si>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</si>
  <si>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</si>
  <si>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</si>
  <si>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</si>
  <si>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</si>
  <si>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</si>
  <si>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</si>
  <si>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</si>
  <si>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</si>
  <si>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</si>
  <si>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</si>
  <si>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</si>
  <si>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</si>
  <si>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</si>
  <si>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</si>
  <si>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</si>
  <si>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</si>
  <si>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</si>
  <si>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</si>
  <si>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</si>
  <si>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</si>
  <si>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</si>
  <si>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</si>
  <si>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</si>
  <si>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</si>
  <si>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</si>
  <si>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</si>
  <si>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</si>
  <si>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</si>
  <si>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</si>
  <si>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</si>
  <si>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</si>
  <si>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</si>
  <si>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</si>
  <si>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</si>
  <si>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</si>
  <si>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</si>
  <si>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</si>
  <si>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</si>
  <si>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</si>
  <si>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</si>
  <si>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</si>
  <si>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</si>
  <si>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</si>
  <si>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</si>
  <si>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</si>
  <si>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</si>
  <si>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</si>
  <si>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</si>
  <si>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</si>
  <si>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</si>
  <si>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</si>
  <si>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</si>
  <si>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</si>
  <si>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</si>
  <si>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</si>
  <si>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</si>
  <si>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</si>
  <si>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</si>
  <si>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</si>
  <si>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</si>
  <si>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</si>
  <si>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</si>
  <si>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</si>
  <si>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</si>
  <si>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</si>
  <si>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</si>
  <si>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</si>
  <si>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</si>
  <si>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</si>
  <si>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</si>
  <si>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</si>
  <si>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</si>
  <si>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</si>
  <si>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</si>
  <si>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</si>
  <si>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</si>
  <si>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</si>
  <si>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</si>
  <si>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</si>
  <si>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</si>
  <si>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</si>
  <si>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</si>
  <si>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</si>
  <si>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</si>
  <si>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</si>
  <si>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</si>
  <si>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</si>
  <si>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</si>
  <si>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</si>
  <si>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</si>
  <si>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</si>
  <si>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</si>
  <si>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</si>
  <si>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</si>
  <si>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</si>
  <si>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</si>
  <si>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</si>
  <si>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</si>
  <si>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</si>
  <si>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</si>
  <si>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</si>
  <si>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</si>
  <si>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</si>
  <si>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</si>
  <si>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</si>
  <si>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</si>
  <si>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</si>
  <si>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</si>
  <si>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</si>
  <si>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</si>
  <si>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</si>
  <si>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</si>
  <si>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</si>
  <si>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</si>
  <si>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</si>
  <si>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</si>
  <si>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</si>
  <si>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</si>
  <si>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</si>
  <si>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</si>
  <si>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</si>
  <si>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</si>
  <si>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</si>
  <si>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</si>
  <si>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</si>
  <si>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</si>
  <si>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</si>
  <si>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</si>
  <si>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</si>
  <si>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</si>
  <si>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</si>
  <si>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</si>
  <si>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</si>
  <si>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</si>
  <si>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</si>
  <si>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</si>
  <si>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</si>
  <si>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</si>
  <si>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</si>
  <si>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</si>
  <si>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</si>
  <si>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</si>
  <si>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</si>
  <si>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</si>
  <si>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</si>
  <si>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</si>
  <si>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</si>
  <si>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</si>
  <si>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</si>
  <si>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</si>
  <si>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</si>
  <si>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</si>
  <si>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</si>
  <si>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</si>
  <si>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</si>
  <si>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</si>
  <si>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</si>
  <si>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</si>
  <si>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</si>
  <si>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</si>
  <si>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</si>
  <si>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</si>
  <si>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</si>
  <si>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</si>
  <si>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</si>
  <si>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</si>
  <si>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</si>
  <si>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</si>
  <si>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</si>
  <si>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</si>
  <si>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</si>
  <si>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</si>
  <si>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</si>
  <si>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</si>
  <si>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</si>
  <si>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</si>
  <si>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</si>
  <si>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</si>
  <si>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</si>
  <si>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</si>
  <si>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</si>
  <si>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</si>
  <si>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</si>
  <si>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</si>
  <si>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</si>
  <si>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</si>
  <si>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</si>
  <si>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</si>
  <si>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</si>
  <si>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</si>
  <si>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</si>
  <si>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</si>
  <si>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</si>
  <si>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</si>
  <si>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</si>
  <si>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</si>
  <si>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</si>
  <si>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</si>
  <si>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</si>
  <si>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</si>
  <si>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</si>
  <si>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</si>
  <si>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</si>
  <si>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</si>
  <si>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</si>
  <si>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</si>
  <si>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</si>
  <si>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</si>
  <si>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</si>
  <si>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</si>
  <si>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</si>
  <si>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</si>
  <si>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</si>
  <si>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</si>
  <si>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</si>
  <si>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</si>
  <si>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</si>
  <si>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</si>
  <si>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</si>
  <si>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</si>
  <si>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</si>
  <si>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</si>
  <si>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</si>
  <si>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</si>
  <si>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</si>
  <si>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</si>
  <si>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</si>
  <si>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</si>
  <si>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</si>
  <si>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</si>
  <si>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</si>
  <si>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</si>
  <si>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</si>
  <si>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</si>
  <si>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</si>
  <si>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</si>
  <si>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</si>
  <si>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</si>
  <si>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</si>
  <si>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</si>
  <si>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</si>
  <si>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</si>
  <si>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</si>
  <si>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</si>
  <si>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</si>
  <si>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</si>
  <si>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</si>
  <si>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</si>
  <si>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</si>
  <si>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</si>
  <si>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</si>
  <si>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</si>
  <si>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</si>
  <si>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</si>
  <si>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</si>
  <si>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</si>
  <si>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</si>
  <si>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</si>
  <si>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</si>
  <si>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</si>
  <si>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</si>
  <si>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</si>
  <si>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</si>
  <si>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</si>
  <si>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</si>
  <si>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</si>
  <si>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</si>
  <si>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</si>
  <si>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</si>
  <si>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</si>
  <si>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</si>
  <si>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</si>
  <si>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</si>
  <si>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</si>
  <si>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</si>
  <si>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</si>
  <si>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</si>
  <si>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</si>
  <si>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</si>
  <si>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</si>
  <si>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</si>
  <si>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</si>
  <si>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</si>
  <si>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</si>
  <si>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</si>
  <si>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</si>
  <si>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</si>
  <si>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</si>
  <si>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</si>
  <si>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</si>
  <si>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</si>
  <si>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</si>
  <si>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</si>
  <si>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</si>
  <si>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</si>
  <si>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</si>
  <si>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</si>
  <si>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</si>
  <si>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</si>
  <si>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</si>
  <si>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</si>
  <si>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</si>
  <si>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</si>
  <si>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</si>
  <si>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</si>
  <si>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</si>
  <si>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</si>
  <si>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</si>
  <si>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</si>
  <si>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</si>
  <si>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</si>
  <si>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</si>
  <si>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</si>
  <si>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</si>
  <si>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</si>
  <si>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</si>
  <si>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</si>
  <si>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</si>
  <si>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</si>
  <si>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</si>
  <si>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</si>
  <si>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</si>
  <si>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</si>
  <si>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</si>
  <si>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</si>
  <si>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</si>
  <si>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</si>
  <si>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</si>
  <si>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</si>
  <si>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</si>
  <si>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</si>
  <si>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</si>
  <si>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</si>
  <si>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</si>
  <si>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</si>
  <si>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</si>
  <si>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</si>
  <si>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</si>
  <si>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</si>
  <si>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</si>
  <si>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</si>
  <si>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</si>
  <si>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</si>
  <si>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</si>
  <si>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</si>
  <si>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</si>
  <si>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</si>
  <si>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</si>
  <si>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</si>
  <si>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</si>
  <si>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</si>
  <si>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</si>
  <si>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</si>
  <si>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</si>
  <si>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</si>
  <si>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</si>
  <si>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</si>
  <si>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</si>
  <si>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</si>
  <si>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</si>
  <si>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</si>
  <si>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</si>
  <si>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</si>
  <si>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</si>
  <si>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</si>
  <si>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</si>
  <si>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</si>
  <si>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</si>
  <si>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</si>
  <si>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</si>
  <si>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</si>
  <si>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</si>
  <si>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</si>
  <si>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</si>
  <si>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</si>
  <si>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</si>
  <si>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</si>
  <si>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</si>
  <si>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</si>
  <si>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</si>
  <si>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</si>
  <si>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</si>
  <si>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</si>
  <si>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</si>
  <si>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</si>
  <si>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</si>
  <si>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</si>
  <si>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</si>
  <si>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</si>
  <si>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</si>
  <si>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</si>
  <si>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</si>
  <si>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</si>
  <si>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</si>
  <si>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</si>
  <si>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</si>
  <si>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</si>
  <si>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</si>
  <si>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</si>
  <si>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</si>
  <si>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</si>
  <si>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</si>
  <si>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</si>
  <si>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</si>
  <si>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</si>
  <si>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</si>
  <si>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</si>
  <si>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</si>
  <si>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</si>
  <si>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</si>
  <si>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</si>
  <si>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</si>
  <si>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</si>
  <si>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</si>
  <si>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</si>
  <si>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</si>
  <si>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</si>
  <si>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</si>
  <si>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</si>
  <si>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</si>
  <si>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</si>
  <si>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</si>
  <si>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</si>
  <si>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</si>
  <si>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</si>
  <si>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</si>
  <si>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</si>
  <si>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</si>
  <si>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</si>
  <si>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</si>
  <si>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</si>
  <si>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</si>
  <si>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</si>
  <si>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</si>
  <si>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</si>
  <si>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</si>
  <si>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</si>
  <si>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</si>
  <si>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</si>
  <si>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</si>
  <si>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</si>
  <si>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</si>
  <si>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</si>
  <si>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</si>
  <si>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</si>
  <si>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</si>
  <si>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</si>
  <si>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</si>
  <si>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</si>
  <si>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</si>
  <si>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</si>
  <si>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</si>
  <si>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</si>
  <si>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</si>
  <si>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</si>
  <si>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</si>
  <si>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</si>
  <si>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</si>
  <si>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</si>
  <si>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</si>
  <si>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</si>
  <si>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</si>
  <si>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</si>
  <si>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</si>
  <si>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</si>
  <si>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</si>
  <si>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</si>
  <si>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</si>
  <si>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</si>
  <si>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</si>
  <si>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</si>
  <si>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</si>
  <si>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</si>
  <si>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</si>
  <si>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</si>
  <si>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</si>
  <si>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</si>
  <si>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</si>
  <si>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</si>
  <si>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</si>
  <si>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</si>
  <si>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</si>
  <si>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</si>
  <si>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</si>
  <si>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</si>
  <si>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</si>
  <si>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</si>
  <si>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</si>
  <si>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</si>
  <si>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</si>
  <si>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</si>
  <si>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</si>
  <si>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</si>
  <si>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</si>
  <si>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</si>
  <si>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</si>
  <si>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</si>
  <si>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</si>
  <si>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</si>
  <si>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</si>
  <si>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</si>
  <si>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</si>
  <si>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</si>
  <si>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</si>
  <si>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</si>
  <si>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</si>
  <si>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</si>
  <si>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</si>
  <si>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</si>
  <si>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</si>
  <si>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</si>
  <si>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</si>
  <si>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</si>
  <si>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</si>
  <si>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</si>
  <si>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</si>
  <si>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</si>
  <si>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</si>
  <si>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</si>
  <si>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</si>
  <si>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</si>
  <si>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</si>
  <si>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</si>
  <si>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</si>
  <si>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</si>
  <si>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</si>
  <si>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</si>
  <si>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</si>
  <si>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</si>
  <si>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</si>
  <si>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</si>
  <si>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</si>
  <si>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</si>
  <si>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</si>
  <si>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</si>
  <si>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</si>
  <si>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</si>
  <si>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</si>
  <si>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</si>
  <si>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</si>
  <si>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</si>
  <si>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</si>
  <si>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</si>
  <si>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</si>
  <si>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</si>
  <si>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</si>
  <si>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</si>
  <si>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</si>
  <si>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</si>
  <si>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</si>
  <si>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</si>
  <si>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</si>
  <si>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</si>
  <si>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</si>
  <si>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</si>
  <si>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</si>
  <si>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</si>
  <si>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</si>
  <si>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</si>
  <si>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</si>
  <si>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</si>
  <si>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</si>
  <si>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</si>
  <si>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</si>
  <si>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</si>
  <si>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</si>
  <si>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</si>
  <si>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</si>
  <si>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</si>
  <si>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</si>
  <si>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</si>
  <si>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</si>
  <si>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</si>
  <si>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</si>
  <si>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</si>
  <si>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</si>
  <si>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</si>
  <si>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</si>
  <si>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</si>
  <si>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</si>
  <si>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</si>
  <si>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</si>
  <si>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</si>
  <si>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</si>
  <si>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</si>
  <si>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</si>
  <si>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</si>
  <si>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</si>
  <si>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</si>
  <si>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</si>
  <si>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</si>
  <si>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</si>
  <si>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</si>
  <si>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</si>
  <si>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</si>
  <si>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</si>
  <si>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</si>
  <si>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</si>
  <si>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</si>
  <si>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</si>
  <si>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</si>
  <si>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</si>
  <si>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</si>
  <si>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</si>
  <si>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</si>
  <si>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</si>
  <si>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</si>
  <si>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</si>
  <si>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</si>
  <si>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</si>
  <si>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</si>
  <si>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</si>
  <si>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</si>
  <si>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</si>
  <si>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</si>
  <si>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</si>
  <si>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</si>
  <si>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</si>
  <si>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</si>
  <si>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</si>
  <si>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</si>
  <si>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</si>
  <si>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</si>
  <si>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</si>
  <si>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</si>
  <si>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</si>
  <si>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</si>
  <si>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</si>
  <si>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</si>
  <si>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</si>
  <si>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</si>
  <si>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</si>
  <si>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</si>
  <si>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</si>
  <si>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</si>
  <si>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</si>
  <si>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</si>
  <si>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</si>
  <si>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</si>
  <si>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</si>
  <si>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</si>
  <si>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</si>
  <si>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</si>
  <si>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</si>
  <si>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</si>
  <si>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</si>
  <si>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</si>
  <si>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</si>
  <si>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</si>
  <si>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</si>
  <si>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</si>
  <si>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</si>
  <si>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</si>
  <si>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</si>
  <si>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</si>
  <si>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</si>
  <si>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</si>
  <si>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</si>
  <si>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</si>
  <si>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</si>
  <si>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</si>
  <si>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</si>
  <si>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</si>
  <si>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</si>
  <si>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</si>
  <si>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</si>
  <si>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</si>
  <si>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</si>
  <si>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</si>
  <si>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</si>
  <si>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</si>
  <si>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</si>
  <si>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</si>
  <si>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</si>
  <si>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</si>
  <si>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</si>
  <si>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</si>
  <si>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</si>
  <si>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</si>
  <si>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</si>
  <si>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</si>
  <si>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</si>
  <si>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</si>
  <si>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</si>
  <si>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</si>
  <si>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</si>
  <si>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</si>
  <si>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</si>
  <si>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</si>
  <si>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</si>
  <si>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</si>
  <si>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</si>
  <si>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</si>
  <si>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</si>
  <si>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</si>
  <si>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</si>
  <si>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</si>
  <si>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</si>
  <si>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</si>
  <si>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</si>
  <si>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</si>
  <si>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</si>
  <si>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</si>
  <si>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</si>
  <si>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</si>
  <si>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</si>
  <si>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</si>
  <si>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</si>
  <si>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</si>
  <si>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</si>
  <si>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</si>
  <si>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</si>
  <si>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</si>
  <si>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</si>
  <si>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</si>
  <si>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</si>
  <si>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</si>
  <si>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</si>
  <si>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</si>
  <si>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</si>
  <si>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</si>
  <si>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</si>
  <si>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</si>
  <si>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</si>
  <si>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</si>
  <si>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</si>
  <si>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</si>
  <si>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</si>
  <si>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</si>
  <si>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</si>
  <si>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</si>
  <si>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</si>
  <si>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</si>
  <si>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</si>
  <si>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</si>
  <si>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</si>
  <si>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</si>
  <si>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</si>
  <si>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</si>
  <si>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</si>
  <si>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</si>
  <si>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</si>
  <si>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</si>
  <si>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</si>
  <si>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</si>
  <si>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</si>
  <si>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</si>
  <si>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</si>
  <si>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</si>
  <si>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</si>
  <si>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</si>
  <si>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</si>
  <si>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</si>
  <si>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</si>
  <si>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</si>
  <si>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</si>
  <si>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</si>
  <si>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</si>
  <si>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</si>
  <si>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</si>
  <si>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</si>
  <si>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</si>
  <si>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</si>
  <si>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</si>
  <si>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</si>
  <si>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</si>
  <si>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</si>
  <si>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</si>
  <si>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</si>
  <si>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</si>
  <si>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</si>
  <si>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</si>
  <si>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</si>
  <si>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</si>
  <si>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</si>
  <si>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</si>
  <si>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</si>
  <si>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</si>
  <si>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</si>
  <si>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</si>
  <si>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</si>
  <si>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</si>
  <si>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</si>
  <si>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</si>
  <si>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</si>
  <si>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</si>
  <si>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</si>
  <si>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</si>
  <si>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</si>
  <si>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</si>
  <si>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</si>
  <si>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</si>
  <si>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</si>
  <si>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</si>
  <si>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</si>
  <si>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</si>
  <si>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</si>
  <si>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</si>
  <si>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</si>
  <si>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</si>
  <si>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</si>
  <si>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</si>
  <si>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</si>
  <si>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</si>
  <si>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</si>
  <si>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</si>
  <si>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</si>
  <si>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</si>
  <si>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</si>
  <si>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</si>
  <si>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</si>
  <si>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</si>
  <si>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</si>
  <si>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</si>
  <si>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</si>
  <si>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</si>
  <si>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</si>
  <si>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</si>
  <si>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</si>
  <si>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</si>
  <si>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</si>
  <si>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</si>
  <si>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</si>
  <si>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</si>
  <si>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</si>
  <si>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</si>
  <si>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</si>
  <si>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</si>
  <si>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</si>
  <si>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</si>
  <si>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</si>
  <si>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</si>
  <si>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</si>
  <si>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</si>
  <si>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</si>
  <si>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</si>
  <si>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</si>
  <si>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</si>
  <si>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</si>
  <si>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</si>
  <si>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</si>
  <si>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</si>
  <si>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</si>
  <si>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</si>
  <si>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</si>
  <si>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</si>
  <si>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</si>
  <si>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</si>
  <si>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</si>
  <si>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</si>
  <si>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</si>
  <si>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</si>
  <si>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</si>
  <si>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</si>
  <si>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</si>
  <si>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</si>
  <si>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</si>
  <si>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</si>
  <si>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</si>
  <si>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</si>
  <si>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</si>
  <si>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</si>
  <si>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</si>
  <si>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</si>
  <si>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</si>
  <si>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</si>
  <si>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</si>
  <si>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</si>
  <si>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</si>
  <si>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</si>
  <si>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</si>
  <si>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</si>
  <si>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</si>
  <si>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</si>
  <si>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</si>
  <si>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</si>
  <si>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</si>
  <si>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</si>
  <si>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</si>
  <si>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</si>
  <si>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</si>
  <si>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</si>
  <si>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</si>
  <si>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</si>
  <si>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</si>
  <si>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</si>
  <si>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</si>
  <si>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</si>
  <si>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</si>
  <si>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</si>
  <si>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</si>
  <si>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</si>
  <si>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</si>
  <si>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</si>
  <si>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</si>
  <si>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</si>
  <si>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</si>
  <si>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</si>
  <si>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</si>
  <si>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</si>
  <si>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</si>
  <si>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</si>
  <si>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</si>
  <si>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</si>
  <si>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</si>
  <si>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</si>
  <si>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</si>
  <si>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</si>
  <si>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</si>
  <si>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</si>
  <si>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</si>
  <si>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</si>
  <si>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</si>
  <si>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</si>
  <si>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</si>
  <si>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</si>
  <si>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</si>
  <si>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</si>
  <si>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</si>
  <si>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</si>
  <si>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</si>
  <si>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</si>
  <si>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</si>
  <si>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</si>
  <si>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</si>
  <si>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</si>
  <si>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</si>
  <si>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</si>
  <si>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</si>
  <si>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</si>
  <si>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</si>
  <si>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</si>
  <si>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</si>
  <si>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</si>
  <si>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</si>
  <si>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</si>
  <si>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</si>
  <si>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</si>
  <si>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</si>
  <si>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</si>
  <si>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</si>
  <si>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</si>
  <si>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</si>
  <si>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</si>
  <si>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</si>
  <si>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</si>
  <si>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</si>
  <si>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</si>
  <si>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</si>
  <si>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</si>
  <si>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</si>
  <si>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</si>
  <si>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</si>
  <si>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</si>
  <si>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</si>
  <si>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</si>
  <si>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</si>
  <si>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</si>
  <si>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</si>
  <si>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</si>
  <si>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</si>
  <si>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</si>
  <si>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</si>
  <si>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</si>
  <si>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</si>
  <si>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</si>
  <si>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</si>
  <si>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</si>
  <si>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</si>
  <si>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</si>
  <si>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</si>
  <si>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</si>
  <si>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</si>
  <si>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</si>
  <si>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</si>
  <si>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</si>
  <si>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</si>
  <si>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</si>
  <si>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</si>
  <si>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</si>
  <si>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</si>
  <si>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</si>
  <si>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</si>
  <si>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</si>
  <si>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</si>
  <si>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</si>
  <si>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</si>
  <si>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</si>
  <si>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</si>
  <si>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</si>
  <si>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</si>
  <si>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</si>
  <si>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</si>
  <si>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</si>
  <si>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</si>
  <si>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</si>
  <si>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</si>
  <si>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</si>
  <si>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</si>
  <si>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</si>
  <si>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</si>
  <si>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</si>
  <si>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</si>
  <si>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</si>
  <si>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</si>
  <si>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</si>
  <si>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</si>
  <si>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</si>
  <si>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</si>
  <si>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</si>
  <si>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</si>
  <si>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</si>
  <si>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</si>
  <si>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</si>
  <si>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</si>
  <si>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</si>
  <si>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</si>
  <si>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</si>
  <si>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</si>
  <si>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</si>
  <si>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</si>
  <si>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</si>
  <si>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</si>
  <si>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</si>
  <si>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</si>
  <si>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</si>
  <si>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</si>
  <si>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</si>
  <si>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</si>
  <si>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</si>
  <si>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</si>
  <si>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</si>
  <si>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</si>
  <si>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</si>
  <si>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</si>
  <si>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</si>
  <si>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</si>
  <si>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</si>
  <si>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</si>
  <si>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</si>
  <si>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</si>
  <si>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</si>
  <si>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</si>
  <si>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</si>
  <si>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</si>
  <si>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</si>
  <si>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</si>
  <si>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</si>
  <si>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</si>
  <si>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</si>
  <si>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</si>
  <si>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</si>
  <si>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</si>
  <si>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</si>
  <si>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</si>
  <si>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</si>
  <si>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</si>
  <si>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</si>
  <si>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</si>
  <si>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</si>
  <si>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</si>
  <si>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</si>
  <si>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</si>
  <si>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</si>
  <si>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</si>
  <si>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</si>
  <si>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</si>
  <si>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</si>
  <si>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</si>
  <si>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</si>
  <si>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</si>
  <si>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</si>
  <si>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</si>
  <si>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</si>
  <si>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</si>
  <si>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</si>
  <si>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</si>
  <si>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</si>
  <si>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</si>
  <si>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</si>
  <si>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</si>
  <si>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</si>
  <si>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</si>
  <si>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</si>
  <si>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</si>
  <si>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</si>
  <si>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</si>
  <si>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</si>
  <si>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</si>
  <si>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</si>
  <si>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</si>
  <si>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</si>
  <si>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</si>
  <si>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</si>
  <si>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</si>
  <si>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</si>
  <si>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</si>
  <si>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</si>
  <si>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</si>
  <si>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</si>
  <si>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</si>
  <si>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</si>
  <si>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</si>
  <si>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</si>
  <si>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</si>
  <si>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</si>
  <si>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</si>
  <si>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</si>
  <si>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</si>
  <si>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</si>
  <si>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</si>
  <si>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</si>
  <si>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</si>
  <si>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</si>
  <si>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</si>
  <si>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</si>
  <si>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</si>
  <si>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</si>
  <si>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</si>
  <si>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</si>
  <si>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</si>
  <si>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</si>
  <si>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</si>
  <si>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</si>
  <si>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</si>
  <si>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</si>
  <si>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</si>
  <si>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</si>
  <si>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</si>
  <si>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</si>
  <si>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</si>
  <si>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</si>
  <si>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</si>
  <si>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</si>
  <si>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</si>
  <si>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</si>
  <si>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</si>
  <si>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</si>
  <si>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</si>
  <si>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</si>
  <si>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</si>
  <si>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</si>
  <si>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</si>
  <si>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</si>
  <si>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</si>
  <si>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</si>
  <si>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</si>
  <si>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</si>
  <si>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</si>
  <si>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</si>
  <si>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</si>
  <si>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</si>
  <si>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</si>
  <si>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</si>
  <si>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</si>
  <si>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</si>
  <si>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</si>
  <si>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</si>
  <si>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</si>
  <si>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</si>
  <si>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</si>
  <si>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</si>
  <si>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</si>
  <si>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</si>
  <si>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</si>
  <si>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</si>
  <si>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</si>
  <si>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</si>
  <si>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</si>
  <si>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</si>
  <si>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</si>
  <si>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</si>
  <si>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</si>
  <si>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</si>
  <si>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</si>
  <si>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</si>
  <si>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</si>
  <si>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</si>
  <si>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</si>
  <si>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</si>
  <si>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</si>
  <si>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</si>
  <si>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</si>
  <si>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</si>
  <si>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</si>
  <si>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</si>
  <si>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</si>
  <si>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</si>
  <si>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</si>
  <si>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</si>
  <si>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</si>
  <si>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</si>
  <si>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</si>
  <si>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</si>
  <si>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</si>
  <si>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</si>
  <si>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</si>
  <si>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</si>
  <si>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</si>
  <si>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</si>
  <si>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</si>
  <si>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</si>
  <si>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</si>
  <si>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</si>
  <si>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</si>
  <si>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</si>
  <si>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</si>
  <si>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</si>
  <si>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</si>
  <si>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</si>
  <si>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</si>
  <si>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</si>
  <si>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</si>
  <si>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</si>
  <si>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</si>
  <si>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</si>
  <si>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</si>
  <si>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</si>
  <si>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</si>
  <si>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</si>
  <si>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</si>
  <si>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</si>
  <si>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</si>
  <si>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</si>
  <si>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</si>
  <si>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</si>
  <si>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</si>
  <si>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</si>
  <si>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</si>
  <si>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</si>
  <si>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</si>
  <si>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</si>
  <si>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</si>
  <si>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</si>
  <si>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</si>
  <si>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</si>
  <si>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</si>
  <si>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</si>
  <si>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</si>
  <si>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</si>
  <si>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</si>
  <si>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</si>
  <si>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</si>
  <si>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</si>
  <si>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</si>
  <si>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</si>
  <si>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</si>
  <si>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</si>
  <si>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</si>
  <si>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</si>
  <si>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</si>
  <si>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</si>
  <si>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</si>
  <si>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</si>
  <si>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</si>
  <si>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</si>
  <si>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</si>
  <si>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</si>
  <si>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</si>
  <si>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</si>
  <si>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</si>
  <si>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</si>
  <si>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</si>
  <si>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</si>
  <si>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</si>
  <si>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</si>
  <si>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</si>
  <si>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</si>
  <si>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</si>
  <si>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</si>
  <si>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</si>
  <si>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</si>
  <si>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</si>
  <si>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</si>
  <si>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</si>
  <si>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</si>
  <si>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</si>
  <si>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</si>
  <si>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</si>
  <si>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</si>
  <si>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</si>
  <si>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</si>
  <si>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</si>
  <si>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</si>
  <si>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</si>
  <si>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</si>
  <si>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</si>
  <si>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</si>
  <si>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</si>
  <si>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</si>
  <si>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</si>
  <si>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</si>
  <si>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</si>
  <si>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</si>
  <si>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</si>
  <si>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</si>
  <si>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</si>
  <si>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</si>
  <si>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</si>
  <si>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</si>
  <si>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</si>
  <si>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</si>
  <si>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</si>
  <si>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</si>
  <si>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</si>
  <si>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</si>
  <si>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</si>
  <si>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</si>
  <si>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</si>
  <si>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</si>
  <si>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</si>
  <si>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</si>
  <si>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</si>
  <si>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</si>
  <si>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</si>
  <si>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</si>
  <si>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</si>
  <si>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</si>
  <si>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</si>
  <si>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</si>
  <si>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</si>
  <si>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</si>
  <si>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</si>
  <si>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</si>
  <si>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</si>
  <si>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</si>
  <si>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</si>
  <si>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</si>
  <si>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</si>
  <si>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</si>
  <si>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</si>
  <si>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</si>
  <si>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</si>
  <si>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</si>
  <si>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</si>
  <si>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</si>
  <si>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</si>
  <si>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</si>
  <si>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</si>
  <si>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</si>
  <si>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</si>
  <si>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</si>
  <si>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</si>
  <si>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</si>
  <si>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</si>
  <si>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</si>
  <si>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</si>
  <si>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</si>
  <si>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</si>
  <si>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</si>
  <si>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</si>
  <si>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</si>
  <si>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</si>
  <si>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</si>
  <si>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</si>
  <si>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</si>
  <si>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</si>
  <si>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</si>
  <si>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</si>
  <si>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</si>
  <si>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</si>
  <si>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</si>
  <si>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</si>
  <si>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</si>
  <si>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</si>
  <si>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</si>
  <si>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</si>
  <si>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</si>
  <si>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</si>
  <si>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</si>
  <si>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</si>
  <si>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</si>
  <si>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</si>
  <si>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</si>
  <si>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</si>
  <si>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</si>
  <si>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</si>
  <si>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</si>
  <si>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</si>
  <si>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</si>
  <si>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</si>
  <si>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</si>
  <si>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</si>
  <si>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</si>
  <si>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</si>
  <si>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</si>
  <si>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</si>
  <si>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</si>
  <si>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</si>
  <si>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</si>
  <si>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</si>
  <si>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</si>
  <si>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</si>
  <si>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</si>
  <si>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</si>
  <si>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</si>
  <si>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</si>
  <si>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</si>
  <si>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</si>
  <si>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</si>
  <si>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</si>
  <si>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</si>
  <si>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</si>
  <si>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</si>
  <si>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</si>
  <si>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</si>
  <si>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</si>
  <si>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</si>
  <si>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</si>
  <si>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</si>
  <si>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</si>
  <si>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</si>
  <si>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</si>
  <si>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</si>
  <si>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</si>
  <si>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</si>
  <si>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</si>
  <si>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</si>
  <si>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</si>
  <si>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</si>
  <si>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</si>
  <si>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</si>
  <si>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</si>
  <si>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</si>
  <si>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</si>
  <si>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</si>
  <si>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</si>
  <si>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</si>
  <si>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</si>
  <si>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</si>
  <si>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</si>
  <si>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</si>
  <si>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</si>
  <si>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</si>
  <si>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</si>
  <si>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</si>
  <si>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</si>
  <si>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</si>
  <si>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</si>
  <si>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</si>
  <si>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</si>
  <si>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</si>
  <si>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</si>
  <si>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</si>
  <si>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</si>
  <si>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</si>
  <si>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</si>
  <si>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</si>
  <si>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</si>
  <si>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</si>
  <si>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</si>
  <si>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</si>
  <si>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</si>
  <si>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</si>
  <si>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</si>
  <si>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</si>
  <si>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</si>
  <si>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</si>
  <si>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</si>
  <si>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</si>
  <si>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</si>
  <si>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</si>
  <si>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</si>
  <si>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</si>
  <si>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</si>
  <si>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</si>
  <si>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</si>
  <si>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</si>
  <si>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</si>
  <si>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</si>
  <si>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</si>
  <si>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</si>
  <si>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</si>
  <si>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</si>
  <si>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</si>
  <si>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</si>
  <si>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</si>
  <si>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</si>
  <si>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</si>
  <si>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</si>
  <si>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</si>
  <si>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</si>
  <si>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</si>
  <si>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</si>
  <si>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</si>
  <si>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</si>
  <si>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</si>
  <si>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</si>
  <si>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</si>
  <si>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</si>
  <si>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</si>
  <si>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</si>
  <si>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</si>
  <si>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</si>
  <si>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</si>
  <si>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</si>
  <si>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</si>
  <si>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</si>
  <si>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</si>
  <si>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</si>
  <si>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</si>
  <si>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</si>
  <si>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</si>
  <si>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</si>
  <si>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</si>
  <si>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</si>
  <si>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</si>
  <si>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</si>
  <si>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</si>
  <si>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</si>
  <si>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</si>
  <si>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</si>
  <si>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</si>
  <si>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</si>
  <si>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</si>
  <si>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</si>
  <si>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</si>
  <si>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</si>
  <si>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</si>
  <si>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</si>
  <si>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</si>
  <si>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</si>
  <si>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</si>
  <si>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</si>
  <si>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</si>
  <si>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</si>
  <si>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</si>
  <si>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</si>
  <si>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</si>
  <si>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</si>
  <si>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</si>
  <si>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</si>
  <si>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</si>
  <si>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</si>
  <si>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</si>
  <si>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</si>
  <si>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</si>
  <si>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</si>
  <si>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</si>
  <si>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</si>
  <si>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</si>
  <si>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</si>
  <si>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</si>
  <si>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</si>
  <si>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</si>
  <si>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</si>
  <si>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</si>
  <si>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</si>
  <si>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</si>
  <si>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</si>
  <si>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</si>
  <si>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</si>
  <si>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</si>
  <si>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</si>
  <si>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</si>
  <si>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</si>
  <si>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</si>
  <si>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</si>
  <si>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</si>
  <si>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</si>
  <si>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</si>
  <si>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</si>
  <si>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</si>
  <si>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</si>
  <si>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</si>
  <si>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</si>
  <si>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</si>
  <si>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</si>
  <si>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</si>
  <si>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</si>
  <si>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</si>
  <si>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</si>
  <si>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</si>
  <si>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</si>
  <si>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</si>
  <si>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</si>
  <si>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</si>
  <si>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</si>
  <si>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</si>
  <si>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</si>
  <si>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</si>
  <si>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</si>
  <si>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</si>
  <si>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</si>
  <si>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</si>
  <si>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</si>
  <si>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</si>
  <si>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</si>
  <si>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</si>
  <si>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</si>
  <si>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</si>
  <si>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</si>
  <si>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</si>
  <si>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</si>
  <si>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</si>
  <si>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</si>
  <si>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</si>
  <si>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</si>
  <si>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</si>
  <si>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</si>
  <si>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</si>
  <si>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</si>
  <si>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</si>
  <si>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</si>
  <si>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</si>
  <si>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</si>
  <si>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</si>
  <si>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</si>
  <si>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</si>
  <si>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</si>
  <si>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</si>
  <si>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</si>
  <si>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</si>
  <si>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</si>
  <si>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</si>
  <si>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</si>
  <si>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</si>
  <si>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</si>
  <si>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</si>
  <si>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</si>
  <si>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</si>
  <si>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</si>
  <si>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</si>
  <si>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</si>
  <si>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</si>
  <si>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</si>
  <si>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</si>
  <si>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</si>
  <si>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</si>
  <si>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</si>
  <si>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</si>
  <si>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</si>
  <si>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</si>
  <si>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</si>
  <si>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</si>
  <si>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</si>
  <si>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</si>
  <si>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</si>
  <si>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</si>
  <si>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</si>
  <si>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</si>
  <si>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</si>
  <si>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</si>
  <si>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</si>
  <si>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</si>
  <si>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</si>
  <si>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</si>
  <si>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</si>
  <si>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</si>
  <si>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</si>
  <si>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</si>
  <si>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</si>
  <si>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</si>
  <si>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</si>
  <si>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</si>
  <si>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</si>
  <si>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</si>
  <si>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</si>
  <si>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</si>
  <si>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</si>
  <si>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</si>
  <si>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</si>
  <si>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</si>
  <si>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</si>
  <si>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</si>
  <si>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</si>
  <si>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</si>
  <si>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</si>
  <si>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</si>
  <si>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</si>
  <si>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</si>
  <si>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</si>
  <si>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</si>
  <si>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</si>
  <si>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</si>
  <si>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</si>
  <si>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</si>
  <si>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</si>
  <si>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</si>
  <si>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</si>
  <si>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</si>
  <si>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</si>
  <si>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</si>
  <si>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</si>
  <si>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</si>
  <si>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</si>
  <si>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</si>
  <si>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</si>
  <si>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</si>
  <si>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</si>
  <si>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</si>
  <si>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</si>
  <si>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</si>
  <si>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</si>
  <si>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</si>
  <si>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</si>
  <si>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</si>
  <si>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</si>
  <si>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</si>
  <si>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</si>
  <si>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</si>
  <si>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</si>
  <si>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</si>
  <si>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</si>
  <si>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</si>
  <si>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</si>
  <si>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</si>
  <si>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</si>
  <si>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</si>
  <si>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</si>
  <si>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</si>
  <si>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</si>
  <si>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</si>
  <si>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</si>
  <si>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</si>
  <si>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</si>
  <si>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</si>
  <si>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</si>
  <si>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</si>
  <si>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</si>
  <si>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</si>
  <si>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</si>
  <si>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</si>
  <si>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</si>
  <si>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</si>
  <si>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</si>
  <si>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</si>
  <si>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</si>
  <si>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</si>
  <si>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</si>
  <si>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</si>
  <si>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</si>
  <si>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</si>
  <si>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</si>
  <si>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</si>
  <si>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</si>
  <si>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</si>
  <si>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</si>
  <si>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</si>
  <si>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</si>
  <si>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</si>
  <si>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</si>
  <si>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</si>
  <si>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</si>
  <si>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</si>
  <si>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</si>
  <si>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</si>
  <si>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</si>
  <si>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</si>
  <si>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</si>
  <si>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</si>
  <si>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</si>
  <si>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</si>
  <si>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</si>
  <si>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</si>
  <si>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</si>
  <si>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</si>
  <si>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</si>
  <si>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</si>
  <si>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</si>
  <si>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</si>
  <si>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</si>
  <si>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</si>
  <si>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</si>
  <si>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</si>
  <si>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</si>
  <si>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</si>
  <si>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</si>
  <si>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</si>
  <si>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</si>
  <si>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</si>
  <si>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</si>
  <si>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</si>
  <si>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</si>
  <si>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</si>
  <si>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</si>
  <si>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</si>
  <si>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</si>
  <si>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</si>
  <si>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</si>
  <si>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</si>
  <si>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</si>
  <si>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</si>
  <si>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</si>
  <si>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</si>
  <si>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</si>
  <si>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</si>
  <si>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</si>
  <si>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</si>
  <si>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</si>
  <si>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</si>
  <si>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</si>
  <si>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</si>
  <si>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</si>
  <si>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</si>
  <si>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</si>
  <si>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</si>
  <si>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</si>
  <si>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</si>
  <si>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</si>
  <si>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</si>
  <si>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</si>
  <si>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</si>
  <si>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</si>
  <si>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</si>
  <si>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</si>
  <si>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</si>
  <si>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</si>
  <si>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</si>
  <si>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</si>
  <si>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</si>
  <si>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</si>
  <si>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</si>
  <si>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</si>
  <si>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</si>
  <si>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</si>
  <si>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</si>
  <si>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</si>
  <si>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</si>
  <si>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</si>
  <si>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</si>
  <si>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</si>
  <si>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</si>
  <si>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</si>
  <si>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</si>
  <si>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</si>
  <si>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</si>
  <si>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</si>
  <si>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</si>
  <si>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</si>
  <si>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</si>
  <si>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</si>
  <si>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</si>
  <si>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</si>
  <si>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</si>
  <si>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</si>
  <si>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</si>
  <si>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</si>
  <si>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</si>
  <si>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</si>
  <si>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</si>
  <si>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</si>
  <si>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</si>
  <si>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</si>
  <si>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</si>
  <si>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</si>
  <si>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</si>
  <si>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</si>
  <si>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</si>
  <si>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</si>
  <si>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</si>
  <si>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</si>
  <si>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</si>
  <si>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</si>
  <si>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</si>
  <si>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</si>
  <si>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</si>
  <si>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</si>
  <si>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</si>
  <si>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</si>
  <si>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</si>
  <si>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</si>
  <si>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</si>
  <si>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</si>
  <si>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</si>
  <si>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</si>
  <si>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</si>
  <si>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</si>
  <si>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</si>
  <si>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</si>
  <si>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</si>
  <si>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</si>
  <si>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</si>
  <si>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</si>
  <si>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</si>
  <si>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</si>
  <si>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</si>
  <si>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</si>
  <si>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</si>
  <si>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</si>
  <si>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</si>
  <si>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</si>
  <si>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</si>
  <si>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</si>
  <si>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</si>
  <si>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</si>
  <si>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</si>
  <si>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</si>
  <si>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</si>
  <si>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</si>
  <si>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</si>
  <si>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</si>
  <si>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</si>
  <si>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</si>
  <si>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</si>
  <si>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</si>
  <si>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</si>
  <si>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</si>
  <si>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</si>
  <si>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</si>
  <si>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</si>
  <si>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</si>
  <si>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</si>
  <si>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</si>
  <si>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</si>
  <si>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</si>
  <si>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</si>
  <si>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</si>
  <si>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</si>
  <si>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</si>
  <si>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</si>
  <si>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</si>
  <si>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</si>
  <si>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</si>
  <si>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</si>
  <si>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</si>
  <si>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</si>
  <si>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</si>
  <si>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</si>
  <si>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</si>
  <si>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</si>
  <si>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</si>
  <si>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</si>
  <si>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</si>
  <si>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</si>
  <si>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</si>
  <si>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</si>
  <si>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</si>
  <si>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</si>
  <si>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</si>
  <si>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</si>
  <si>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</si>
  <si>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</si>
  <si>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</si>
  <si>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</si>
  <si>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</si>
  <si>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</si>
  <si>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</si>
  <si>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</si>
  <si>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</si>
  <si>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</si>
  <si>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</si>
  <si>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</si>
  <si>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</si>
  <si>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</si>
  <si>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</si>
  <si>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</si>
  <si>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</si>
  <si>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</si>
  <si>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</si>
  <si>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</si>
  <si>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</si>
  <si>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</si>
  <si>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</si>
  <si>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</si>
  <si>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</si>
  <si>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</si>
  <si>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</si>
  <si>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</si>
  <si>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</si>
  <si>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</si>
  <si>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</si>
  <si>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</si>
  <si>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</si>
  <si>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</si>
  <si>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</si>
  <si>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</si>
  <si>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</si>
  <si>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</si>
  <si>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</si>
  <si>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</si>
  <si>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</si>
  <si>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</si>
  <si>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</si>
  <si>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</si>
  <si>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</si>
  <si>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</si>
  <si>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</si>
  <si>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</si>
  <si>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</si>
  <si>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</si>
  <si>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</si>
  <si>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</si>
  <si>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</si>
  <si>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</si>
  <si>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</si>
  <si>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</si>
  <si>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</si>
  <si>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</si>
  <si>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</si>
  <si>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</si>
  <si>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</si>
  <si>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</si>
  <si>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</si>
  <si>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</si>
  <si>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</si>
  <si>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</si>
  <si>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</si>
  <si>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</si>
  <si>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</si>
  <si>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</si>
  <si>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</si>
  <si>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</si>
  <si>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</si>
  <si>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</si>
  <si>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</si>
  <si>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</si>
  <si>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</si>
  <si>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</si>
  <si>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</si>
  <si>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</si>
  <si>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</si>
  <si>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</si>
  <si>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</si>
  <si>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</si>
  <si>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</si>
  <si>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</si>
  <si>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</si>
  <si>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</si>
  <si>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</si>
  <si>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</si>
  <si>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</si>
  <si>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</si>
  <si>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</si>
  <si>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</si>
  <si>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</si>
  <si>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</si>
  <si>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</si>
  <si>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</si>
  <si>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</si>
  <si>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</si>
  <si>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</si>
  <si>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</si>
  <si>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</si>
  <si>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</si>
  <si>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</si>
  <si>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</si>
  <si>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</si>
  <si>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</si>
  <si>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</si>
  <si>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</si>
  <si>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</si>
  <si>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</si>
  <si>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</si>
  <si>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</si>
  <si>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</si>
  <si>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</si>
  <si>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</si>
  <si>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</si>
  <si>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</si>
  <si>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</si>
  <si>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</si>
  <si>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</si>
  <si>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</si>
  <si>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</si>
  <si>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</si>
  <si>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</si>
  <si>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</si>
  <si>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</si>
  <si>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</si>
  <si>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</si>
  <si>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</si>
  <si>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</si>
  <si>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</si>
  <si>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</si>
  <si>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</si>
  <si>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</si>
  <si>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</si>
  <si>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</si>
  <si>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</si>
  <si>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</si>
  <si>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</si>
  <si>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</si>
  <si>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</si>
  <si>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</si>
  <si>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</si>
  <si>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</si>
  <si>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</si>
  <si>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</si>
  <si>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</si>
  <si>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</si>
  <si>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</si>
  <si>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</si>
  <si>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</si>
  <si>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</si>
  <si>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</si>
  <si>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</si>
  <si>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</si>
  <si>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</si>
  <si>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</si>
  <si>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</si>
  <si>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</si>
  <si>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</si>
  <si>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</si>
  <si>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</si>
  <si>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</si>
  <si>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</si>
  <si>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</si>
  <si>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</si>
  <si>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</si>
  <si>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</si>
  <si>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</si>
  <si>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</si>
  <si>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</si>
  <si>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</si>
  <si>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</si>
  <si>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</si>
  <si>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</si>
  <si>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</si>
  <si>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</si>
  <si>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</si>
  <si>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</si>
  <si>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</si>
  <si>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</si>
  <si>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</si>
  <si>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</si>
  <si>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</si>
  <si>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</si>
  <si>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</si>
  <si>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</si>
  <si>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</si>
  <si>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</si>
  <si>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</si>
  <si>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</si>
  <si>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</si>
  <si>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</si>
  <si>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</si>
  <si>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</si>
  <si>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</si>
  <si>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</si>
  <si>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</si>
  <si>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</si>
  <si>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</si>
  <si>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</si>
  <si>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</si>
  <si>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</si>
  <si>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</si>
  <si>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</si>
  <si>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</si>
  <si>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</si>
  <si>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</si>
  <si>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</si>
  <si>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</si>
  <si>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</si>
  <si>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</si>
  <si>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</si>
  <si>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</si>
  <si>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</si>
  <si>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</si>
  <si>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</si>
  <si>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</si>
  <si>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</si>
  <si>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</si>
  <si>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</si>
  <si>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</si>
  <si>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</si>
  <si>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</si>
  <si>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</si>
  <si>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</si>
  <si>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</si>
  <si>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</si>
  <si>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</si>
  <si>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</si>
  <si>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</si>
  <si>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</si>
  <si>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</si>
  <si>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</si>
  <si>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</si>
  <si>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</si>
  <si>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</si>
  <si>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</si>
  <si>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</si>
  <si>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</si>
  <si>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</si>
  <si>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</si>
  <si>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</si>
  <si>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</si>
  <si>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</si>
  <si>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</si>
  <si>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</si>
  <si>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</si>
  <si>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</si>
  <si>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</si>
  <si>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</si>
  <si>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</si>
  <si>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</si>
  <si>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</si>
  <si>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</si>
  <si>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</si>
  <si>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</si>
  <si>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</si>
  <si>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</si>
  <si>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</si>
  <si>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</si>
  <si>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</si>
  <si>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</si>
  <si>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</si>
  <si>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</si>
  <si>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</si>
  <si>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</si>
  <si>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</si>
  <si>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</si>
  <si>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</si>
  <si>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</si>
  <si>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</si>
  <si>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</si>
  <si>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</si>
  <si>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</si>
  <si>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</si>
  <si>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</si>
  <si>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</si>
  <si>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</si>
  <si>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</si>
  <si>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</si>
  <si>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</si>
  <si>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</si>
  <si>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</si>
  <si>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</si>
  <si>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</si>
  <si>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</si>
  <si>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</si>
  <si>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</si>
  <si>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</si>
  <si>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</si>
  <si>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</si>
  <si>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</si>
  <si>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</si>
  <si>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</si>
  <si>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</si>
  <si>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</si>
  <si>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</si>
  <si>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</si>
  <si>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</si>
  <si>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</si>
  <si>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</si>
  <si>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</si>
  <si>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</si>
  <si>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</si>
  <si>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</si>
  <si>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</si>
  <si>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</si>
  <si>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</si>
  <si>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</si>
  <si>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</si>
  <si>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</si>
  <si>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</si>
  <si>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</si>
  <si>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</si>
  <si>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</si>
  <si>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</si>
  <si>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</si>
  <si>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</si>
  <si>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</si>
  <si>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</si>
  <si>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</si>
  <si>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</si>
  <si>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</si>
  <si>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</si>
  <si>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</si>
  <si>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</si>
  <si>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</si>
  <si>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</si>
  <si>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</si>
  <si>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</si>
  <si>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</si>
  <si>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</si>
  <si>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</si>
  <si>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</si>
  <si>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</si>
  <si>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</si>
  <si>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</si>
  <si>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</si>
  <si>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</si>
  <si>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</si>
  <si>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</si>
  <si>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</si>
  <si>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</si>
  <si>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</si>
  <si>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</si>
  <si>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</si>
  <si>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</si>
  <si>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</si>
  <si>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</si>
  <si>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</si>
  <si>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</si>
  <si>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</si>
  <si>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</si>
  <si>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</si>
  <si>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</si>
  <si>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</si>
  <si>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</si>
  <si>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</si>
  <si>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</si>
  <si>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</si>
  <si>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</si>
  <si>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</si>
  <si>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</si>
  <si>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</si>
  <si>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</si>
  <si>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</si>
  <si>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</si>
  <si>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</si>
  <si>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</si>
  <si>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</si>
  <si>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</si>
  <si>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</si>
  <si>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</si>
  <si>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</si>
  <si>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</si>
  <si>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</si>
  <si>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</si>
  <si>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</si>
  <si>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</si>
  <si>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</si>
  <si>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</si>
  <si>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</si>
  <si>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</si>
  <si>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</si>
  <si>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</si>
  <si>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</si>
  <si>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</si>
  <si>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</si>
  <si>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</si>
  <si>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</si>
  <si>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</si>
  <si>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</si>
  <si>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</si>
  <si>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</si>
  <si>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</si>
  <si>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</si>
  <si>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</si>
  <si>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</si>
  <si>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</si>
  <si>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</si>
  <si>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</si>
  <si>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</si>
  <si>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</si>
  <si>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</si>
  <si>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</si>
  <si>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</si>
  <si>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</si>
  <si>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</si>
  <si>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</si>
  <si>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</si>
  <si>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</si>
  <si>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</si>
  <si>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</si>
  <si>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</si>
  <si>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</si>
  <si>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</si>
  <si>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</si>
  <si>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</si>
  <si>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</si>
  <si>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</si>
  <si>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</si>
  <si>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</si>
  <si>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</si>
  <si>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</si>
  <si>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</si>
  <si>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</si>
  <si>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</si>
  <si>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</si>
  <si>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</si>
  <si>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</si>
  <si>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</si>
  <si>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</si>
  <si>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</si>
  <si>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</si>
  <si>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</si>
  <si>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</si>
  <si>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</si>
  <si>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</si>
  <si>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</si>
  <si>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</si>
  <si>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</si>
  <si>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</si>
  <si>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</si>
  <si>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</si>
  <si>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</si>
  <si>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</si>
  <si>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</si>
  <si>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</si>
  <si>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</si>
  <si>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</si>
  <si>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</si>
  <si>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</si>
  <si>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</si>
  <si>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</si>
  <si>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</si>
  <si>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</si>
  <si>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</si>
  <si>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</si>
  <si>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</si>
  <si>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</si>
  <si>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</si>
  <si>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</si>
  <si>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</si>
  <si>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</si>
  <si>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</si>
  <si>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</si>
  <si>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</si>
  <si>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</si>
  <si>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</si>
  <si>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</si>
  <si>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</si>
  <si>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</si>
  <si>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</si>
  <si>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</si>
  <si>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</si>
  <si>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</si>
  <si>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</si>
  <si>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</si>
  <si>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</si>
  <si>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</si>
  <si>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</si>
  <si>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</si>
  <si>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</si>
  <si>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</si>
  <si>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</si>
  <si>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</si>
  <si>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</si>
  <si>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</si>
  <si>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</si>
  <si>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</si>
  <si>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</si>
  <si>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</si>
  <si>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</si>
  <si>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</si>
  <si>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</si>
  <si>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</si>
  <si>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</si>
  <si>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</si>
  <si>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</si>
  <si>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</si>
  <si>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</si>
  <si>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</si>
  <si>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</si>
  <si>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</si>
  <si>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</si>
  <si>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</si>
  <si>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</si>
  <si>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</si>
  <si>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</si>
  <si>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</si>
  <si>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</si>
  <si>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</si>
  <si>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</si>
  <si>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</si>
  <si>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</si>
  <si>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</si>
  <si>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</si>
  <si>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</si>
  <si>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</si>
  <si>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</si>
  <si>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</si>
  <si>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</si>
  <si>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</si>
  <si>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</si>
  <si>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</si>
  <si>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</si>
  <si>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</si>
  <si>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</si>
  <si>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</si>
  <si>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</si>
  <si>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</si>
  <si>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</si>
  <si>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</si>
  <si>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</si>
  <si>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</si>
  <si>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</si>
  <si>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</si>
  <si>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</si>
  <si>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</si>
  <si>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</si>
  <si>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</si>
  <si>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</si>
  <si>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</si>
  <si>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</si>
  <si>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</si>
  <si>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</si>
  <si>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</si>
  <si>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</si>
  <si>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</si>
  <si>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</si>
  <si>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</si>
  <si>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</si>
  <si>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</si>
  <si>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</si>
  <si>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</si>
  <si>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</si>
  <si>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</si>
  <si>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</si>
  <si>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</si>
  <si>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</si>
  <si>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</si>
  <si>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</si>
  <si>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</si>
  <si>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</si>
  <si>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</si>
  <si>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</si>
  <si>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</si>
  <si>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</si>
  <si>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</si>
  <si>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</si>
  <si>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</si>
  <si>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</si>
  <si>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</si>
  <si>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</si>
  <si>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</si>
  <si>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</si>
  <si>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</si>
  <si>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</si>
  <si>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</si>
  <si>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</si>
  <si>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</si>
  <si>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</si>
  <si>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</si>
  <si>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</si>
  <si>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</si>
  <si>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</si>
  <si>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</si>
  <si>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</si>
  <si>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</si>
  <si>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</si>
  <si>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</si>
  <si>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</si>
  <si>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</si>
  <si>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</si>
  <si>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</si>
  <si>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</si>
  <si>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</si>
  <si>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</si>
  <si>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</si>
  <si>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</si>
  <si>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</si>
  <si>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</si>
  <si>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</si>
  <si>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</si>
  <si>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</si>
  <si>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</si>
  <si>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</si>
  <si>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</si>
  <si>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</si>
  <si>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</si>
  <si>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</si>
  <si>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</si>
  <si>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</si>
  <si>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</si>
  <si>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</si>
  <si>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</si>
  <si>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</si>
  <si>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</si>
  <si>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</si>
  <si>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</si>
  <si>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</si>
  <si>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</si>
  <si>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</si>
  <si>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</si>
  <si>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</si>
  <si>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</si>
  <si>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</si>
  <si>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</si>
  <si>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</si>
  <si>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</si>
  <si>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</si>
  <si>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</si>
  <si>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</si>
  <si>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</si>
  <si>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</si>
  <si>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</si>
  <si>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</si>
  <si>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</si>
  <si>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</si>
  <si>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</si>
  <si>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</si>
  <si>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</si>
  <si>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</si>
  <si>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</si>
  <si>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</si>
  <si>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</si>
  <si>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</si>
  <si>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</si>
  <si>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</si>
  <si>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</si>
  <si>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</si>
  <si>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</si>
  <si>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</si>
  <si>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</si>
  <si>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</si>
  <si>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</si>
  <si>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</si>
  <si>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</si>
  <si>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</si>
  <si>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</si>
  <si>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</si>
  <si>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</si>
  <si>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</si>
  <si>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</si>
  <si>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</si>
  <si>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</si>
  <si>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</si>
  <si>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</si>
  <si>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</si>
  <si>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</si>
  <si>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</si>
  <si>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</si>
  <si>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</si>
  <si>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</si>
  <si>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</si>
  <si>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</si>
  <si>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</si>
  <si>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</si>
  <si>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</si>
  <si>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</si>
  <si>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</si>
  <si>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</si>
  <si>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</si>
  <si>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</si>
  <si>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</si>
  <si>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</si>
  <si>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</si>
  <si>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</si>
  <si>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</si>
  <si>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</si>
  <si>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</si>
  <si>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</si>
  <si>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</si>
  <si>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</si>
  <si>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</si>
  <si>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</si>
  <si>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</si>
  <si>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</si>
  <si>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</si>
  <si>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</si>
  <si>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</si>
  <si>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</si>
  <si>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</si>
  <si>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</si>
  <si>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</si>
  <si>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</si>
  <si>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</si>
  <si>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</si>
  <si>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</si>
  <si>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</si>
  <si>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</si>
  <si>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</si>
  <si>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</si>
  <si>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</si>
  <si>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</si>
  <si>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</si>
  <si>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</si>
  <si>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</si>
  <si>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</si>
  <si>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</si>
  <si>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</si>
  <si>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</si>
  <si>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</si>
  <si>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</si>
  <si>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</si>
  <si>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</si>
  <si>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</si>
  <si>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</si>
  <si>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</si>
  <si>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</si>
  <si>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</si>
  <si>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</si>
  <si>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</si>
  <si>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</si>
  <si>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</si>
  <si>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</si>
  <si>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</si>
  <si>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</si>
  <si>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</si>
  <si>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</si>
  <si>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</si>
  <si>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</si>
  <si>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</si>
  <si>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</si>
  <si>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</si>
  <si>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</si>
  <si>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</si>
  <si>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</si>
  <si>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</si>
  <si>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</si>
  <si>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</si>
  <si>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</si>
  <si>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</si>
  <si>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</si>
  <si>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</si>
  <si>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</si>
  <si>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</si>
  <si>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</si>
  <si>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</si>
  <si>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</si>
  <si>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</si>
  <si>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</si>
  <si>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</si>
  <si>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</si>
  <si>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</si>
  <si>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</si>
  <si>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</si>
  <si>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</si>
  <si>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</si>
  <si>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</si>
  <si>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</si>
  <si>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</si>
  <si>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</si>
  <si>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</si>
  <si>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</si>
  <si>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</si>
  <si>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</si>
  <si>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</si>
  <si>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</si>
  <si>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</si>
  <si>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</si>
  <si>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</si>
  <si>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</si>
  <si>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</si>
  <si>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</si>
  <si>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</si>
  <si>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</si>
  <si>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</si>
  <si>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</si>
  <si>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</si>
  <si>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</si>
  <si>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</si>
  <si>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</si>
  <si>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</si>
  <si>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</si>
  <si>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</si>
  <si>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</si>
  <si>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</si>
  <si>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</si>
  <si>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</si>
  <si>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</si>
  <si>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</si>
  <si>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</si>
  <si>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</si>
  <si>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</si>
  <si>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</si>
  <si>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</si>
  <si>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</si>
  <si>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</si>
  <si>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</si>
  <si>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</si>
  <si>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</si>
  <si>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</si>
  <si>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</si>
  <si>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</si>
  <si>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</si>
  <si>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</si>
  <si>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</si>
  <si>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</si>
  <si>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</si>
  <si>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</si>
  <si>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</si>
  <si>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</si>
  <si>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</si>
  <si>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</si>
  <si>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</si>
  <si>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</si>
  <si>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</si>
  <si>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</si>
  <si>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</si>
  <si>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</si>
  <si>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</si>
  <si>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</si>
  <si>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</si>
  <si>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</si>
  <si>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</si>
  <si>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</si>
  <si>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</si>
  <si>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</si>
  <si>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</si>
  <si>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</si>
  <si>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</si>
  <si>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</si>
  <si>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</si>
  <si>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</si>
  <si>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</si>
  <si>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</si>
  <si>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</si>
  <si>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</si>
  <si>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</si>
  <si>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</si>
  <si>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</si>
  <si>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</si>
  <si>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</si>
  <si>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</si>
  <si>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</si>
  <si>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</si>
  <si>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</si>
  <si>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</si>
  <si>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</si>
  <si>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</si>
  <si>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</si>
  <si>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</si>
  <si>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</si>
  <si>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</si>
  <si>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</si>
  <si>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</si>
  <si>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</si>
  <si>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</si>
  <si>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</si>
  <si>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</si>
  <si>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</si>
  <si>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</si>
  <si>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</si>
  <si>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</si>
  <si>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</si>
  <si>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</si>
  <si>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</si>
  <si>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</si>
  <si>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</si>
  <si>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</si>
  <si>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</si>
  <si>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</si>
  <si>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</si>
  <si>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</si>
  <si>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</si>
  <si>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</si>
  <si>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</si>
  <si>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</si>
  <si>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</si>
  <si>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</si>
  <si>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</si>
  <si>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</si>
  <si>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</si>
  <si>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</si>
  <si>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</si>
  <si>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</si>
  <si>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</si>
  <si>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</si>
  <si>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</si>
  <si>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</si>
  <si>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</si>
  <si>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</si>
  <si>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</si>
  <si>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</si>
  <si>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</si>
  <si>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</si>
  <si>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</si>
  <si>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</si>
  <si>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</si>
  <si>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</si>
  <si>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</si>
  <si>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</si>
  <si>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</si>
  <si>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</si>
  <si>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</si>
  <si>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</si>
  <si>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</si>
  <si>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</si>
  <si>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</si>
  <si>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</si>
  <si>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</si>
  <si>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</si>
  <si>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</si>
  <si>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</si>
  <si>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</si>
  <si>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</si>
  <si>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</si>
  <si>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</si>
  <si>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</si>
  <si>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</si>
  <si>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</si>
  <si>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</si>
  <si>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</si>
  <si>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</si>
  <si>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</si>
  <si>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</si>
  <si>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</si>
  <si>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</si>
  <si>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</si>
  <si>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</si>
  <si>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</si>
  <si>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</si>
  <si>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</si>
  <si>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</si>
  <si>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</si>
  <si>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</si>
  <si>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</si>
  <si>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</si>
  <si>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</si>
  <si>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</si>
  <si>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</si>
  <si>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</si>
  <si>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</si>
  <si>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</si>
  <si>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</si>
  <si>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</si>
  <si>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</si>
  <si>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</si>
  <si>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</si>
  <si>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</si>
  <si>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</si>
  <si>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</si>
  <si>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</si>
  <si>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</si>
  <si>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</si>
  <si>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</si>
  <si>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</si>
  <si>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</si>
  <si>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</si>
  <si>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</si>
  <si>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</si>
  <si>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</si>
  <si>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</si>
  <si>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</si>
  <si>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</si>
  <si>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</si>
  <si>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</si>
  <si>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</si>
  <si>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</si>
  <si>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</si>
  <si>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</si>
  <si>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</si>
  <si>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</si>
  <si>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</si>
  <si>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</si>
  <si>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</si>
  <si>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</si>
  <si>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</si>
  <si>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</si>
  <si>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</si>
  <si>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</si>
  <si>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</si>
  <si>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</si>
  <si>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</si>
  <si>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</si>
  <si>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</si>
  <si>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</si>
  <si>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</si>
  <si>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</si>
  <si>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</si>
  <si>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</si>
  <si>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</si>
  <si>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</si>
  <si>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</si>
  <si>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</si>
  <si>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</si>
  <si>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</si>
  <si>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</si>
  <si>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</si>
  <si>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</si>
  <si>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</si>
  <si>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</si>
  <si>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</si>
  <si>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</si>
  <si>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</si>
  <si>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</si>
  <si>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</si>
  <si>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</si>
  <si>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</si>
  <si>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</si>
  <si>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</si>
  <si>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</si>
  <si>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</si>
  <si>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</si>
  <si>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</si>
  <si>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</si>
  <si>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</si>
  <si>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</si>
  <si>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</si>
  <si>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</si>
  <si>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</si>
  <si>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</si>
  <si>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</si>
  <si>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</si>
  <si>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</si>
  <si>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</si>
  <si>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</si>
  <si>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</si>
  <si>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</si>
  <si>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</si>
  <si>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</si>
  <si>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</si>
  <si>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</si>
  <si>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</si>
  <si>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</si>
  <si>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</si>
  <si>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</si>
  <si>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</si>
  <si>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</si>
  <si>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</si>
  <si>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</si>
  <si>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</si>
  <si>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</si>
  <si>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</si>
  <si>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</si>
  <si>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</si>
  <si>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</si>
  <si>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</si>
  <si>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</si>
  <si>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</si>
  <si>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</si>
  <si>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</si>
  <si>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</si>
  <si>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</si>
  <si>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</si>
  <si>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</si>
  <si>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</si>
  <si>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</si>
  <si>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</si>
  <si>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</si>
  <si>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</si>
  <si>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</si>
  <si>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</si>
  <si>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</si>
  <si>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</si>
  <si>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</si>
  <si>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</si>
  <si>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</si>
  <si>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</si>
  <si>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</si>
  <si>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</si>
  <si>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</si>
  <si>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</si>
  <si>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</si>
  <si>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</si>
  <si>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</si>
  <si>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</si>
  <si>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</si>
  <si>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</si>
  <si>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</si>
  <si>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</si>
  <si>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</si>
  <si>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</si>
  <si>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</si>
  <si>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</si>
  <si>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</si>
  <si>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</si>
  <si>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</si>
  <si>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</si>
  <si>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</si>
  <si>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</si>
  <si>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</si>
  <si>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</si>
  <si>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</si>
  <si>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</si>
  <si>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</si>
  <si>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</si>
  <si>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</si>
  <si>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</si>
  <si>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</si>
  <si>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</si>
  <si>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</si>
  <si>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</si>
  <si>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</si>
  <si>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</si>
  <si>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</si>
  <si>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</si>
  <si>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</si>
  <si>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</si>
  <si>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</si>
  <si>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</si>
  <si>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</si>
  <si>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</si>
  <si>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</si>
  <si>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</si>
  <si>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</si>
  <si>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</si>
  <si>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</si>
  <si>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</si>
  <si>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</si>
  <si>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</si>
  <si>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</si>
  <si>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</si>
  <si>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</si>
  <si>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</si>
  <si>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</si>
  <si>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</si>
  <si>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</si>
  <si>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</si>
  <si>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</si>
  <si>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</si>
  <si>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</si>
  <si>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</si>
  <si>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</si>
  <si>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</si>
  <si>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</si>
  <si>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</si>
  <si>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</si>
  <si>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</si>
  <si>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</si>
  <si>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</si>
  <si>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</si>
  <si>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</si>
  <si>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</si>
  <si>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</si>
  <si>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</si>
  <si>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</si>
  <si>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</si>
  <si>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</si>
  <si>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</si>
  <si>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</si>
  <si>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</si>
  <si>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</si>
  <si>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</si>
  <si>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</si>
  <si>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</si>
  <si>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</si>
  <si>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</si>
  <si>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</si>
  <si>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</si>
  <si>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</si>
  <si>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</si>
  <si>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</si>
  <si>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</si>
  <si>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</si>
  <si>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</si>
  <si>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</si>
  <si>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</si>
  <si>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</si>
  <si>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</si>
  <si>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</si>
  <si>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</si>
  <si>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</si>
  <si>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</si>
  <si>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</si>
  <si>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</si>
  <si>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</si>
  <si>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</si>
  <si>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</si>
  <si>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</si>
  <si>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</si>
  <si>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</si>
  <si>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</si>
  <si>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</si>
  <si>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</si>
  <si>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</si>
  <si>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</si>
  <si>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</si>
  <si>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</si>
  <si>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</si>
  <si>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</si>
  <si>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</si>
  <si>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</si>
  <si>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</si>
  <si>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</si>
  <si>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</si>
  <si>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</si>
  <si>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</si>
  <si>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</si>
  <si>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</si>
  <si>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</si>
  <si>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</si>
  <si>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</si>
  <si>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</si>
  <si>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</si>
  <si>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</si>
  <si>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</si>
  <si>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</si>
  <si>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</si>
  <si>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</si>
  <si>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</si>
  <si>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</si>
  <si>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</si>
  <si>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</si>
  <si>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</si>
  <si>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</si>
  <si>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</si>
  <si>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</si>
  <si>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</si>
  <si>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</si>
  <si>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</si>
  <si>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</si>
  <si>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</si>
  <si>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</si>
  <si>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</si>
  <si>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</si>
  <si>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</si>
  <si>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</si>
  <si>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</si>
  <si>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</si>
  <si>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</si>
  <si>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</si>
  <si>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</si>
  <si>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</si>
  <si>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</si>
  <si>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</si>
  <si>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</si>
  <si>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</si>
  <si>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</si>
  <si>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</si>
  <si>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</si>
  <si>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</si>
  <si>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</si>
  <si>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</si>
  <si>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</si>
  <si>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</si>
  <si>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</si>
  <si>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</si>
  <si>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</si>
  <si>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</si>
  <si>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</si>
  <si>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</si>
  <si>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</si>
  <si>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</si>
  <si>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</si>
  <si>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</si>
  <si>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</si>
  <si>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</si>
  <si>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</si>
  <si>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</si>
  <si>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</si>
  <si>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</si>
  <si>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</si>
  <si>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</si>
  <si>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</si>
  <si>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</si>
  <si>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</si>
  <si>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</si>
  <si>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</si>
  <si>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</si>
  <si>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</si>
  <si>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</si>
  <si>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</si>
  <si>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</si>
  <si>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</si>
  <si>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</si>
  <si>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</si>
  <si>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</si>
  <si>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</si>
  <si>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</si>
  <si>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</si>
  <si>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</si>
  <si>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</si>
  <si>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</si>
  <si>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</si>
  <si>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</si>
  <si>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</si>
  <si>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</si>
  <si>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</si>
  <si>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</si>
  <si>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</si>
  <si>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</si>
  <si>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</si>
  <si>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</si>
  <si>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</si>
  <si>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</si>
  <si>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</si>
  <si>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</si>
  <si>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</si>
  <si>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</si>
  <si>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</si>
  <si>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</si>
  <si>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</si>
  <si>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</si>
  <si>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</si>
  <si>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</si>
  <si>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</si>
  <si>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</si>
  <si>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</si>
  <si>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</si>
  <si>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</si>
  <si>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</si>
  <si>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</si>
  <si>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</si>
  <si>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</si>
  <si>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</si>
  <si>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</si>
  <si>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</si>
  <si>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</si>
  <si>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</si>
  <si>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</si>
  <si>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</si>
  <si>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</si>
  <si>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</si>
  <si>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</si>
  <si>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</si>
  <si>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</si>
  <si>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</si>
  <si>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</si>
  <si>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</si>
  <si>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</si>
  <si>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</si>
  <si>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</si>
  <si>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</si>
  <si>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</si>
  <si>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</si>
  <si>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</si>
  <si>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</si>
  <si>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</si>
  <si>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</si>
  <si>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</si>
  <si>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</si>
  <si>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</si>
  <si>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</si>
  <si>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</si>
  <si>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</si>
  <si>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</si>
  <si>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</si>
  <si>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</si>
  <si>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</si>
  <si>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</si>
  <si>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</si>
  <si>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</si>
  <si>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</si>
  <si>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</si>
  <si>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</si>
  <si>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</si>
  <si>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</si>
  <si>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</si>
  <si>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</si>
  <si>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</si>
  <si>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</si>
  <si>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</si>
  <si>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</si>
  <si>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</si>
  <si>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</si>
  <si>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</si>
  <si>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</si>
  <si>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</si>
  <si>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</si>
  <si>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</si>
  <si>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</si>
  <si>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</si>
  <si>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</si>
  <si>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</si>
  <si>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</si>
  <si>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</si>
  <si>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</si>
  <si>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</si>
  <si>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</si>
  <si>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</si>
  <si>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</si>
  <si>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</si>
  <si>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</si>
  <si>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</si>
  <si>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</si>
  <si>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</si>
  <si>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</si>
  <si>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</si>
  <si>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</si>
  <si>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</si>
  <si>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</si>
  <si>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</si>
  <si>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</si>
  <si>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</si>
  <si>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</si>
  <si>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</si>
  <si>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</si>
  <si>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</si>
  <si>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</si>
  <si>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</si>
  <si>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</si>
  <si>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</si>
  <si>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</si>
  <si>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</si>
  <si>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</si>
  <si>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</si>
  <si>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</si>
  <si>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</si>
  <si>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</si>
  <si>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</si>
  <si>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</si>
  <si>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</si>
  <si>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</si>
  <si>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</si>
  <si>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</si>
  <si>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</si>
  <si>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</si>
  <si>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</si>
  <si>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</si>
  <si>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</si>
  <si>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</si>
  <si>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</si>
  <si>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</si>
  <si>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</si>
  <si>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</si>
  <si>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</si>
  <si>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</si>
  <si>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</si>
  <si>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</si>
  <si>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</si>
  <si>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</si>
  <si>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</si>
  <si>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</si>
  <si>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</si>
  <si>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</si>
  <si>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</si>
  <si>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</si>
  <si>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</si>
  <si>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</si>
  <si>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</si>
  <si>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</si>
  <si>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</si>
  <si>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</si>
  <si>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</si>
  <si>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</si>
  <si>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</si>
  <si>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</si>
  <si>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</si>
  <si>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</si>
  <si>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</si>
  <si>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</si>
  <si>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</si>
  <si>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</si>
  <si>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</si>
  <si>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</si>
  <si>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</si>
  <si>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</si>
  <si>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</si>
  <si>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</si>
  <si>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</si>
  <si>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</si>
  <si>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</si>
  <si>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</si>
  <si>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</si>
  <si>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</si>
  <si>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</si>
  <si>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</si>
  <si>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</si>
  <si>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</si>
  <si>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</si>
  <si>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</si>
  <si>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</si>
  <si>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</si>
  <si>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</si>
  <si>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</si>
  <si>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</si>
  <si>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</si>
  <si>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</si>
  <si>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</si>
  <si>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</si>
  <si>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</si>
  <si>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</si>
  <si>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</si>
  <si>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</si>
  <si>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</si>
  <si>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</si>
  <si>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</si>
  <si>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</si>
  <si>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</si>
  <si>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</si>
  <si>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</si>
  <si>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</si>
  <si>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</si>
  <si>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</si>
  <si>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</si>
  <si>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</si>
  <si>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</si>
  <si>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</si>
  <si>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</si>
  <si>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</si>
  <si>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</si>
  <si>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</si>
  <si>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</si>
  <si>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</si>
  <si>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</si>
  <si>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</si>
  <si>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</si>
  <si>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</si>
  <si>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</si>
  <si>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</si>
  <si>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</si>
  <si>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</si>
  <si>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</si>
  <si>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</si>
  <si>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</si>
  <si>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</si>
  <si>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</si>
  <si>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</si>
  <si>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</si>
  <si>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</si>
  <si>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</si>
  <si>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</si>
  <si>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</si>
  <si>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</si>
  <si>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</si>
  <si>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</si>
  <si>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</si>
  <si>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</si>
  <si>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</si>
  <si>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</si>
  <si>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</si>
  <si>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</si>
  <si>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</si>
  <si>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</si>
  <si>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</si>
  <si>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</si>
  <si>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</si>
  <si>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</si>
  <si>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</si>
  <si>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</si>
  <si>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</si>
  <si>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</si>
  <si>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</si>
  <si>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</si>
  <si>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</si>
  <si>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</si>
  <si>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</si>
  <si>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</si>
  <si>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</si>
  <si>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</si>
  <si>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</si>
  <si>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</si>
  <si>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</si>
  <si>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</si>
  <si>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</si>
  <si>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</si>
  <si>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</si>
  <si>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</si>
  <si>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</si>
  <si>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</si>
  <si>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</si>
  <si>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</si>
  <si>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</si>
  <si>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</si>
  <si>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</si>
  <si>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</si>
  <si>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</si>
  <si>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</si>
  <si>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</si>
  <si>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</si>
  <si>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</si>
  <si>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</si>
  <si>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</si>
  <si>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</si>
  <si>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</si>
  <si>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</si>
  <si>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</si>
  <si>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</si>
  <si>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</si>
  <si>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</si>
  <si>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</si>
  <si>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</si>
  <si>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</si>
  <si>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</si>
  <si>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</si>
  <si>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</si>
  <si>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</si>
  <si>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</si>
  <si>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</si>
  <si>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</si>
  <si>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</si>
  <si>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</si>
  <si>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</si>
  <si>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</si>
  <si>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</si>
  <si>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</si>
  <si>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</si>
  <si>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</si>
  <si>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</si>
  <si>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</si>
  <si>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</si>
  <si>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</si>
  <si>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</si>
  <si>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</si>
  <si>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</si>
  <si>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</si>
  <si>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</si>
  <si>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</si>
  <si>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</si>
  <si>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</si>
  <si>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</si>
  <si>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</si>
  <si>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</si>
  <si>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</si>
  <si>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</si>
  <si>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</si>
  <si>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</si>
  <si>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</si>
  <si>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</si>
  <si>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</si>
  <si>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</si>
  <si>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</si>
  <si>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</si>
  <si>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</si>
  <si>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</si>
  <si>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</si>
  <si>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</si>
  <si>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</si>
  <si>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</si>
  <si>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</si>
  <si>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</si>
  <si>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</si>
  <si>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</si>
  <si>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</si>
  <si>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</si>
  <si>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</si>
  <si>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</si>
  <si>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</si>
  <si>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</si>
  <si>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</si>
  <si>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</si>
  <si>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</si>
  <si>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</si>
  <si>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</si>
  <si>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</si>
  <si>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</si>
  <si>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</si>
  <si>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</si>
  <si>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</si>
  <si>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</si>
  <si>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</si>
  <si>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</si>
  <si>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</si>
  <si>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</si>
  <si>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</si>
  <si>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</si>
  <si>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</si>
  <si>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</si>
  <si>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</si>
  <si>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</si>
  <si>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</si>
  <si>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</si>
  <si>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</si>
  <si>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</si>
  <si>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</si>
  <si>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</si>
  <si>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</si>
  <si>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</si>
  <si>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</si>
  <si>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</si>
  <si>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</si>
  <si>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</si>
  <si>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</si>
  <si>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</si>
  <si>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</si>
  <si>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</si>
  <si>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</si>
  <si>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</si>
  <si>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</si>
  <si>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</si>
  <si>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</si>
  <si>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</si>
  <si>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</si>
  <si>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</si>
  <si>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</si>
  <si>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</si>
  <si>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</si>
  <si>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</si>
  <si>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</si>
  <si>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</si>
  <si>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</si>
  <si>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</si>
  <si>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</si>
  <si>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</si>
  <si>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</si>
  <si>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</si>
  <si>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</si>
  <si>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</si>
  <si>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</si>
  <si>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</si>
  <si>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</si>
  <si>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</si>
  <si>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</si>
  <si>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</si>
  <si>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</si>
  <si>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</si>
  <si>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</si>
  <si>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</si>
  <si>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</si>
  <si>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</si>
  <si>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</si>
  <si>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</si>
  <si>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</si>
  <si>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</si>
  <si>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</si>
  <si>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</si>
  <si>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</si>
  <si>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</si>
  <si>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</si>
  <si>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</si>
  <si>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</si>
  <si>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</si>
  <si>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</si>
  <si>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</si>
  <si>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</si>
  <si>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</si>
  <si>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</si>
  <si>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</si>
  <si>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</si>
  <si>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</si>
  <si>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</si>
  <si>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</si>
  <si>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</si>
  <si>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</si>
  <si>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</si>
  <si>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</si>
  <si>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</si>
  <si>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</si>
  <si>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</si>
  <si>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</si>
  <si>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</si>
  <si>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</si>
  <si>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</si>
  <si>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</si>
  <si>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</si>
  <si>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</si>
  <si>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</si>
  <si>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</si>
  <si>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</si>
  <si>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</si>
  <si>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</si>
  <si>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</si>
  <si>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</si>
  <si>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</si>
  <si>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</si>
  <si>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</si>
  <si>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</si>
  <si>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</si>
  <si>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</si>
  <si>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</si>
  <si>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</si>
  <si>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</si>
  <si>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</si>
  <si>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</si>
  <si>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</si>
  <si>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</si>
  <si>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</si>
  <si>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</si>
  <si>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</si>
  <si>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</si>
  <si>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</si>
  <si>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</si>
  <si>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</si>
  <si>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</si>
  <si>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</si>
  <si>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</si>
  <si>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</si>
  <si>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</si>
  <si>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</si>
  <si>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</si>
  <si>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</si>
  <si>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</si>
  <si>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</si>
  <si>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</si>
  <si>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</si>
  <si>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</si>
  <si>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</si>
  <si>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</si>
  <si>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</si>
  <si>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</si>
  <si>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</si>
  <si>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</si>
  <si>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</si>
  <si>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</si>
  <si>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</si>
  <si>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</si>
  <si>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</si>
  <si>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</si>
  <si>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</si>
  <si>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</si>
  <si>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</si>
  <si>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</si>
  <si>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</si>
  <si>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</si>
  <si>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</si>
  <si>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</si>
  <si>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</si>
  <si>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</si>
  <si>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</si>
  <si>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</si>
  <si>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</si>
  <si>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</si>
  <si>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</si>
  <si>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</si>
  <si>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</si>
  <si>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</si>
  <si>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</si>
  <si>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</si>
  <si>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</si>
  <si>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</si>
  <si>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</si>
  <si>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</si>
  <si>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</si>
  <si>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</si>
  <si>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</si>
  <si>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</si>
  <si>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</si>
  <si>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</si>
  <si>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</si>
  <si>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</si>
  <si>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</si>
  <si>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</si>
  <si>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</si>
  <si>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</si>
  <si>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</si>
  <si>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</si>
  <si>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</si>
  <si>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</si>
  <si>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</si>
  <si>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</si>
  <si>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</si>
  <si>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</si>
  <si>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</si>
  <si>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</si>
  <si>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</si>
  <si>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</si>
  <si>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</si>
  <si>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</si>
  <si>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</si>
  <si>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</si>
  <si>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</si>
  <si>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</si>
  <si>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</si>
  <si>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</si>
  <si>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</si>
  <si>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</si>
  <si>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</si>
  <si>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</si>
  <si>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</si>
  <si>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</si>
  <si>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</si>
  <si>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</si>
  <si>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</si>
  <si>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</si>
  <si>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</si>
  <si>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</si>
  <si>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</si>
  <si>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</si>
  <si>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</si>
  <si>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</si>
  <si>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</si>
  <si>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</si>
  <si>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</si>
  <si>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</si>
  <si>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</si>
  <si>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</si>
  <si>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</si>
  <si>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</si>
  <si>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</si>
  <si>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</si>
  <si>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</si>
  <si>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</si>
  <si>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</si>
  <si>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</si>
  <si>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</si>
  <si>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</si>
  <si>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</si>
  <si>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</si>
  <si>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</si>
  <si>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</si>
  <si>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</si>
  <si>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</si>
  <si>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</si>
  <si>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</si>
  <si>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</si>
  <si>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</si>
  <si>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</si>
  <si>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</si>
  <si>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</si>
  <si>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</si>
  <si>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</si>
  <si>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</si>
  <si>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</si>
  <si>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</si>
  <si>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</si>
  <si>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</si>
  <si>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</si>
  <si>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</si>
  <si>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</si>
  <si>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</si>
  <si>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</si>
  <si>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</si>
  <si>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</si>
  <si>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</si>
  <si>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</si>
  <si>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</si>
  <si>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</si>
  <si>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</si>
  <si>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</si>
  <si>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</si>
  <si>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</si>
  <si>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</si>
  <si>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</si>
  <si>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</si>
  <si>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</si>
  <si>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</si>
  <si>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</si>
  <si>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</si>
  <si>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</si>
  <si>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</si>
  <si>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</si>
  <si>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</si>
  <si>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</si>
  <si>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</si>
  <si>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</si>
  <si>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</si>
  <si>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</si>
  <si>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</si>
  <si>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</si>
  <si>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</si>
  <si>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</si>
  <si>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</si>
  <si>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</si>
  <si>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</si>
  <si>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</si>
  <si>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</si>
  <si>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</si>
  <si>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</si>
  <si>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</si>
  <si>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</si>
  <si>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</si>
  <si>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</si>
  <si>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</si>
  <si>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</si>
  <si>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</si>
  <si>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</si>
  <si>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</si>
  <si>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</si>
  <si>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</si>
  <si>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</si>
  <si>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</si>
  <si>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</si>
  <si>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</si>
  <si>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</si>
  <si>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</si>
  <si>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</si>
  <si>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</si>
  <si>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</si>
  <si>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</si>
  <si>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</si>
  <si>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</si>
  <si>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</si>
  <si>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</si>
  <si>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</si>
  <si>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</si>
  <si>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</si>
  <si>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</si>
  <si>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</si>
  <si>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</si>
  <si>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</si>
  <si>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</si>
  <si>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</si>
  <si>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</si>
  <si>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</si>
  <si>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</si>
  <si>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</si>
  <si>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</si>
  <si>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</si>
  <si>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</si>
  <si>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</si>
  <si>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</si>
  <si>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</si>
  <si>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</si>
  <si>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</si>
  <si>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</si>
  <si>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</si>
  <si>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</si>
  <si>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</si>
  <si>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</si>
  <si>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</si>
  <si>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</si>
  <si>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</si>
  <si>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</si>
  <si>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</si>
  <si>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</si>
  <si>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</si>
  <si>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</si>
  <si>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</si>
  <si>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</si>
  <si>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</si>
  <si>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</si>
  <si>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</si>
  <si>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</si>
  <si>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</si>
  <si>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</si>
  <si>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</si>
  <si>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</si>
  <si>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</si>
  <si>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</si>
  <si>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</si>
  <si>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</si>
  <si>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</si>
  <si>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</si>
  <si>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</si>
  <si>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</si>
  <si>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</si>
  <si>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</si>
  <si>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</si>
  <si>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</si>
  <si>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</si>
  <si>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</si>
  <si>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</si>
  <si>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</si>
  <si>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</si>
  <si>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</si>
  <si>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</si>
  <si>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</si>
  <si>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</si>
  <si>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</si>
  <si>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</si>
  <si>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</si>
  <si>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</si>
  <si>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</si>
  <si>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</si>
  <si>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</si>
  <si>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</si>
  <si>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</si>
  <si>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</si>
  <si>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</si>
  <si>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</si>
  <si>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</si>
  <si>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</si>
  <si>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</si>
  <si>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</si>
  <si>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</si>
  <si>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</si>
  <si>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</si>
  <si>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</si>
  <si>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</si>
  <si>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</si>
  <si>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</si>
  <si>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</si>
  <si>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</si>
  <si>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</si>
  <si>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</si>
  <si>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</si>
  <si>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</si>
  <si>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</si>
  <si>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</si>
  <si>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</si>
  <si>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</si>
  <si>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</si>
  <si>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</si>
  <si>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</si>
  <si>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</si>
  <si>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</si>
  <si>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</si>
  <si>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</si>
  <si>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</si>
  <si>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</si>
  <si>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</si>
  <si>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</si>
  <si>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</si>
  <si>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</si>
  <si>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</si>
  <si>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</si>
  <si>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</si>
  <si>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</si>
  <si>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</si>
  <si>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</si>
  <si>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</si>
  <si>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</si>
  <si>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</si>
  <si>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</si>
  <si>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</si>
  <si>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</si>
  <si>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</si>
  <si>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</si>
  <si>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</si>
  <si>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</si>
  <si>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</si>
  <si>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</si>
  <si>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</si>
  <si>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</si>
  <si>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</si>
  <si>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</si>
  <si>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</si>
  <si>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</si>
  <si>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</si>
  <si>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</si>
  <si>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</si>
  <si>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</si>
  <si>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</si>
  <si>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</si>
  <si>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</si>
  <si>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</si>
  <si>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</si>
  <si>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</si>
  <si>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</si>
  <si>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</si>
  <si>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</si>
  <si>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</si>
  <si>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</si>
  <si>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</si>
  <si>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</si>
  <si>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</si>
  <si>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</si>
  <si>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</si>
  <si>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</si>
  <si>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</si>
  <si>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</si>
  <si>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</si>
  <si>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</si>
  <si>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</si>
  <si>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</si>
  <si>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</si>
  <si>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</si>
  <si>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</si>
  <si>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</si>
  <si>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</si>
  <si>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</si>
  <si>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</si>
  <si>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</si>
  <si>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</si>
  <si>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</si>
  <si>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</si>
  <si>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</si>
  <si>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</si>
  <si>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</si>
  <si>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</si>
  <si>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</si>
  <si>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</si>
  <si>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</si>
  <si>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</si>
  <si>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</si>
  <si>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</si>
  <si>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</si>
  <si>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</si>
  <si>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</si>
  <si>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</si>
  <si>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</si>
  <si>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</si>
  <si>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</si>
  <si>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</si>
  <si>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</si>
  <si>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</si>
  <si>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</si>
  <si>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</si>
  <si>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</si>
  <si>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</si>
  <si>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</si>
  <si>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</si>
  <si>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</si>
  <si>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</si>
  <si>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</si>
  <si>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</si>
  <si>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</si>
  <si>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</si>
  <si>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</si>
  <si>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</si>
  <si>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</si>
  <si>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</si>
  <si>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</si>
  <si>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</si>
  <si>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</si>
  <si>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</si>
  <si>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</si>
  <si>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</si>
  <si>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</si>
  <si>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</si>
  <si>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</si>
  <si>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</si>
  <si>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</si>
  <si>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</si>
  <si>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</si>
  <si>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</si>
  <si>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</si>
  <si>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</si>
  <si>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</si>
  <si>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</si>
  <si>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</si>
  <si>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</si>
  <si>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</si>
  <si>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</si>
  <si>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</si>
  <si>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</si>
  <si>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</si>
  <si>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</si>
  <si>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</si>
  <si>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</si>
  <si>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</si>
  <si>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</si>
  <si>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</si>
  <si>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</si>
  <si>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</si>
  <si>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</si>
  <si>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</si>
  <si>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</si>
  <si>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</si>
  <si>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</si>
  <si>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</si>
  <si>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</si>
  <si>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</si>
  <si>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</si>
  <si>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</si>
  <si>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</si>
  <si>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</si>
  <si>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</si>
  <si>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</si>
  <si>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</si>
  <si>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</si>
  <si>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</si>
  <si>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</si>
  <si>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</si>
  <si>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</si>
  <si>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</si>
  <si>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</si>
  <si>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</si>
  <si>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</si>
  <si>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</si>
  <si>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</si>
  <si>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</si>
  <si>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</si>
  <si>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</si>
  <si>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</si>
  <si>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</si>
  <si>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</si>
  <si>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</si>
  <si>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</si>
  <si>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</si>
  <si>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</si>
  <si>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</si>
  <si>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</si>
  <si>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</si>
  <si>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</si>
  <si>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</si>
  <si>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</si>
  <si>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</si>
  <si>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</si>
  <si>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</si>
  <si>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</si>
  <si>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</si>
  <si>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</si>
  <si>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</si>
  <si>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</si>
  <si>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</si>
  <si>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</si>
  <si>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</si>
  <si>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</si>
  <si>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</si>
  <si>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</si>
  <si>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</si>
  <si>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</si>
  <si>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</si>
  <si>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</si>
  <si>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</si>
  <si>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</si>
  <si>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</si>
  <si>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</si>
  <si>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</si>
  <si>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</si>
  <si>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</si>
  <si>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</si>
  <si>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</si>
  <si>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</si>
  <si>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</si>
  <si>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</si>
  <si>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</si>
  <si>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</si>
  <si>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</si>
  <si>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</si>
  <si>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</si>
  <si>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</si>
  <si>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</si>
  <si>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</si>
  <si>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</si>
  <si>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</si>
  <si>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</si>
  <si>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</si>
  <si>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</si>
  <si>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</si>
  <si>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</si>
  <si>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</si>
  <si>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</si>
  <si>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</si>
  <si>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</si>
  <si>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</si>
  <si>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</si>
  <si>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</si>
  <si>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</si>
  <si>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</si>
  <si>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</si>
  <si>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</si>
  <si>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</si>
  <si>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</si>
  <si>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</si>
  <si>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</si>
  <si>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</si>
  <si>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</si>
  <si>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</si>
  <si>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</si>
  <si>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</si>
  <si>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</si>
  <si>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</si>
  <si>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</si>
  <si>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</si>
  <si>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</si>
  <si>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</si>
  <si>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</si>
  <si>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</si>
  <si>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</si>
  <si>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</si>
  <si>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</si>
  <si>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</si>
  <si>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</si>
  <si>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</si>
  <si>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</si>
  <si>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</si>
  <si>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</si>
  <si>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</si>
  <si>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</si>
  <si>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</si>
  <si>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</si>
  <si>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</si>
  <si>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</si>
  <si>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</si>
  <si>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</si>
  <si>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</si>
  <si>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</si>
  <si>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</si>
  <si>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</si>
  <si>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</si>
  <si>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</si>
  <si>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</si>
  <si>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</si>
  <si>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</si>
  <si>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</si>
  <si>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</si>
  <si>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</si>
  <si>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</si>
  <si>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</si>
  <si>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</si>
  <si>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</si>
  <si>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</si>
  <si>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</si>
  <si>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</si>
  <si>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</si>
  <si>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</si>
  <si>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</si>
  <si>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</si>
  <si>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</si>
  <si>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</si>
  <si>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</si>
  <si>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</si>
  <si>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</si>
  <si>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</si>
  <si>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</si>
  <si>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</si>
  <si>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</si>
  <si>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</si>
  <si>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</si>
  <si>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</si>
  <si>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</si>
  <si>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</si>
  <si>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</si>
  <si>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</si>
  <si>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</si>
  <si>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</si>
  <si>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</si>
  <si>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</si>
  <si>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</si>
  <si>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</si>
  <si>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</si>
  <si>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</si>
  <si>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</si>
  <si>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</si>
  <si>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</si>
  <si>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</si>
  <si>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</si>
  <si>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</si>
  <si>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</si>
  <si>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</si>
  <si>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</si>
  <si>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</si>
  <si>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</si>
  <si>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</si>
  <si>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</si>
  <si>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</si>
  <si>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</si>
  <si>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</si>
  <si>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</si>
  <si>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</si>
  <si>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</si>
  <si>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</si>
  <si>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</si>
  <si>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</si>
  <si>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</si>
  <si>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</si>
  <si>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</si>
  <si>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</si>
  <si>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</si>
  <si>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</si>
  <si>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</si>
  <si>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</si>
  <si>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</si>
  <si>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</si>
  <si>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</si>
  <si>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</si>
  <si>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</si>
  <si>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</si>
  <si>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</si>
  <si>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</si>
  <si>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</si>
  <si>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</si>
  <si>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</si>
  <si>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</si>
  <si>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</si>
  <si>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</si>
  <si>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</si>
  <si>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</si>
  <si>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</si>
  <si>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</si>
  <si>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</si>
  <si>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</si>
  <si>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</si>
  <si>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</si>
  <si>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</si>
  <si>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</si>
  <si>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</si>
  <si>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</si>
  <si>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</si>
  <si>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</si>
  <si>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</si>
  <si>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</si>
  <si>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</si>
  <si>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</si>
  <si>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</si>
  <si>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</si>
  <si>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</si>
  <si>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</si>
  <si>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</si>
  <si>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</si>
  <si>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</si>
  <si>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</si>
  <si>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</si>
  <si>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</si>
  <si>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</si>
  <si>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</si>
  <si>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</si>
  <si>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</si>
  <si>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</si>
  <si>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</si>
  <si>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</si>
  <si>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</si>
  <si>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</si>
  <si>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</si>
  <si>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</si>
  <si>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</si>
  <si>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</si>
  <si>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</si>
  <si>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</si>
  <si>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</si>
  <si>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</si>
  <si>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</si>
  <si>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</si>
  <si>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</si>
  <si>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</si>
  <si>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</si>
  <si>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</si>
  <si>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</si>
  <si>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</si>
  <si>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</si>
  <si>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</si>
  <si>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</si>
  <si>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</si>
  <si>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</si>
  <si>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</si>
  <si>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</si>
  <si>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</si>
  <si>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</si>
  <si>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</si>
  <si>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</si>
  <si>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</si>
  <si>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</si>
  <si>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</si>
  <si>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</si>
  <si>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</si>
  <si>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</si>
  <si>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</si>
  <si>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</si>
  <si>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</si>
  <si>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</si>
  <si>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</si>
  <si>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</si>
  <si>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</si>
  <si>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</si>
  <si>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</si>
  <si>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</si>
  <si>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</si>
  <si>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</si>
  <si>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</si>
  <si>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</si>
  <si>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</si>
  <si>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</si>
  <si>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</si>
  <si>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</si>
  <si>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</si>
  <si>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</si>
  <si>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</si>
  <si>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</si>
  <si>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</si>
  <si>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</si>
  <si>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</si>
  <si>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</si>
  <si>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</si>
  <si>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</si>
  <si>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</si>
  <si>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</si>
  <si>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</si>
  <si>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</si>
  <si>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</si>
  <si>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</si>
  <si>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</si>
  <si>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</si>
  <si>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</si>
  <si>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</si>
  <si>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</si>
  <si>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</si>
  <si>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</si>
  <si>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</si>
  <si>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</si>
  <si>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</si>
  <si>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</si>
  <si>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</si>
  <si>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</si>
  <si>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</si>
  <si>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</si>
  <si>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</si>
  <si>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</si>
  <si>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</si>
  <si>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</si>
  <si>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</si>
  <si>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</si>
  <si>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</si>
  <si>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</si>
  <si>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</si>
  <si>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</si>
  <si>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</si>
  <si>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</si>
  <si>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</si>
  <si>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</si>
  <si>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</si>
  <si>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</si>
  <si>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</si>
  <si>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</si>
  <si>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</si>
  <si>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</si>
  <si>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</si>
  <si>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</si>
  <si>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</si>
  <si>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</si>
  <si>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</si>
  <si>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</si>
  <si>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</si>
  <si>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</si>
  <si>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</si>
  <si>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</si>
  <si>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</si>
  <si>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</si>
  <si>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</si>
  <si>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</si>
  <si>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</si>
  <si>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</si>
  <si>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</si>
  <si>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</si>
  <si>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</si>
  <si>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</si>
  <si>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</si>
  <si>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</si>
  <si>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</si>
  <si>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</si>
  <si>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</si>
  <si>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</si>
  <si>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</si>
  <si>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</si>
  <si>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</si>
  <si>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</si>
  <si>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</si>
  <si>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</si>
  <si>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</si>
  <si>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</si>
  <si>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</si>
  <si>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</si>
  <si>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</si>
  <si>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</si>
  <si>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</si>
  <si>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</si>
  <si>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</si>
  <si>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</si>
  <si>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</si>
  <si>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</si>
  <si>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</si>
  <si>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</si>
  <si>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</si>
  <si>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</si>
  <si>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</si>
  <si>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</si>
  <si>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</si>
  <si>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</si>
  <si>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</si>
  <si>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</si>
  <si>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</si>
  <si>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</si>
  <si>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</si>
  <si>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</si>
  <si>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</si>
  <si>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</si>
  <si>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</si>
  <si>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</si>
  <si>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</si>
  <si>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</si>
  <si>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</si>
  <si>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</si>
  <si>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</si>
  <si>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</si>
  <si>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</si>
  <si>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</si>
  <si>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</si>
  <si>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</si>
  <si>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</si>
  <si>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</si>
  <si>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</si>
  <si>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</si>
  <si>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</si>
  <si>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</si>
  <si>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</si>
  <si>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</si>
  <si>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</si>
  <si>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</si>
  <si>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</si>
  <si>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</si>
  <si>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</si>
  <si>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</si>
  <si>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</si>
  <si>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</si>
  <si>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</si>
  <si>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</si>
  <si>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</si>
  <si>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</si>
  <si>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</si>
  <si>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</si>
  <si>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</si>
  <si>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</si>
  <si>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</si>
  <si>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</si>
  <si>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</si>
  <si>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</si>
  <si>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</si>
  <si>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</si>
  <si>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</si>
  <si>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</si>
  <si>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</si>
  <si>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</si>
  <si>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</si>
  <si>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</si>
  <si>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</si>
  <si>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</si>
  <si>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</si>
  <si>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</si>
  <si>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</si>
  <si>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</si>
  <si>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</si>
  <si>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</si>
  <si>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</si>
  <si>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</si>
  <si>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</si>
  <si>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</si>
  <si>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</si>
  <si>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</si>
  <si>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</si>
  <si>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</si>
  <si>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</si>
  <si>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</si>
  <si>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</si>
  <si>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</si>
  <si>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</si>
  <si>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</si>
  <si>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</si>
  <si>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</si>
  <si>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</si>
  <si>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</si>
  <si>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</si>
  <si>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</si>
  <si>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</si>
  <si>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</si>
  <si>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</si>
  <si>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</si>
  <si>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</si>
  <si>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</si>
  <si>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</si>
  <si>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</si>
  <si>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</si>
  <si>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</si>
  <si>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</si>
  <si>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</si>
  <si>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</si>
  <si>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</si>
  <si>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</si>
  <si>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</si>
  <si>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</si>
  <si>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</si>
  <si>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</si>
  <si>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</si>
  <si>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</si>
  <si>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</si>
  <si>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</si>
  <si>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</si>
  <si>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</si>
  <si>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</si>
  <si>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</si>
  <si>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</si>
  <si>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</si>
  <si>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</si>
  <si>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</si>
  <si>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</si>
  <si>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</si>
  <si>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</si>
  <si>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</si>
  <si>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</si>
  <si>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</si>
  <si>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</si>
  <si>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</si>
  <si>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</si>
  <si>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</si>
  <si>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</si>
  <si>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</si>
  <si>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</si>
  <si>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</si>
  <si>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</si>
  <si>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</si>
  <si>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</si>
  <si>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</si>
  <si>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</si>
  <si>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</si>
  <si>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</si>
  <si>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</si>
  <si>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</si>
  <si>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</si>
  <si>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</si>
  <si>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</si>
  <si>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</si>
  <si>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</si>
  <si>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</si>
  <si>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</si>
  <si>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</si>
  <si>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</si>
  <si>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</si>
  <si>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</si>
  <si>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</si>
  <si>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</si>
  <si>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</si>
  <si>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</si>
  <si>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</si>
  <si>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</si>
  <si>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</si>
  <si>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</si>
  <si>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</si>
  <si>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</si>
  <si>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</si>
  <si>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</si>
  <si>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</si>
  <si>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</si>
  <si>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</si>
  <si>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</si>
  <si>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</si>
  <si>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</si>
  <si>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</si>
  <si>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</si>
  <si>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</si>
  <si>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</si>
  <si>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</si>
  <si>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</si>
  <si>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</si>
  <si>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</si>
  <si>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</si>
  <si>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</si>
  <si>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</si>
  <si>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</si>
  <si>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</si>
  <si>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</si>
  <si>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</si>
  <si>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</si>
  <si>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</si>
  <si>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</si>
  <si>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</si>
  <si>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</si>
  <si>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</si>
  <si>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</si>
  <si>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</si>
  <si>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</si>
  <si>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</si>
  <si>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</si>
  <si>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</si>
  <si>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</si>
  <si>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</si>
  <si>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</si>
  <si>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</si>
  <si>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</si>
  <si>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</si>
  <si>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</si>
  <si>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</si>
  <si>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</si>
  <si>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</si>
  <si>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</si>
  <si>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</si>
  <si>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</si>
  <si>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</si>
  <si>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</si>
  <si>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</si>
  <si>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</si>
  <si>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</si>
  <si>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</si>
  <si>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</si>
  <si>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</si>
  <si>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</si>
  <si>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</si>
  <si>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</si>
  <si>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</si>
  <si>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</si>
  <si>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</si>
  <si>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</si>
  <si>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</si>
  <si>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</si>
  <si>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</si>
  <si>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</si>
  <si>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</si>
  <si>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</si>
  <si>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</si>
  <si>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</si>
  <si>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</si>
  <si>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</si>
  <si>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</si>
  <si>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</si>
  <si>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</si>
  <si>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</si>
  <si>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</si>
  <si>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</si>
  <si>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</si>
  <si>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</si>
  <si>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</si>
  <si>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</si>
  <si>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</si>
  <si>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</si>
  <si>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</si>
  <si>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</si>
  <si>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</si>
  <si>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</si>
  <si>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</si>
  <si>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</si>
  <si>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</si>
  <si>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</si>
  <si>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</si>
  <si>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</si>
  <si>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</si>
  <si>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</si>
  <si>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</si>
  <si>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</si>
  <si>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</si>
  <si>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</si>
  <si>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</si>
  <si>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</si>
  <si>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</si>
  <si>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</si>
  <si>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</si>
  <si>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</si>
  <si>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</si>
  <si>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</si>
  <si>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</si>
  <si>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</si>
  <si>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</si>
  <si>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</si>
  <si>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</si>
  <si>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</si>
  <si>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</si>
  <si>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</si>
  <si>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</si>
  <si>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</si>
  <si>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</si>
  <si>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</si>
  <si>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</si>
  <si>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</si>
  <si>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</si>
  <si>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</si>
  <si>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</si>
  <si>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</si>
  <si>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</si>
  <si>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</si>
  <si>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</si>
  <si>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</si>
  <si>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</si>
  <si>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</si>
  <si>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</si>
  <si>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</si>
  <si>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</si>
  <si>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</si>
  <si>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</si>
  <si>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</si>
  <si>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</si>
  <si>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</si>
  <si>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</si>
  <si>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</si>
  <si>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</si>
  <si>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</si>
  <si>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</si>
  <si>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</si>
  <si>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</si>
  <si>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</si>
  <si>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</si>
  <si>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</si>
  <si>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</si>
  <si>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</si>
  <si>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</si>
  <si>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</si>
  <si>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</si>
  <si>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</si>
  <si>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</si>
  <si>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</si>
  <si>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</si>
  <si>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</si>
  <si>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</si>
  <si>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</si>
  <si>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</si>
  <si>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</si>
  <si>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</si>
  <si>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</si>
  <si>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</si>
  <si>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</si>
  <si>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</si>
  <si>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</si>
  <si>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</si>
  <si>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</si>
  <si>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</si>
  <si>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</si>
  <si>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</si>
  <si>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</si>
  <si>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</si>
  <si>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</si>
  <si>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</si>
  <si>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</si>
  <si>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</si>
  <si>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</si>
  <si>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</si>
  <si>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</si>
  <si>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</si>
  <si>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</si>
  <si>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</si>
  <si>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</si>
  <si>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</si>
  <si>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</si>
  <si>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</si>
  <si>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</si>
  <si>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</si>
  <si>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</si>
  <si>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</si>
  <si>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</si>
  <si>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</si>
  <si>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</si>
  <si>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</si>
  <si>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</si>
  <si>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</si>
  <si>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</si>
  <si>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</si>
  <si>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</si>
  <si>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</si>
  <si>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</si>
  <si>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</si>
  <si>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</si>
  <si>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</si>
  <si>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</si>
  <si>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</si>
  <si>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</si>
  <si>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</si>
  <si>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</si>
  <si>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</si>
  <si>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</si>
  <si>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</si>
  <si>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</si>
  <si>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</si>
  <si>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</si>
  <si>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</si>
  <si>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</si>
  <si>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</si>
  <si>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</si>
  <si>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</si>
  <si>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</si>
  <si>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</si>
  <si>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</si>
  <si>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</si>
  <si>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</si>
  <si>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</si>
  <si>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</si>
  <si>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</si>
  <si>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</si>
  <si>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</si>
  <si>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</si>
  <si>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</si>
  <si>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</si>
  <si>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</si>
  <si>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</si>
  <si>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</si>
  <si>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</si>
  <si>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</si>
  <si>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</si>
  <si>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</si>
  <si>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</si>
  <si>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</si>
  <si>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</si>
  <si>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</si>
  <si>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</si>
  <si>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</si>
  <si>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</si>
  <si>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</si>
  <si>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</si>
  <si>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</si>
  <si>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</si>
  <si>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</si>
  <si>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</si>
  <si>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</si>
  <si>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</si>
  <si>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</si>
  <si>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</si>
  <si>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</si>
  <si>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</si>
  <si>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</si>
  <si>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</si>
  <si>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</si>
  <si>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</si>
  <si>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</si>
  <si>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</si>
  <si>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</si>
  <si>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</si>
  <si>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</si>
  <si>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</si>
  <si>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</si>
  <si>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</si>
  <si>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</si>
  <si>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</si>
  <si>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</si>
  <si>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</si>
  <si>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</si>
  <si>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</si>
  <si>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</si>
  <si>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</si>
  <si>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</si>
  <si>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</si>
  <si>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</si>
  <si>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</si>
  <si>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</si>
  <si>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</si>
  <si>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</si>
  <si>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</si>
  <si>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</si>
  <si>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</si>
  <si>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</si>
  <si>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</si>
  <si>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</si>
  <si>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</si>
  <si>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</si>
  <si>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</si>
  <si>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</si>
  <si>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</si>
  <si>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</si>
  <si>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</si>
  <si>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</si>
  <si>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</si>
  <si>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</si>
  <si>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</si>
  <si>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</si>
  <si>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</si>
  <si>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</si>
  <si>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</si>
  <si>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</si>
  <si>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</si>
  <si>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</si>
  <si>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</si>
  <si>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</si>
  <si>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</si>
  <si>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</si>
  <si>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</si>
  <si>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</si>
  <si>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</si>
  <si>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</si>
  <si>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</si>
  <si>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</si>
  <si>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</si>
  <si>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</si>
  <si>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</si>
  <si>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</si>
  <si>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</si>
  <si>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</si>
  <si>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</si>
  <si>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</si>
  <si>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</si>
  <si>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</si>
  <si>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</si>
  <si>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</si>
  <si>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</si>
  <si>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</si>
  <si>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</si>
  <si>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</si>
  <si>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</si>
  <si>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</si>
  <si>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</si>
  <si>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</si>
  <si>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</si>
  <si>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</si>
  <si>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</si>
  <si>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</si>
  <si>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</si>
  <si>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</si>
  <si>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</si>
  <si>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</si>
  <si>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</si>
  <si>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</si>
  <si>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</si>
  <si>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</si>
  <si>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</si>
  <si>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</si>
  <si>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</si>
  <si>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</si>
  <si>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</si>
  <si>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</si>
  <si>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</si>
  <si>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</si>
  <si>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</si>
  <si>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</si>
  <si>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</si>
  <si>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</si>
  <si>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</si>
  <si>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</si>
  <si>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</si>
  <si>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</si>
  <si>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</si>
  <si>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</si>
  <si>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</si>
  <si>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</si>
  <si>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</si>
  <si>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</si>
  <si>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</si>
  <si>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</si>
  <si>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</si>
  <si>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</si>
  <si>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</si>
  <si>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</si>
  <si>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</si>
  <si>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</si>
  <si>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</si>
  <si>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</si>
  <si>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</si>
  <si>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</si>
  <si>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</si>
  <si>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</si>
  <si>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</si>
  <si>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</si>
  <si>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</si>
  <si>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</si>
  <si>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</si>
  <si>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</si>
  <si>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</si>
  <si>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</si>
  <si>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</si>
  <si>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</si>
  <si>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</si>
  <si>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</si>
  <si>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</si>
  <si>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</si>
  <si>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</si>
  <si>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</si>
  <si>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</si>
  <si>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</si>
  <si>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</si>
  <si>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</si>
  <si>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</si>
  <si>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</si>
  <si>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</si>
  <si>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</si>
  <si>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</si>
  <si>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</si>
  <si>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</si>
  <si>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</si>
  <si>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</si>
  <si>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</si>
  <si>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</si>
  <si>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</si>
  <si>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</si>
  <si>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</si>
  <si>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</si>
  <si>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</si>
  <si>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</si>
  <si>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</si>
  <si>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</si>
  <si>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</si>
  <si>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</si>
  <si>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</si>
  <si>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</si>
  <si>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</si>
  <si>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</si>
  <si>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</si>
  <si>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</si>
  <si>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</si>
  <si>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</si>
  <si>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</si>
  <si>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</si>
  <si>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</si>
  <si>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</si>
  <si>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</si>
  <si>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</si>
  <si>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/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</si>
  <si>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</si>
  <si>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</si>
  <si>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</si>
  <si>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</si>
  <si>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</si>
  <si>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</si>
  <si>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</si>
  <si>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</si>
  <si>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</si>
  <si>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</si>
  <si>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</si>
  <si>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</si>
  <si>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</si>
  <si>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</si>
  <si>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</si>
  <si>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</si>
  <si>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</si>
  <si>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</si>
  <si>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</si>
  <si>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</si>
  <si>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</si>
  <si>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</si>
  <si>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</si>
  <si>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</si>
  <si>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</si>
  <si>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</si>
  <si>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</si>
  <si>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</si>
  <si>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</si>
  <si>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</si>
  <si>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</si>
  <si>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</si>
  <si>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</si>
  <si>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</si>
  <si>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</si>
  <si>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</si>
  <si>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</si>
  <si>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</si>
  <si>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</si>
  <si>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</si>
  <si>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</si>
  <si>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</si>
  <si>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</si>
  <si>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</si>
  <si>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</si>
  <si>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</si>
  <si>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</si>
  <si>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</si>
  <si>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</si>
  <si>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</si>
  <si>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</si>
  <si>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</si>
  <si>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</si>
  <si>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</si>
  <si>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</si>
  <si>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</si>
  <si>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</si>
  <si>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</si>
  <si>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</si>
  <si>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</si>
  <si>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</si>
  <si>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</si>
  <si>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</si>
  <si>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</si>
  <si>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</si>
  <si>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</si>
  <si>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</si>
  <si>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</si>
  <si>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</si>
  <si>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</si>
  <si>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</si>
  <si>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</si>
  <si>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</si>
  <si>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</si>
  <si>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</si>
  <si>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</si>
  <si>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</si>
  <si>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</si>
  <si>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</si>
  <si>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</si>
  <si>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</si>
  <si>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</si>
  <si>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</si>
  <si>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</si>
  <si>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</si>
  <si>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</si>
  <si>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</si>
  <si>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</si>
  <si>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</si>
  <si>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</si>
  <si>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</si>
  <si>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</si>
  <si>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</si>
  <si>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</si>
  <si>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</si>
  <si>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</si>
  <si>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</si>
  <si>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</si>
  <si>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</si>
  <si>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</si>
  <si>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</si>
  <si>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</si>
  <si>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</si>
  <si>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</si>
  <si>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</si>
  <si>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</si>
  <si>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</si>
  <si>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</si>
  <si>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</si>
  <si>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</si>
  <si>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</si>
  <si>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</si>
  <si>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</si>
  <si>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</si>
  <si>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</si>
  <si>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</si>
  <si>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</si>
  <si>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</si>
  <si>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</si>
  <si>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</si>
  <si>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</si>
  <si>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</si>
  <si>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</si>
  <si>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</si>
  <si>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</si>
  <si>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</si>
  <si>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</si>
  <si>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</si>
  <si>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</si>
  <si>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</si>
  <si>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</si>
  <si>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</si>
  <si>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</si>
  <si>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</si>
  <si>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</si>
  <si>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</si>
  <si>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</si>
  <si>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</si>
  <si>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</si>
  <si>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</si>
  <si>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</si>
  <si>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</si>
  <si>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</si>
  <si>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</si>
  <si>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</si>
  <si>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</si>
  <si>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</si>
  <si>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</si>
  <si>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</si>
  <si>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</si>
  <si>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</si>
  <si>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</si>
  <si>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</si>
  <si>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</si>
  <si>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</si>
  <si>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</si>
  <si>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</si>
  <si>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</si>
  <si>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</si>
  <si>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</si>
  <si>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</si>
  <si>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</si>
  <si>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</si>
  <si>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</si>
  <si>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</si>
  <si>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</si>
  <si>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</si>
  <si>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</si>
  <si>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</si>
  <si>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</si>
  <si>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</si>
  <si>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</si>
  <si>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</si>
  <si>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</si>
  <si>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</si>
  <si>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</si>
  <si>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</si>
  <si>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</si>
  <si>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</si>
  <si>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</si>
  <si>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</si>
  <si>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</si>
  <si>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</si>
  <si>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</si>
  <si>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</si>
  <si>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</si>
  <si>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</si>
  <si>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</si>
  <si>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</si>
  <si>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</si>
  <si>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</si>
  <si>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</si>
  <si>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</si>
  <si>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</si>
  <si>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</si>
  <si>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</si>
  <si>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</si>
  <si>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</si>
  <si>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</si>
  <si>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</si>
  <si>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</si>
  <si>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</si>
  <si>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</si>
  <si>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</si>
  <si>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</si>
  <si>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</si>
  <si>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</si>
  <si>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</si>
  <si>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</si>
  <si>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</si>
  <si>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</si>
  <si>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</si>
  <si>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</si>
  <si>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</si>
  <si>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</si>
  <si>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</si>
  <si>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</si>
  <si>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</si>
  <si>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</si>
  <si>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</si>
  <si>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</si>
  <si>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</si>
  <si>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</si>
  <si>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</si>
  <si>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</si>
  <si>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</si>
  <si>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</si>
  <si>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</si>
  <si>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</si>
  <si>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</si>
  <si>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</si>
  <si>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</si>
  <si>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</si>
  <si>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</si>
  <si>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</si>
  <si>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</si>
  <si>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</si>
  <si>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</si>
  <si>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</si>
  <si>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</si>
  <si>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</si>
  <si>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</si>
  <si>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</si>
  <si>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</si>
  <si>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</si>
  <si>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</si>
  <si>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</si>
  <si>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</si>
  <si>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</si>
  <si>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</si>
  <si>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</si>
  <si>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</si>
  <si>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</si>
  <si>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</si>
  <si>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</si>
  <si>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</si>
  <si>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</si>
  <si>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</si>
  <si>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</si>
  <si>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</si>
  <si>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</si>
  <si>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</si>
  <si>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</si>
  <si>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</si>
  <si>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</si>
  <si>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</si>
  <si>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</si>
  <si>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</si>
  <si>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</si>
  <si>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</si>
  <si>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</si>
  <si>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</si>
  <si>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</si>
  <si>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</si>
  <si>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</si>
  <si>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</si>
  <si>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</si>
  <si>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</si>
  <si>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</si>
  <si>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</si>
  <si>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</si>
  <si>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</si>
  <si>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</si>
  <si>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</si>
  <si>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</si>
  <si>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</si>
  <si>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</si>
  <si>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</si>
  <si>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</si>
  <si>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</si>
  <si>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</si>
  <si>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</si>
  <si>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</si>
  <si>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</si>
  <si>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</si>
  <si>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</si>
  <si>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</si>
  <si>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</si>
  <si>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</si>
  <si>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</si>
  <si>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</si>
  <si>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</si>
  <si>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</si>
  <si>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</si>
  <si>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</si>
  <si>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</si>
  <si>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</si>
  <si>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</si>
  <si>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</si>
  <si>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</si>
  <si>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</si>
  <si>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</si>
  <si>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</si>
  <si>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</si>
  <si>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</si>
  <si>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</si>
  <si>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</si>
  <si>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</si>
  <si>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</si>
  <si>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</si>
  <si>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</si>
  <si>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</si>
  <si>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</si>
  <si>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</si>
  <si>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</si>
  <si>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</si>
  <si>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</si>
  <si>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</si>
  <si>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</si>
  <si>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</si>
  <si>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</si>
  <si>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</si>
  <si>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</si>
  <si>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</si>
  <si>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</si>
  <si>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</si>
  <si>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</si>
  <si>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</si>
  <si>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</si>
  <si>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</si>
  <si>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</si>
  <si>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</si>
  <si>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</si>
  <si>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</si>
  <si>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</si>
  <si>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</si>
  <si>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</si>
  <si>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</si>
  <si>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</si>
  <si>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</si>
  <si>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</si>
  <si>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</si>
  <si>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</si>
  <si>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</si>
  <si>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</si>
  <si>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</si>
  <si>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</si>
  <si>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</si>
  <si>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</si>
  <si>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</si>
  <si>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</si>
  <si>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</si>
  <si>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</si>
  <si>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</si>
  <si>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</si>
  <si>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</si>
  <si>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</si>
  <si>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</si>
  <si>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</si>
  <si>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</si>
  <si>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</si>
  <si>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</si>
  <si>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</si>
  <si>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</si>
  <si>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</si>
  <si>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</si>
  <si>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</si>
  <si>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</si>
  <si>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</si>
  <si>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</si>
  <si>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</si>
  <si>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</si>
  <si>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</si>
  <si>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</si>
  <si>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</si>
  <si>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</si>
  <si>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</si>
  <si>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</si>
  <si>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</si>
  <si>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</si>
  <si>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</si>
  <si>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</si>
  <si>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</si>
  <si>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</si>
  <si>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</si>
  <si>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</si>
  <si>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</si>
  <si>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</si>
  <si>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</si>
  <si>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</si>
  <si>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</si>
  <si>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</si>
  <si>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</si>
  <si>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</si>
  <si>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</si>
  <si>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</si>
  <si>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</si>
  <si>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</si>
  <si>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</si>
  <si>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</si>
  <si>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</si>
  <si>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</si>
  <si>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</si>
  <si>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</si>
  <si>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</si>
  <si>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</si>
  <si>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</si>
  <si>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</si>
  <si>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</si>
  <si>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</si>
  <si>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</si>
  <si>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</si>
  <si>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</si>
  <si>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</si>
  <si>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</si>
  <si>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</si>
  <si>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</si>
  <si>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</si>
  <si>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</si>
  <si>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</si>
  <si>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</si>
  <si>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</si>
  <si>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</si>
  <si>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</si>
  <si>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</si>
  <si>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</si>
  <si>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</si>
  <si>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</si>
  <si>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</si>
  <si>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</si>
  <si>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</si>
  <si>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</si>
  <si>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</si>
  <si>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</si>
  <si>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</si>
  <si>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</si>
  <si>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</si>
  <si>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</si>
  <si>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</si>
  <si>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</si>
  <si>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</si>
  <si>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</si>
  <si>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</si>
  <si>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</si>
  <si>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</si>
  <si>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</si>
  <si>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</si>
  <si>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</si>
  <si>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</si>
  <si>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</si>
  <si>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</si>
  <si>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</si>
  <si>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</si>
  <si>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</si>
  <si>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</si>
  <si>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</si>
  <si>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</si>
  <si>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</si>
  <si>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</si>
  <si>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</si>
  <si>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</si>
  <si>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</si>
  <si>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</si>
  <si>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</si>
  <si>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</si>
  <si>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</si>
  <si>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</si>
  <si>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</si>
  <si>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</si>
  <si>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</si>
  <si>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</si>
  <si>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</si>
  <si>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</si>
  <si>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</si>
  <si>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</si>
  <si>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</si>
  <si>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</si>
  <si>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</si>
  <si>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</si>
  <si>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</si>
  <si>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</si>
  <si>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</si>
  <si>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</si>
  <si>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</si>
  <si>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</si>
  <si>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</si>
  <si>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</si>
  <si>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</si>
  <si>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</si>
  <si>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</si>
  <si>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</si>
  <si>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</si>
  <si>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</si>
  <si>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</si>
  <si>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</si>
  <si>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</si>
  <si>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</si>
  <si>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</si>
  <si>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</si>
  <si>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</si>
  <si>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</si>
  <si>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</si>
  <si>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</si>
  <si>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</si>
  <si>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</si>
  <si>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</si>
  <si>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</si>
  <si>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</si>
  <si>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</si>
  <si>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</si>
  <si>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</si>
  <si>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</si>
  <si>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</si>
  <si>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</si>
  <si>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</si>
  <si>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</si>
  <si>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</si>
  <si>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</si>
  <si>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</si>
  <si>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</si>
  <si>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</si>
  <si>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</si>
  <si>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</si>
  <si>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</si>
  <si>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</si>
  <si>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</si>
  <si>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</si>
  <si>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</si>
  <si>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</si>
  <si>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</si>
  <si>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</si>
  <si>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</si>
  <si>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</si>
  <si>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</si>
  <si>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</si>
  <si>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</si>
  <si>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</si>
  <si>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</si>
  <si>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</si>
  <si>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</si>
  <si>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</si>
  <si>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</si>
  <si>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</si>
  <si>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</si>
  <si>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</si>
  <si>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</si>
  <si>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</si>
  <si>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</si>
  <si>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</si>
  <si>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</si>
  <si>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</si>
  <si>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</si>
  <si>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</si>
  <si>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</si>
  <si>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</si>
  <si>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</si>
  <si>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</si>
  <si>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</si>
  <si>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</si>
  <si>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</si>
  <si>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</si>
  <si>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</si>
  <si>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</si>
  <si>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</si>
  <si>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</si>
  <si>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</si>
  <si>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</si>
  <si>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</si>
  <si>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</si>
  <si>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</si>
  <si>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</si>
  <si>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</si>
  <si>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</si>
  <si>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5101190</t>
  </si>
  <si>
    <t>8703504</t>
  </si>
  <si>
    <t>8703036</t>
  </si>
  <si>
    <t>2601003</t>
  </si>
  <si>
    <t>2301048</t>
  </si>
  <si>
    <t>2301900</t>
  </si>
  <si>
    <t>2301046</t>
  </si>
  <si>
    <t>5101011</t>
  </si>
  <si>
    <t>5101171</t>
  </si>
  <si>
    <t>5101556</t>
  </si>
  <si>
    <t>1130495</t>
  </si>
  <si>
    <t>8205020</t>
  </si>
  <si>
    <t>5101500</t>
  </si>
  <si>
    <t>5101033</t>
  </si>
  <si>
    <t>5101852</t>
  </si>
  <si>
    <t>2103217</t>
  </si>
  <si>
    <t>2101202</t>
  </si>
  <si>
    <t>8708112</t>
  </si>
  <si>
    <t>2401100</t>
  </si>
  <si>
    <t>2401022</t>
  </si>
  <si>
    <t>8203830</t>
  </si>
  <si>
    <t>8205060</t>
  </si>
  <si>
    <t>8205018</t>
  </si>
  <si>
    <t>8701033</t>
  </si>
  <si>
    <t>8701735</t>
  </si>
  <si>
    <t>8505014</t>
  </si>
  <si>
    <t>2401584</t>
  </si>
  <si>
    <t>2101496</t>
  </si>
  <si>
    <t>8505220</t>
  </si>
  <si>
    <t>8707113</t>
  </si>
  <si>
    <t>8701093</t>
  </si>
  <si>
    <t>2220591</t>
  </si>
  <si>
    <t>8301008</t>
  </si>
  <si>
    <t>2401249</t>
  </si>
  <si>
    <t>2401103</t>
  </si>
  <si>
    <t>8517000</t>
  </si>
  <si>
    <t>8517235</t>
  </si>
  <si>
    <t>8517103</t>
  </si>
  <si>
    <t>8717033</t>
  </si>
  <si>
    <t>8708116</t>
  </si>
  <si>
    <t>8708111</t>
  </si>
  <si>
    <t>8708113</t>
  </si>
  <si>
    <t>8205050</t>
  </si>
  <si>
    <t>8701999</t>
  </si>
  <si>
    <t>8303123</t>
  </si>
  <si>
    <t>8303129</t>
  </si>
  <si>
    <t>2101300</t>
  </si>
  <si>
    <t>2101110</t>
  </si>
  <si>
    <t>5101391</t>
  </si>
  <si>
    <t>5101445</t>
  </si>
  <si>
    <t>5101210</t>
  </si>
  <si>
    <t>5101342</t>
  </si>
  <si>
    <t>5101220</t>
  </si>
  <si>
    <t>2301666</t>
  </si>
  <si>
    <t>8205010</t>
  </si>
  <si>
    <t>1407093</t>
  </si>
  <si>
    <t>2103069</t>
  </si>
  <si>
    <t>8203265</t>
  </si>
  <si>
    <t>8305000</t>
  </si>
  <si>
    <t>8305006</t>
  </si>
  <si>
    <t>8701090</t>
  </si>
  <si>
    <t>8701092</t>
  </si>
  <si>
    <t>5101125</t>
  </si>
  <si>
    <t>5101924</t>
  </si>
  <si>
    <t>5101105</t>
  </si>
  <si>
    <t>2220100</t>
  </si>
  <si>
    <t>5101195</t>
  </si>
  <si>
    <t>5101191</t>
  </si>
  <si>
    <t>5101186</t>
  </si>
  <si>
    <t>5101196</t>
  </si>
  <si>
    <t>5101106</t>
  </si>
  <si>
    <t>5101170</t>
  </si>
  <si>
    <t>5101850</t>
  </si>
  <si>
    <t>2601004</t>
  </si>
  <si>
    <t>2601750</t>
  </si>
  <si>
    <t>8703925</t>
  </si>
  <si>
    <t>8703926</t>
  </si>
  <si>
    <t>4130771</t>
  </si>
  <si>
    <t>2301777</t>
  </si>
  <si>
    <t>2301333</t>
  </si>
  <si>
    <t>2301888</t>
  </si>
  <si>
    <t>2301300</t>
  </si>
  <si>
    <t>8301000</t>
  </si>
  <si>
    <t>5101750</t>
  </si>
  <si>
    <t>2101901</t>
  </si>
  <si>
    <t>2101751</t>
  </si>
  <si>
    <t>8307810</t>
  </si>
  <si>
    <t>8517901</t>
  </si>
  <si>
    <t>8517902</t>
  </si>
  <si>
    <t>2301158</t>
  </si>
  <si>
    <t>5101108</t>
  </si>
  <si>
    <t>8303130</t>
  </si>
  <si>
    <t>8205118</t>
  </si>
  <si>
    <t>8205041</t>
  </si>
  <si>
    <t>2401298</t>
  </si>
  <si>
    <t>2103068</t>
  </si>
  <si>
    <t>2101000</t>
  </si>
  <si>
    <t>5101083</t>
  </si>
  <si>
    <t>8705233</t>
  </si>
  <si>
    <t>8703038</t>
  </si>
  <si>
    <t>5101088</t>
  </si>
  <si>
    <t>5101912</t>
  </si>
  <si>
    <t>8303120</t>
  </si>
  <si>
    <t>1130009</t>
  </si>
  <si>
    <t>1130008</t>
  </si>
  <si>
    <t>2220292</t>
  </si>
  <si>
    <t>2220004</t>
  </si>
  <si>
    <t>2220333</t>
  </si>
  <si>
    <t>2220444</t>
  </si>
  <si>
    <t>2220750</t>
  </si>
  <si>
    <t>5101046</t>
  </si>
  <si>
    <t>5101009</t>
  </si>
  <si>
    <t>5101915</t>
  </si>
  <si>
    <t>5101902</t>
  </si>
  <si>
    <t>5101917</t>
  </si>
  <si>
    <t>5101140</t>
  </si>
  <si>
    <t>8701542</t>
  </si>
  <si>
    <t>8305002</t>
  </si>
  <si>
    <t>5101230</t>
  </si>
  <si>
    <t>1120330</t>
  </si>
  <si>
    <t>5101001</t>
  </si>
  <si>
    <t>5102001</t>
  </si>
  <si>
    <t>8708300</t>
  </si>
  <si>
    <t>8205119</t>
  </si>
  <si>
    <t>2220601</t>
  </si>
  <si>
    <t>4120496</t>
  </si>
  <si>
    <t>2220456</t>
  </si>
  <si>
    <t>2601495</t>
  </si>
  <si>
    <t>8708301</t>
  </si>
  <si>
    <t>2601900</t>
  </si>
  <si>
    <t>8301558</t>
  </si>
  <si>
    <t>8205016</t>
  </si>
  <si>
    <t>8205051</t>
  </si>
  <si>
    <t>2103495</t>
  </si>
  <si>
    <t>8205881</t>
  </si>
  <si>
    <t>5101109</t>
  </si>
  <si>
    <t>5101104</t>
  </si>
  <si>
    <t>5101565</t>
  </si>
  <si>
    <t>5101569</t>
  </si>
  <si>
    <t>8205080</t>
  </si>
  <si>
    <t>5101563</t>
  </si>
  <si>
    <t>2101500</t>
  </si>
  <si>
    <t>2220030</t>
  </si>
  <si>
    <t>2220034</t>
  </si>
  <si>
    <t>2220037</t>
  </si>
  <si>
    <t>2220032</t>
  </si>
  <si>
    <t>9003100</t>
  </si>
  <si>
    <t>9003101</t>
  </si>
  <si>
    <t>8205120</t>
  </si>
  <si>
    <t>8301805</t>
  </si>
  <si>
    <t>5101090</t>
  </si>
  <si>
    <t>5101093</t>
  </si>
  <si>
    <t>2103500</t>
  </si>
  <si>
    <t>5101050</t>
  </si>
  <si>
    <t>8517905</t>
  </si>
  <si>
    <t>5101666</t>
  </si>
  <si>
    <t>8205090</t>
  </si>
  <si>
    <t>8205040</t>
  </si>
  <si>
    <t>2230600</t>
  </si>
  <si>
    <t>8517900</t>
  </si>
  <si>
    <t>8708100</t>
  </si>
  <si>
    <t>04</t>
  </si>
  <si>
    <t>06</t>
  </si>
  <si>
    <t>09</t>
  </si>
  <si>
    <t>21</t>
  </si>
  <si>
    <t>7703660</t>
  </si>
  <si>
    <t>18</t>
  </si>
  <si>
    <t>8708117</t>
  </si>
  <si>
    <t>13</t>
  </si>
  <si>
    <t>8708121</t>
  </si>
  <si>
    <t>8707552</t>
  </si>
  <si>
    <t>8708054</t>
  </si>
  <si>
    <t>8708227</t>
  </si>
  <si>
    <t>8708637</t>
  </si>
  <si>
    <t>03</t>
  </si>
  <si>
    <t>8701038</t>
  </si>
  <si>
    <t>8708601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</si>
  <si>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</si>
  <si>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</si>
  <si>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</si>
  <si>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</si>
  <si>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</si>
  <si>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</si>
  <si>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</si>
  <si>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</si>
  <si>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</si>
  <si>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</si>
  <si>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</si>
  <si>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</si>
  <si>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8708815</t>
  </si>
  <si>
    <t>8701576</t>
  </si>
  <si>
    <t>8708603</t>
  </si>
  <si>
    <t>8708607</t>
  </si>
  <si>
    <t>8708608</t>
  </si>
  <si>
    <t>8708609</t>
  </si>
  <si>
    <t>8708610</t>
  </si>
  <si>
    <t>8708618</t>
  </si>
  <si>
    <t>8708620</t>
  </si>
  <si>
    <t>8708625</t>
  </si>
  <si>
    <t>8708628</t>
  </si>
  <si>
    <t>8708634</t>
  </si>
  <si>
    <t>8708643</t>
  </si>
  <si>
    <t>8708550</t>
  </si>
  <si>
    <t>8708899</t>
  </si>
  <si>
    <t>8708604</t>
  </si>
  <si>
    <t>8518014</t>
  </si>
  <si>
    <t>8708639</t>
  </si>
  <si>
    <t>8708644</t>
  </si>
  <si>
    <t>8303523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</si>
  <si>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</si>
  <si>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</si>
  <si>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</si>
  <si>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</si>
  <si>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</si>
  <si>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</si>
  <si>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</si>
  <si>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</si>
  <si>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</si>
  <si>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</si>
  <si>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http://localhost:8080/rerda_2/imagenes/1120858/1.jpg,http://localhost:8080/rerda_2/imagenes/1120858/2.jpg,http://localhost:8080/rerda_2/imagenes/1120858/3.jpg,http://localhost:8080/rerda_2/imagenes/1120858/4.jpg,http://localhost:8080/rerda_2/imagenes/1120858/tabla.jpg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</si>
  <si>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</si>
  <si>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</si>
  <si>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</si>
  <si>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</si>
  <si>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http://localhost:8080/rerda_2/imagenes/8203830/1.jpg,http://localhost:8080/rerda_2/imagenes/8203830/2.jpg,http://localhost:8080/rerda_2/imagenes/8203830/3.jpg,http://localhost:8080/rerda_2/imagenes/8203830/tabla.jpg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</si>
  <si>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</si>
  <si>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http://localhost:8080/rerda_2/imagenes/8701735/1.jpg,http://localhost:8080/rerda_2/imagenes/8701735/2.jpg,http://localhost:8080/rerda_2/imagenes/8701735/3.jpg</t>
  </si>
  <si>
    <t>http://localhost:8080/rerda_2/imagenes/1120106/1.jpg,http://localhost:8080/rerda_2/imagenes/1120106/2.jpg,http://localhost:8080/rerda_2/imagenes/1120106/3.jpg,http://localhost:8080/rerda_2/imagenes/1120106/4.jpg,http://localhost:8080/rerda_2/imagenes/1120106/5.jpg,http://localhost:8080/rerda_2/imagenes/1120106/6.jpg,http://localhost:8080/rerda_2/imagenes/1120106/7.jpg,http://localhost:8080/rerda_2/imagenes/1120106/8.jpg,http://localhost:8080/rerda_2/imagenes/1120106/9.jpg,http://localhost:8080/rerda_2/imagenes/1120106/tabla.jpg</t>
  </si>
  <si>
    <t>http://localhost:8080/rerda_2/imagenes/8301008/1.jpg,http://localhost:8080/rerda_2/imagenes/8301008/2.jpg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</si>
  <si>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</si>
  <si>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</si>
  <si>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</si>
  <si>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</si>
  <si>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</si>
  <si>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</si>
  <si>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</si>
  <si>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http://localhost:8080/rerda_2/imagenes/1120856/1.jpg,http://localhost:8080/rerda_2/imagenes/1120856/2.jpg,http://localhost:8080/rerda_2/imagenes/1120856/3.jpg,http://localhost:8080/rerda_2/imagenes/1120856/4.jpg,http://localhost:8080/rerda_2/imagenes/1120856/tabla.jpg</t>
  </si>
  <si>
    <t>http://localhost:8080/rerda_2/imagenes/1120003/1.jpg,http://localhost:8080/rerda_2/imagenes/1120003/2.jpg,http://localhost:8080/rerda_2/imagenes/1120003/3.jpg,http://localhost:8080/rerda_2/imagenes/1120003/4.jpg,http://localhost:8080/rerda_2/imagenes/1120003/5.jpg,http://localhost:8080/rerda_2/imagenes/1120003/6.jpg,http://localhost:8080/rerda_2/imagenes/1120003/7.jpg,http://localhost:8080/rerda_2/imagenes/1120003/8.jpg,http://localhost:8080/rerda_2/imagenes/1120003/9.jpg,http://localhost:8080/rerda_2/imagenes/1120003/tabla.jpg</t>
  </si>
  <si>
    <t>http://localhost:8080/rerda_2/imagenes/1120206/1.jpg,http://localhost:8080/rerda_2/imagenes/1120206/2.jpg,http://localhost:8080/rerda_2/imagenes/1120206/3.jpg,http://localhost:8080/rerda_2/imagenes/1120206/4.jpg,http://localhost:8080/rerda_2/imagenes/1120206/5.jpg,http://localhost:8080/rerda_2/imagenes/1120206/6.jpg,http://localhost:8080/rerda_2/imagenes/1120206/7.jpg,http://localhost:8080/rerda_2/imagenes/1120206/8.jpg,http://localhost:8080/rerda_2/imagenes/1120206/9.jpg,http://localhost:8080/rerda_2/imagenes/1120206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</si>
  <si>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</si>
  <si>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</si>
  <si>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</si>
  <si>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</si>
  <si>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</si>
  <si>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</si>
  <si>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http://localhost:8080/rerda_2/imagenes/8301000/1.jpg,http://localhost:8080/rerda_2/imagenes/8301000/2.jpg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</si>
  <si>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</si>
  <si>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</si>
  <si>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</si>
  <si>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</si>
  <si>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</si>
  <si>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</si>
  <si>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</si>
  <si>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</si>
  <si>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</si>
  <si>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</si>
  <si>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</si>
  <si>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</si>
  <si>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</si>
  <si>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http://localhost:8080/rerda_2/imagenes/8301558/1.jpg,http://localhost:8080/rerda_2/imagenes/8301558/2.jpg,http://localhost:8080/rerda_2/imagenes/8301558/3.jpg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</si>
  <si>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</si>
  <si>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</si>
  <si>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http://localhost:8080/rerda_2/imagenes/1120445/1.jpg,http://localhost:8080/rerda_2/imagenes/1120445/2.jpg,http://localhost:8080/rerda_2/imagenes/1120445/3.jpg,http://localhost:8080/rerda_2/imagenes/1120445/4.jpg,http://localhost:8080/rerda_2/imagenes/1120445/tabla.jpg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</si>
  <si>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</si>
  <si>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</si>
  <si>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</si>
  <si>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</si>
  <si>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</si>
  <si>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</si>
  <si>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http://localhost:8080/rerda_2/imagenes/8205120/1.jpg,http://localhost:8080/rerda_2/imagenes/8205120/2.jpg,http://localhost:8080/rerda_2/imagenes/8205120/tabla.jpg</t>
  </si>
  <si>
    <t>http://localhost:8080/rerda_2/imagenes/8301805/1.jpg,http://localhost:8080/rerda_2/imagenes/8301805/2.jpg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</si>
  <si>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</si>
  <si>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</si>
  <si>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</si>
  <si>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</si>
  <si>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</si>
  <si>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</si>
  <si>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http://localhost:8080/rerda_2/imagenes/1120623/1.jpg,http://localhost:8080/rerda_2/imagenes/1120623/2.jpg,http://localhost:8080/rerda_2/imagenes/1120623/3.jpg,http://localhost:8080/rerda_2/imagenes/1120623/4.jpg,http://localhost:8080/rerda_2/imagenes/1120623/tabla.jpg</t>
  </si>
  <si>
    <t>http://localhost:8080/rerda_2/imagenes/8703601/1.jpg,http://localhost:8080/rerda_2/imagenes/8703601/2.jpg,http://localhost:8080/rerda_2/imagenes/8703601/3.jpg,http://localhost:8080/rerda_2/imagenes/8703601/4.jpg,http://localhost:8080/rerda_2/imagenes/8703601/5.jpg,http://localhost:8080/rerda_2/imagenes/8703601/6.jpg,http://localhost:8080/rerda_2/imagenes/8703601/7.jpg,http://localhost:8080/rerda_2/imagenes/8703601/8.jpg,http://localhost:8080/rerda_2/imagenes/8703601/9.jpg,http://localhost:8080/rerda_2/imagenes/8703601/10.jpg,http://localhost:8080/rerda_2/imagenes/8703601/11.jpg,http://localhost:8080/rerda_2/imagenes/8703601/12.jpg</t>
  </si>
  <si>
    <t>http://localhost:8080/rerda_2/imagenes/7709517/1.jpg,http://localhost:8080/rerda_2/imagenes/7709517/2.jpg,http://localhost:8080/rerda_2/imagenes/7709517/3.jpg,http://localhost:8080/rerda_2/imagenes/7709517/4.jpg,http://localhost:8080/rerda_2/imagenes/7709517/5.jpg</t>
  </si>
  <si>
    <t>http://localhost:8080/rerda_2/imagenes/8708100/041.jpg</t>
  </si>
  <si>
    <t>http://localhost:8080/rerda_2/imagenes/8708100/061.jpg</t>
  </si>
  <si>
    <t>http://localhost:8080/rerda_2/imagenes/8708100/091.jpg</t>
  </si>
  <si>
    <t>http://localhost:8080/rerda_2/imagenes/8708100/211.jpg</t>
  </si>
  <si>
    <t>http://localhost:8080/rerda_2/imagenes/7703660/181.jpg</t>
  </si>
  <si>
    <t>http://localhost:8080/rerda_2/imagenes/7703660/091.jpg</t>
  </si>
  <si>
    <t>http://localhost:8080/rerda_2/imagenes/8708117/041.jpg</t>
  </si>
  <si>
    <t>http://localhost:8080/rerda_2/imagenes/8708117/091.jpg</t>
  </si>
  <si>
    <t>http://localhost:8080/rerda_2/imagenes/8708117/131.jpg</t>
  </si>
  <si>
    <t>http://localhost:8080/rerda_2/imagenes/8708121/041.jpg</t>
  </si>
  <si>
    <t>http://localhost:8080/rerda_2/imagenes/8708121/061.jpg</t>
  </si>
  <si>
    <t>http://localhost:8080/rerda_2/imagenes/8708121/091.jpg</t>
  </si>
  <si>
    <t>http://localhost:8080/rerda_2/imagenes/8708121/131.jpg</t>
  </si>
  <si>
    <t>http://localhost:8080/rerda_2/imagenes/8708121/181.jpg</t>
  </si>
  <si>
    <t>http://localhost:8080/rerda_2/imagenes/8707552/061.jpg</t>
  </si>
  <si>
    <t>http://localhost:8080/rerda_2/imagenes/8707552/091.jpg</t>
  </si>
  <si>
    <t>http://localhost:8080/rerda_2/imagenes/8707552/131.jpg</t>
  </si>
  <si>
    <t>http://localhost:8080/rerda_2/imagenes/8708054/041.jpg</t>
  </si>
  <si>
    <t>http://localhost:8080/rerda_2/imagenes/8708054/061.jpg</t>
  </si>
  <si>
    <t>http://localhost:8080/rerda_2/imagenes/8708054/091.jpg</t>
  </si>
  <si>
    <t>http://localhost:8080/rerda_2/imagenes/8708054/131.jpg</t>
  </si>
  <si>
    <t>http://localhost:8080/rerda_2/imagenes/8708054/181.jpg</t>
  </si>
  <si>
    <t>http://localhost:8080/rerda_2/imagenes/8708227/041.jpg</t>
  </si>
  <si>
    <t>http://localhost:8080/rerda_2/imagenes/8708227/061.jpg</t>
  </si>
  <si>
    <t>http://localhost:8080/rerda_2/imagenes/8708227/091.jpg</t>
  </si>
  <si>
    <t>http://localhost:8080/rerda_2/imagenes/8708227/131.jpg</t>
  </si>
  <si>
    <t>http://localhost:8080/rerda_2/imagenes/8708227/181.jpg</t>
  </si>
  <si>
    <t>http://localhost:8080/rerda_2/imagenes/8708637/031.jpg</t>
  </si>
  <si>
    <t>http://localhost:8080/rerda_2/imagenes/8708637/091.jpg</t>
  </si>
  <si>
    <t>http://localhost:8080/rerda_2/imagenes/8701038/061.jpg</t>
  </si>
  <si>
    <t>http://localhost:8080/rerda_2/imagenes/8701038/091.jpg</t>
  </si>
  <si>
    <t>http://localhost:8080/rerda_2/imagenes/8708601/011.jpg</t>
  </si>
  <si>
    <t>http://localhost:8080/rerda_2/imagenes/8708601/021.jpg</t>
  </si>
  <si>
    <t>http://localhost:8080/rerda_2/imagenes/8708601/031.jpg</t>
  </si>
  <si>
    <t>http://localhost:8080/rerda_2/imagenes/8708601/041.jpg</t>
  </si>
  <si>
    <t>http://localhost:8080/rerda_2/imagenes/8708601/051.jpg</t>
  </si>
  <si>
    <t>http://localhost:8080/rerda_2/imagenes/8708601/061.jpg</t>
  </si>
  <si>
    <t>http://localhost:8080/rerda_2/imagenes/8708601/071.jpg</t>
  </si>
  <si>
    <t>http://localhost:8080/rerda_2/imagenes/8708601/081.jpg</t>
  </si>
  <si>
    <t>http://localhost:8080/rerda_2/imagenes/8708601/091.jpg</t>
  </si>
  <si>
    <t>http://localhost:8080/rerda_2/imagenes/8708601/101.jpg</t>
  </si>
  <si>
    <t>http://localhost:8080/rerda_2/imagenes/8708601/111.jpg</t>
  </si>
  <si>
    <t>http://localhost:8080/rerda_2/imagenes/8708601/121.jpg</t>
  </si>
  <si>
    <t>http://localhost:8080/rerda_2/imagenes/8708601/131.jpg</t>
  </si>
  <si>
    <t>http://localhost:8080/rerda_2/imagenes/8708601/141.jpg</t>
  </si>
  <si>
    <t>http://localhost:8080/rerda_2/imagenes/8708601/151.jpg</t>
  </si>
  <si>
    <t>http://localhost:8080/rerda_2/imagenes/8708601/161.jpg</t>
  </si>
  <si>
    <t>http://localhost:8080/rerda_2/imagenes/8708601/171.jpg</t>
  </si>
  <si>
    <t>http://localhost:8080/rerda_2/imagenes/8708815/011.jpg</t>
  </si>
  <si>
    <t>http://localhost:8080/rerda_2/imagenes/8708815/031.jpg</t>
  </si>
  <si>
    <t>http://localhost:8080/rerda_2/imagenes/8708815/041.jpg</t>
  </si>
  <si>
    <t>http://localhost:8080/rerda_2/imagenes/8708815/061.jpg</t>
  </si>
  <si>
    <t>http://localhost:8080/rerda_2/imagenes/8708815/081.jpg</t>
  </si>
  <si>
    <t>http://localhost:8080/rerda_2/imagenes/8708815/091.jpg</t>
  </si>
  <si>
    <t>http://localhost:8080/rerda_2/imagenes/8708815/101.jpg</t>
  </si>
  <si>
    <t>http://localhost:8080/rerda_2/imagenes/8708815/111.jpg</t>
  </si>
  <si>
    <t>http://localhost:8080/rerda_2/imagenes/8701576/031.jpg</t>
  </si>
  <si>
    <t>http://localhost:8080/rerda_2/imagenes/8701576/091.jpg</t>
  </si>
  <si>
    <t>http://localhost:8080/rerda_2/imagenes/8701576/061.jpg</t>
  </si>
  <si>
    <t>http://localhost:8080/rerda_2/imagenes/8708603/031.jpg</t>
  </si>
  <si>
    <t>http://localhost:8080/rerda_2/imagenes/8708603/051.jpg</t>
  </si>
  <si>
    <t>http://localhost:8080/rerda_2/imagenes/8708603/061.jpg</t>
  </si>
  <si>
    <t>http://localhost:8080/rerda_2/imagenes/8708603/071.jpg</t>
  </si>
  <si>
    <t>http://localhost:8080/rerda_2/imagenes/8708603/081.jpg</t>
  </si>
  <si>
    <t>http://localhost:8080/rerda_2/imagenes/8708603/091.jpg</t>
  </si>
  <si>
    <t>http://localhost:8080/rerda_2/imagenes/8708603/101.jpg</t>
  </si>
  <si>
    <t>http://localhost:8080/rerda_2/imagenes/8708603/111.jpg</t>
  </si>
  <si>
    <t>http://localhost:8080/rerda_2/imagenes/8708603/151.jpg</t>
  </si>
  <si>
    <t>http://localhost:8080/rerda_2/imagenes/8708603/161.jpg</t>
  </si>
  <si>
    <t>http://localhost:8080/rerda_2/imagenes/8708603/171.jpg</t>
  </si>
  <si>
    <t>http://localhost:8080/rerda_2/imagenes/8708607/011.jpg</t>
  </si>
  <si>
    <t>http://localhost:8080/rerda_2/imagenes/8708607/031.jpg</t>
  </si>
  <si>
    <t>http://localhost:8080/rerda_2/imagenes/8708607/041.jpg</t>
  </si>
  <si>
    <t>http://localhost:8080/rerda_2/imagenes/8708607/051.jpg</t>
  </si>
  <si>
    <t>http://localhost:8080/rerda_2/imagenes/8708607/061.jpg</t>
  </si>
  <si>
    <t>http://localhost:8080/rerda_2/imagenes/8708607/071.jpg</t>
  </si>
  <si>
    <t>http://localhost:8080/rerda_2/imagenes/8708607/081.jpg</t>
  </si>
  <si>
    <t>http://localhost:8080/rerda_2/imagenes/8708607/091.jpg</t>
  </si>
  <si>
    <t>http://localhost:8080/rerda_2/imagenes/8708607/101.jpg</t>
  </si>
  <si>
    <t>http://localhost:8080/rerda_2/imagenes/8708607/111.jpg</t>
  </si>
  <si>
    <t>http://localhost:8080/rerda_2/imagenes/8708608/011.jpg</t>
  </si>
  <si>
    <t>http://localhost:8080/rerda_2/imagenes/8708608/021.jpg</t>
  </si>
  <si>
    <t>http://localhost:8080/rerda_2/imagenes/8708608/031.jpg</t>
  </si>
  <si>
    <t>http://localhost:8080/rerda_2/imagenes/8708608/041.jpg</t>
  </si>
  <si>
    <t>http://localhost:8080/rerda_2/imagenes/8708608/051.jpg</t>
  </si>
  <si>
    <t>http://localhost:8080/rerda_2/imagenes/8708608/061.jpg</t>
  </si>
  <si>
    <t>http://localhost:8080/rerda_2/imagenes/8708608/071.jpg</t>
  </si>
  <si>
    <t>http://localhost:8080/rerda_2/imagenes/8708608/081.jpg</t>
  </si>
  <si>
    <t>http://localhost:8080/rerda_2/imagenes/8708608/091.jpg</t>
  </si>
  <si>
    <t>http://localhost:8080/rerda_2/imagenes/8708608/101.jpg</t>
  </si>
  <si>
    <t>http://localhost:8080/rerda_2/imagenes/8708608/111.jpg</t>
  </si>
  <si>
    <t>http://localhost:8080/rerda_2/imagenes/8708608/121.jpg</t>
  </si>
  <si>
    <t>http://localhost:8080/rerda_2/imagenes/8708608/141.jpg</t>
  </si>
  <si>
    <t>http://localhost:8080/rerda_2/imagenes/8708608/151.jpg</t>
  </si>
  <si>
    <t>http://localhost:8080/rerda_2/imagenes/8708609/031.jpg</t>
  </si>
  <si>
    <t>http://localhost:8080/rerda_2/imagenes/8708609/051.jpg</t>
  </si>
  <si>
    <t>http://localhost:8080/rerda_2/imagenes/8708609/071.jpg</t>
  </si>
  <si>
    <t>http://localhost:8080/rerda_2/imagenes/8708609/081.jpg</t>
  </si>
  <si>
    <t>http://localhost:8080/rerda_2/imagenes/8708609/091.jpg</t>
  </si>
  <si>
    <t>http://localhost:8080/rerda_2/imagenes/8708609/111.jpg</t>
  </si>
  <si>
    <t>http://localhost:8080/rerda_2/imagenes/8708610/031.jpg</t>
  </si>
  <si>
    <t>http://localhost:8080/rerda_2/imagenes/8708610/041.jpg</t>
  </si>
  <si>
    <t>http://localhost:8080/rerda_2/imagenes/8708610/051.jpg</t>
  </si>
  <si>
    <t>http://localhost:8080/rerda_2/imagenes/8708610/061.jpg</t>
  </si>
  <si>
    <t>http://localhost:8080/rerda_2/imagenes/8708610/071.jpg</t>
  </si>
  <si>
    <t>http://localhost:8080/rerda_2/imagenes/8708610/081.jpg</t>
  </si>
  <si>
    <t>http://localhost:8080/rerda_2/imagenes/8708610/091.jpg</t>
  </si>
  <si>
    <t>http://localhost:8080/rerda_2/imagenes/8708610/101.jpg</t>
  </si>
  <si>
    <t>http://localhost:8080/rerda_2/imagenes/8708610/111.jpg</t>
  </si>
  <si>
    <t>http://localhost:8080/rerda_2/imagenes/8708618/031.jpg</t>
  </si>
  <si>
    <t>http://localhost:8080/rerda_2/imagenes/8708618/041.jpg</t>
  </si>
  <si>
    <t>http://localhost:8080/rerda_2/imagenes/8708618/051.jpg</t>
  </si>
  <si>
    <t>http://localhost:8080/rerda_2/imagenes/8708618/061.jpg</t>
  </si>
  <si>
    <t>http://localhost:8080/rerda_2/imagenes/8708618/071.jpg</t>
  </si>
  <si>
    <t>http://localhost:8080/rerda_2/imagenes/8708618/081.jpg</t>
  </si>
  <si>
    <t>http://localhost:8080/rerda_2/imagenes/8708618/091.jpg</t>
  </si>
  <si>
    <t>http://localhost:8080/rerda_2/imagenes/8708618/111.jpg</t>
  </si>
  <si>
    <t>http://localhost:8080/rerda_2/imagenes/8708618/101.jpg</t>
  </si>
  <si>
    <t>http://localhost:8080/rerda_2/imagenes/8708620/031.jpg</t>
  </si>
  <si>
    <t>http://localhost:8080/rerda_2/imagenes/8708620/041.jpg</t>
  </si>
  <si>
    <t>http://localhost:8080/rerda_2/imagenes/8708620/051.jpg</t>
  </si>
  <si>
    <t>http://localhost:8080/rerda_2/imagenes/8708620/061.jpg</t>
  </si>
  <si>
    <t>http://localhost:8080/rerda_2/imagenes/8708620/071.jpg</t>
  </si>
  <si>
    <t>http://localhost:8080/rerda_2/imagenes/8708620/081.jpg</t>
  </si>
  <si>
    <t>http://localhost:8080/rerda_2/imagenes/8708620/091.jpg</t>
  </si>
  <si>
    <t>http://localhost:8080/rerda_2/imagenes/8708620/101.jpg</t>
  </si>
  <si>
    <t>http://localhost:8080/rerda_2/imagenes/8708620/111.jpg</t>
  </si>
  <si>
    <t>http://localhost:8080/rerda_2/imagenes/8708625/031.jpg</t>
  </si>
  <si>
    <t>http://localhost:8080/rerda_2/imagenes/8708625/061.jpg</t>
  </si>
  <si>
    <t>http://localhost:8080/rerda_2/imagenes/8708625/071.jpg</t>
  </si>
  <si>
    <t>http://localhost:8080/rerda_2/imagenes/8708625/081.jpg</t>
  </si>
  <si>
    <t>http://localhost:8080/rerda_2/imagenes/8708625/091.jpg</t>
  </si>
  <si>
    <t>http://localhost:8080/rerda_2/imagenes/8708628/061.jpg</t>
  </si>
  <si>
    <t>http://localhost:8080/rerda_2/imagenes/8708628/071.jpg</t>
  </si>
  <si>
    <t>http://localhost:8080/rerda_2/imagenes/8708634/031.jpg</t>
  </si>
  <si>
    <t>http://localhost:8080/rerda_2/imagenes/8708634/091.jpg</t>
  </si>
  <si>
    <t>http://localhost:8080/rerda_2/imagenes/8708643/031.jpg</t>
  </si>
  <si>
    <t>http://localhost:8080/rerda_2/imagenes/8708643/061.jpg</t>
  </si>
  <si>
    <t>http://localhost:8080/rerda_2/imagenes/8708643/071.jpg</t>
  </si>
  <si>
    <t>http://localhost:8080/rerda_2/imagenes/8708643/091.jpg</t>
  </si>
  <si>
    <t>http://localhost:8080/rerda_2/imagenes/8708550/031.jpg</t>
  </si>
  <si>
    <t>http://localhost:8080/rerda_2/imagenes/8708550/041.jpg</t>
  </si>
  <si>
    <t>http://localhost:8080/rerda_2/imagenes/8708550/061.jpg</t>
  </si>
  <si>
    <t>http://localhost:8080/rerda_2/imagenes/8708550/071.jpg</t>
  </si>
  <si>
    <t>http://localhost:8080/rerda_2/imagenes/8708550/081.jpg</t>
  </si>
  <si>
    <t>http://localhost:8080/rerda_2/imagenes/8708550/091.jpg</t>
  </si>
  <si>
    <t>http://localhost:8080/rerda_2/imagenes/8708550/101.jpg</t>
  </si>
  <si>
    <t>http://localhost:8080/rerda_2/imagenes/8708899/031.jpg</t>
  </si>
  <si>
    <t>http://localhost:8080/rerda_2/imagenes/8708899/061.jpg</t>
  </si>
  <si>
    <t>http://localhost:8080/rerda_2/imagenes/8708899/091.jpg</t>
  </si>
  <si>
    <t>http://localhost:8080/rerda_2/imagenes/8708604/011.jpg</t>
  </si>
  <si>
    <t>http://localhost:8080/rerda_2/imagenes/8708604/021.jpg</t>
  </si>
  <si>
    <t>http://localhost:8080/rerda_2/imagenes/8708604/031.jpg</t>
  </si>
  <si>
    <t>http://localhost:8080/rerda_2/imagenes/8708604/041.jpg</t>
  </si>
  <si>
    <t>http://localhost:8080/rerda_2/imagenes/8708604/051.jpg</t>
  </si>
  <si>
    <t>http://localhost:8080/rerda_2/imagenes/8708604/061.jpg</t>
  </si>
  <si>
    <t>http://localhost:8080/rerda_2/imagenes/8708604/071.jpg</t>
  </si>
  <si>
    <t>http://localhost:8080/rerda_2/imagenes/8708604/081.jpg</t>
  </si>
  <si>
    <t>http://localhost:8080/rerda_2/imagenes/8708604/091.jpg</t>
  </si>
  <si>
    <t>http://localhost:8080/rerda_2/imagenes/8708604/111.jpg</t>
  </si>
  <si>
    <t>http://localhost:8080/rerda_2/imagenes/8518014/031.jpg</t>
  </si>
  <si>
    <t>http://localhost:8080/rerda_2/imagenes/8518014/091.jpg</t>
  </si>
  <si>
    <t>http://localhost:8080/rerda_2/imagenes/8518014/061.jpg</t>
  </si>
  <si>
    <t>http://localhost:8080/rerda_2/imagenes/8708639/031.jpg</t>
  </si>
  <si>
    <t>http://localhost:8080/rerda_2/imagenes/8708639/061.jpg</t>
  </si>
  <si>
    <t>http://localhost:8080/rerda_2/imagenes/8708639/091.jpg</t>
  </si>
  <si>
    <t>http://localhost:8080/rerda_2/imagenes/8708644/031.jpg</t>
  </si>
  <si>
    <t>http://localhost:8080/rerda_2/imagenes/8708644/061.jpg</t>
  </si>
  <si>
    <t>http://localhost:8080/rerda_2/imagenes/8708644/091.jpg</t>
  </si>
  <si>
    <t>http://localhost:8080/rerda_2/imagenes/8303523/041.jpg</t>
  </si>
  <si>
    <t>http://localhost:8080/rerda_2/imagenes/8303523/061.jpg</t>
  </si>
  <si>
    <t>http://localhost:8080/rerda_2/imagenes/8303523/081.jpg</t>
  </si>
  <si>
    <t>http://localhost:8080/rerda_2/imagenes/8303523/091.jpg</t>
  </si>
  <si>
    <t>http://localhost:8080/rerda_2/imagenes/8303523/131.jpg</t>
  </si>
  <si>
    <t>http://localhost:8080/rerda_2/imagenes/8303523/211.jpg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</si>
</sst>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18" fillId="0" borderId="0" xfId="42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opLeftCell="B1" workbookViewId="0">
      <pane ySplit="1" topLeftCell="A3236" activePane="bottomLeft" state="frozen"/>
      <selection pane="bottomLeft" activeCell="D3365" sqref="D3365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38.285156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65" si="0"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6906</v>
      </c>
      <c r="E3" t="s">
        <v>9</v>
      </c>
      <c r="F3" t="str">
        <f t="shared" si="0"/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 t="shared" ref="D4:D67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14661</v>
      </c>
      <c r="B11" t="s">
        <v>7</v>
      </c>
      <c r="C11" t="s">
        <v>25</v>
      </c>
      <c r="D11" t="str">
        <f t="shared" si="1"/>
        <v/>
      </c>
      <c r="E11" t="s">
        <v>26</v>
      </c>
      <c r="F11" t="str">
        <f t="shared" si="0"/>
        <v>5101190</v>
      </c>
      <c r="H11">
        <v>4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1"/>
        <v/>
      </c>
      <c r="E12" t="s">
        <v>28</v>
      </c>
      <c r="F12" t="str">
        <f t="shared" si="0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1"/>
        <v/>
      </c>
      <c r="E13" t="s">
        <v>30</v>
      </c>
      <c r="F13" t="str">
        <f t="shared" si="0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1"/>
        <v/>
      </c>
      <c r="E14" t="s">
        <v>32</v>
      </c>
      <c r="F14" t="str">
        <f t="shared" si="0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1"/>
        <v/>
      </c>
      <c r="E15" t="s">
        <v>34</v>
      </c>
      <c r="F15" t="str">
        <f t="shared" si="0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1"/>
        <v/>
      </c>
      <c r="E16" t="s">
        <v>36</v>
      </c>
      <c r="F16" t="str">
        <f t="shared" si="0"/>
        <v>5101190</v>
      </c>
    </row>
    <row r="17" spans="1:9" hidden="1" x14ac:dyDescent="0.25">
      <c r="A17">
        <v>14671</v>
      </c>
      <c r="B17" t="s">
        <v>10</v>
      </c>
      <c r="C17" t="s">
        <v>37</v>
      </c>
      <c r="D17" t="str">
        <f t="shared" si="1"/>
        <v/>
      </c>
      <c r="E17" t="s">
        <v>38</v>
      </c>
      <c r="F17" t="str">
        <f t="shared" si="0"/>
        <v>5101190</v>
      </c>
    </row>
    <row r="18" spans="1:9" hidden="1" x14ac:dyDescent="0.25">
      <c r="A18">
        <v>14672</v>
      </c>
      <c r="B18" t="s">
        <v>10</v>
      </c>
      <c r="C18" t="s">
        <v>39</v>
      </c>
      <c r="D18" t="str">
        <f t="shared" si="1"/>
        <v/>
      </c>
      <c r="E18" t="s">
        <v>40</v>
      </c>
      <c r="F18" t="str">
        <f t="shared" si="0"/>
        <v>5101190</v>
      </c>
    </row>
    <row r="19" spans="1:9" x14ac:dyDescent="0.25">
      <c r="A19">
        <v>14673</v>
      </c>
      <c r="B19" t="s">
        <v>7</v>
      </c>
      <c r="C19" t="s">
        <v>41</v>
      </c>
      <c r="D19" t="str">
        <f t="shared" si="1"/>
        <v/>
      </c>
      <c r="E19" t="s">
        <v>42</v>
      </c>
      <c r="F19" t="str">
        <f t="shared" si="0"/>
        <v>8703504</v>
      </c>
      <c r="H19">
        <v>4</v>
      </c>
    </row>
    <row r="20" spans="1:9" hidden="1" x14ac:dyDescent="0.25">
      <c r="A20">
        <v>14674</v>
      </c>
      <c r="B20" t="s">
        <v>10</v>
      </c>
      <c r="C20" t="s">
        <v>43</v>
      </c>
      <c r="D20" t="str">
        <f t="shared" si="1"/>
        <v/>
      </c>
      <c r="E20" t="s">
        <v>44</v>
      </c>
      <c r="F20" t="str">
        <f t="shared" si="0"/>
        <v>8703504</v>
      </c>
    </row>
    <row r="21" spans="1:9" hidden="1" x14ac:dyDescent="0.25">
      <c r="A21">
        <v>14679</v>
      </c>
      <c r="B21" t="s">
        <v>10</v>
      </c>
      <c r="C21" t="s">
        <v>45</v>
      </c>
      <c r="D21" t="str">
        <f t="shared" si="1"/>
        <v/>
      </c>
      <c r="E21" t="s">
        <v>46</v>
      </c>
      <c r="F21" t="str">
        <f t="shared" si="0"/>
        <v>8703504</v>
      </c>
    </row>
    <row r="22" spans="1:9" x14ac:dyDescent="0.25">
      <c r="A22">
        <v>14680</v>
      </c>
      <c r="B22" t="s">
        <v>7</v>
      </c>
      <c r="C22" t="s">
        <v>47</v>
      </c>
      <c r="D22" t="str">
        <f t="shared" si="1"/>
        <v/>
      </c>
      <c r="E22" t="s">
        <v>48</v>
      </c>
      <c r="F22" t="str">
        <f t="shared" si="0"/>
        <v>8703036</v>
      </c>
      <c r="H22">
        <v>5</v>
      </c>
    </row>
    <row r="23" spans="1:9" hidden="1" x14ac:dyDescent="0.25">
      <c r="A23">
        <v>14681</v>
      </c>
      <c r="B23" t="s">
        <v>10</v>
      </c>
      <c r="C23" t="s">
        <v>49</v>
      </c>
      <c r="D23" t="str">
        <f t="shared" si="1"/>
        <v/>
      </c>
      <c r="E23" t="s">
        <v>50</v>
      </c>
      <c r="F23" t="str">
        <f t="shared" si="0"/>
        <v>8703036</v>
      </c>
    </row>
    <row r="24" spans="1:9" hidden="1" x14ac:dyDescent="0.25">
      <c r="A24">
        <v>14687</v>
      </c>
      <c r="B24" t="s">
        <v>10</v>
      </c>
      <c r="C24" t="s">
        <v>51</v>
      </c>
      <c r="D24" t="str">
        <f t="shared" si="1"/>
        <v/>
      </c>
      <c r="E24" t="s">
        <v>52</v>
      </c>
      <c r="F24" t="str">
        <f t="shared" si="0"/>
        <v>8703036</v>
      </c>
    </row>
    <row r="25" spans="1:9" hidden="1" x14ac:dyDescent="0.25">
      <c r="A25">
        <v>14688</v>
      </c>
      <c r="B25" t="s">
        <v>10</v>
      </c>
      <c r="C25" t="s">
        <v>53</v>
      </c>
      <c r="D25" t="str">
        <f t="shared" si="1"/>
        <v/>
      </c>
      <c r="E25" t="s">
        <v>54</v>
      </c>
      <c r="F25" t="str">
        <f t="shared" si="0"/>
        <v>8703036</v>
      </c>
    </row>
    <row r="26" spans="1:9" x14ac:dyDescent="0.25">
      <c r="A26">
        <v>14689</v>
      </c>
      <c r="B26" t="s">
        <v>7</v>
      </c>
      <c r="C26" t="s">
        <v>55</v>
      </c>
      <c r="D26" t="str">
        <f t="shared" si="1"/>
        <v/>
      </c>
      <c r="E26" t="s">
        <v>56</v>
      </c>
      <c r="F26" t="str">
        <f t="shared" si="0"/>
        <v>2601003</v>
      </c>
      <c r="I26">
        <v>1</v>
      </c>
    </row>
    <row r="27" spans="1:9" hidden="1" x14ac:dyDescent="0.25">
      <c r="A27">
        <v>14690</v>
      </c>
      <c r="B27" t="s">
        <v>10</v>
      </c>
      <c r="C27" t="s">
        <v>57</v>
      </c>
      <c r="D27" t="str">
        <f t="shared" si="1"/>
        <v/>
      </c>
      <c r="E27" t="s">
        <v>58</v>
      </c>
      <c r="F27" t="str">
        <f t="shared" si="0"/>
        <v>2601003</v>
      </c>
    </row>
    <row r="28" spans="1:9" hidden="1" x14ac:dyDescent="0.25">
      <c r="A28">
        <v>14699</v>
      </c>
      <c r="B28" t="s">
        <v>10</v>
      </c>
      <c r="C28" t="s">
        <v>59</v>
      </c>
      <c r="D28" t="str">
        <f t="shared" si="1"/>
        <v/>
      </c>
      <c r="E28" t="s">
        <v>60</v>
      </c>
      <c r="F28" t="str">
        <f t="shared" si="0"/>
        <v>2601003</v>
      </c>
    </row>
    <row r="29" spans="1:9" hidden="1" x14ac:dyDescent="0.25">
      <c r="A29">
        <v>14700</v>
      </c>
      <c r="B29" t="s">
        <v>10</v>
      </c>
      <c r="C29" t="s">
        <v>61</v>
      </c>
      <c r="D29" t="str">
        <f t="shared" si="1"/>
        <v/>
      </c>
      <c r="E29" t="s">
        <v>62</v>
      </c>
      <c r="F29" t="str">
        <f t="shared" si="0"/>
        <v>2601003</v>
      </c>
    </row>
    <row r="30" spans="1:9" hidden="1" x14ac:dyDescent="0.25">
      <c r="A30">
        <v>14701</v>
      </c>
      <c r="B30" t="s">
        <v>10</v>
      </c>
      <c r="C30" t="s">
        <v>63</v>
      </c>
      <c r="D30" t="str">
        <f t="shared" si="1"/>
        <v/>
      </c>
      <c r="E30" t="s">
        <v>64</v>
      </c>
      <c r="F30" t="str">
        <f t="shared" si="0"/>
        <v>2601003</v>
      </c>
    </row>
    <row r="31" spans="1:9" hidden="1" x14ac:dyDescent="0.25">
      <c r="A31">
        <v>14702</v>
      </c>
      <c r="B31" t="s">
        <v>10</v>
      </c>
      <c r="C31" t="s">
        <v>65</v>
      </c>
      <c r="D31" t="str">
        <f t="shared" si="1"/>
        <v/>
      </c>
      <c r="E31" t="s">
        <v>66</v>
      </c>
      <c r="F31" t="str">
        <f t="shared" si="0"/>
        <v>2601003</v>
      </c>
    </row>
    <row r="32" spans="1:9" hidden="1" x14ac:dyDescent="0.25">
      <c r="A32">
        <v>14703</v>
      </c>
      <c r="B32" t="s">
        <v>10</v>
      </c>
      <c r="C32" t="s">
        <v>67</v>
      </c>
      <c r="D32" t="str">
        <f t="shared" si="1"/>
        <v/>
      </c>
      <c r="E32" t="s">
        <v>68</v>
      </c>
      <c r="F32" t="str">
        <f t="shared" si="0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1"/>
        <v/>
      </c>
      <c r="E33" t="s">
        <v>70</v>
      </c>
      <c r="F33" t="str">
        <f t="shared" si="0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1"/>
        <v/>
      </c>
      <c r="E34" t="s">
        <v>72</v>
      </c>
      <c r="F34" t="str">
        <f t="shared" si="0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1"/>
        <v/>
      </c>
      <c r="E35" t="s">
        <v>74</v>
      </c>
      <c r="F35" t="str">
        <f t="shared" si="0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1"/>
        <v/>
      </c>
      <c r="E36" t="s">
        <v>76</v>
      </c>
      <c r="F36" t="str">
        <f t="shared" si="0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1"/>
        <v/>
      </c>
      <c r="E37" t="s">
        <v>78</v>
      </c>
      <c r="F37" t="str">
        <f t="shared" si="0"/>
        <v>2601003</v>
      </c>
    </row>
    <row r="38" spans="1:9" x14ac:dyDescent="0.25">
      <c r="A38">
        <v>14709</v>
      </c>
      <c r="B38" t="s">
        <v>7</v>
      </c>
      <c r="C38" t="s">
        <v>79</v>
      </c>
      <c r="D38" t="str">
        <f t="shared" si="1"/>
        <v/>
      </c>
      <c r="E38" t="s">
        <v>80</v>
      </c>
      <c r="F38" t="str">
        <f t="shared" si="0"/>
        <v>2301048</v>
      </c>
      <c r="H38">
        <v>7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1"/>
        <v/>
      </c>
      <c r="E39" t="s">
        <v>82</v>
      </c>
      <c r="F39" t="str">
        <f t="shared" si="0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1"/>
        <v/>
      </c>
      <c r="E40" t="s">
        <v>84</v>
      </c>
      <c r="F40" t="str">
        <f t="shared" si="0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1"/>
        <v/>
      </c>
      <c r="E41" t="s">
        <v>86</v>
      </c>
      <c r="F41" t="str">
        <f t="shared" si="0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1"/>
        <v/>
      </c>
      <c r="E42" t="s">
        <v>88</v>
      </c>
      <c r="F42" t="str">
        <f t="shared" si="0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1"/>
        <v/>
      </c>
      <c r="E43" t="s">
        <v>90</v>
      </c>
      <c r="F43" t="str">
        <f t="shared" si="0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1"/>
        <v/>
      </c>
      <c r="E44" t="s">
        <v>92</v>
      </c>
      <c r="F44" t="str">
        <f t="shared" si="0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1"/>
        <v/>
      </c>
      <c r="E45" t="s">
        <v>94</v>
      </c>
      <c r="F45" t="str">
        <f t="shared" si="0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1"/>
        <v/>
      </c>
      <c r="E46" t="s">
        <v>96</v>
      </c>
      <c r="F46" t="str">
        <f t="shared" si="0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1"/>
        <v/>
      </c>
      <c r="E47" t="s">
        <v>98</v>
      </c>
      <c r="F47" t="str">
        <f t="shared" si="0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1"/>
        <v/>
      </c>
      <c r="E48" t="s">
        <v>100</v>
      </c>
      <c r="F48" t="str">
        <f t="shared" si="0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1"/>
        <v/>
      </c>
      <c r="E49" t="s">
        <v>102</v>
      </c>
      <c r="F49" t="str">
        <f t="shared" si="0"/>
        <v>2301048</v>
      </c>
    </row>
    <row r="50" spans="1:9" x14ac:dyDescent="0.25">
      <c r="A50">
        <v>14724</v>
      </c>
      <c r="B50" t="s">
        <v>7</v>
      </c>
      <c r="C50" t="s">
        <v>103</v>
      </c>
      <c r="D50" t="str">
        <f t="shared" si="1"/>
        <v/>
      </c>
      <c r="E50" t="s">
        <v>104</v>
      </c>
      <c r="F50" t="str">
        <f t="shared" si="0"/>
        <v>2301900</v>
      </c>
      <c r="H50">
        <v>3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1"/>
        <v/>
      </c>
      <c r="E51" t="s">
        <v>106</v>
      </c>
      <c r="F51" t="str">
        <f t="shared" si="0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1"/>
        <v/>
      </c>
      <c r="E52" t="s">
        <v>108</v>
      </c>
      <c r="F52" t="str">
        <f t="shared" si="0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1"/>
        <v/>
      </c>
      <c r="E53" t="s">
        <v>110</v>
      </c>
      <c r="F53" t="str">
        <f t="shared" si="0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1"/>
        <v/>
      </c>
      <c r="E54" t="s">
        <v>112</v>
      </c>
      <c r="F54" t="str">
        <f t="shared" si="0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1"/>
        <v/>
      </c>
      <c r="E55" t="s">
        <v>114</v>
      </c>
      <c r="F55" t="str">
        <f t="shared" si="0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1"/>
        <v/>
      </c>
      <c r="E56" t="s">
        <v>116</v>
      </c>
      <c r="F56" t="str">
        <f t="shared" si="0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1"/>
        <v/>
      </c>
      <c r="E57" t="s">
        <v>118</v>
      </c>
      <c r="F57" t="str">
        <f t="shared" si="0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1"/>
        <v/>
      </c>
      <c r="E58" t="s">
        <v>120</v>
      </c>
      <c r="F58" t="str">
        <f t="shared" si="0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1"/>
        <v/>
      </c>
      <c r="E59" t="s">
        <v>122</v>
      </c>
      <c r="F59" t="str">
        <f t="shared" si="0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1"/>
        <v/>
      </c>
      <c r="E60" t="s">
        <v>124</v>
      </c>
      <c r="F60" t="str">
        <f t="shared" si="0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1"/>
        <v/>
      </c>
      <c r="E61" t="s">
        <v>126</v>
      </c>
      <c r="F61" t="str">
        <f t="shared" si="0"/>
        <v>2301900</v>
      </c>
    </row>
    <row r="62" spans="1:9" x14ac:dyDescent="0.25">
      <c r="A62">
        <v>14738</v>
      </c>
      <c r="B62" t="s">
        <v>7</v>
      </c>
      <c r="C62" t="s">
        <v>127</v>
      </c>
      <c r="D62" t="str">
        <f t="shared" si="1"/>
        <v/>
      </c>
      <c r="E62" t="s">
        <v>128</v>
      </c>
      <c r="F62" t="str">
        <f t="shared" si="0"/>
        <v>2301046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1"/>
        <v/>
      </c>
      <c r="E63" t="s">
        <v>130</v>
      </c>
      <c r="F63" t="str">
        <f t="shared" si="0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1"/>
        <v/>
      </c>
      <c r="E64" t="s">
        <v>132</v>
      </c>
      <c r="F64" t="str">
        <f t="shared" si="0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1"/>
        <v/>
      </c>
      <c r="E65" t="s">
        <v>134</v>
      </c>
      <c r="F65" t="str">
        <f t="shared" si="0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si="1"/>
        <v/>
      </c>
      <c r="E66" t="s">
        <v>136</v>
      </c>
      <c r="F66" t="str">
        <f t="shared" ref="F66:F129" si="2"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1"/>
        <v/>
      </c>
      <c r="E67" t="s">
        <v>138</v>
      </c>
      <c r="F67" t="str">
        <f t="shared" si="2"/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ref="D68:D131" si="3">IF(RIGHT(LEFT(C68,9),2)="##","",RIGHT(LEFT(C68,10),2))</f>
        <v/>
      </c>
      <c r="E68" t="s">
        <v>140</v>
      </c>
      <c r="F68" t="str">
        <f t="shared" si="2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2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2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2"/>
        <v>2301046</v>
      </c>
    </row>
    <row r="72" spans="1:9" x14ac:dyDescent="0.25">
      <c r="A72">
        <v>14748</v>
      </c>
      <c r="B72" t="s">
        <v>7</v>
      </c>
      <c r="C72" t="s">
        <v>147</v>
      </c>
      <c r="D72" t="str">
        <f t="shared" si="3"/>
        <v/>
      </c>
      <c r="E72" t="s">
        <v>148</v>
      </c>
      <c r="F72" t="str">
        <f t="shared" si="2"/>
        <v>1120450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2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2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2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2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2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2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2"/>
        <v>1120450</v>
      </c>
    </row>
    <row r="80" spans="1:9" x14ac:dyDescent="0.25">
      <c r="A80">
        <v>14761</v>
      </c>
      <c r="B80" t="s">
        <v>7</v>
      </c>
      <c r="C80" t="s">
        <v>163</v>
      </c>
      <c r="D80" t="str">
        <f t="shared" si="3"/>
        <v/>
      </c>
      <c r="E80" t="s">
        <v>164</v>
      </c>
      <c r="F80" t="str">
        <f t="shared" si="2"/>
        <v>1120280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2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2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2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2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2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2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2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2"/>
        <v>1120280</v>
      </c>
    </row>
    <row r="89" spans="1:9" x14ac:dyDescent="0.25">
      <c r="A89">
        <v>14773</v>
      </c>
      <c r="B89" t="s">
        <v>7</v>
      </c>
      <c r="C89" t="s">
        <v>181</v>
      </c>
      <c r="D89" t="str">
        <f t="shared" si="3"/>
        <v/>
      </c>
      <c r="E89" t="s">
        <v>182</v>
      </c>
      <c r="F89" t="str">
        <f t="shared" si="2"/>
        <v>5101011</v>
      </c>
      <c r="H89">
        <v>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2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2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2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2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2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2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2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2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2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2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2"/>
        <v>5101011</v>
      </c>
    </row>
    <row r="101" spans="1:9" x14ac:dyDescent="0.25">
      <c r="A101">
        <v>14806</v>
      </c>
      <c r="B101" t="s">
        <v>7</v>
      </c>
      <c r="C101" t="s">
        <v>205</v>
      </c>
      <c r="D101" t="str">
        <f t="shared" si="3"/>
        <v/>
      </c>
      <c r="E101" t="s">
        <v>206</v>
      </c>
      <c r="F101" t="str">
        <f t="shared" si="2"/>
        <v>5101999</v>
      </c>
      <c r="H101">
        <v>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2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2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2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2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2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2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2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2"/>
        <v>5101999</v>
      </c>
    </row>
    <row r="110" spans="1:9" x14ac:dyDescent="0.25">
      <c r="A110">
        <v>14831</v>
      </c>
      <c r="B110" t="s">
        <v>7</v>
      </c>
      <c r="C110" t="s">
        <v>223</v>
      </c>
      <c r="D110" t="str">
        <f t="shared" si="3"/>
        <v/>
      </c>
      <c r="E110" t="s">
        <v>224</v>
      </c>
      <c r="F110" t="str">
        <f t="shared" si="2"/>
        <v>5101171</v>
      </c>
      <c r="H110">
        <v>6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2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2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2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2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2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2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2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2"/>
        <v>5101171</v>
      </c>
    </row>
    <row r="119" spans="1:9" x14ac:dyDescent="0.25">
      <c r="A119">
        <v>14843</v>
      </c>
      <c r="B119" t="s">
        <v>7</v>
      </c>
      <c r="C119" t="s">
        <v>241</v>
      </c>
      <c r="D119" t="str">
        <f t="shared" si="3"/>
        <v/>
      </c>
      <c r="E119" t="s">
        <v>242</v>
      </c>
      <c r="F119" t="str">
        <f t="shared" si="2"/>
        <v>5101556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2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2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2"/>
        <v>5101556</v>
      </c>
    </row>
    <row r="123" spans="1:9" x14ac:dyDescent="0.25">
      <c r="A123">
        <v>14863</v>
      </c>
      <c r="B123" t="s">
        <v>7</v>
      </c>
      <c r="C123" t="s">
        <v>249</v>
      </c>
      <c r="D123" t="str">
        <f t="shared" si="3"/>
        <v/>
      </c>
      <c r="E123" t="s">
        <v>250</v>
      </c>
      <c r="F123" t="str">
        <f t="shared" si="2"/>
        <v>5101900</v>
      </c>
      <c r="H123">
        <v>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2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2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2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2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2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2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si="3"/>
        <v/>
      </c>
      <c r="E130" t="s">
        <v>264</v>
      </c>
      <c r="F130" t="str">
        <f t="shared" ref="F130:F193" si="4"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3"/>
        <v/>
      </c>
      <c r="E131" t="s">
        <v>266</v>
      </c>
      <c r="F131" t="str">
        <f t="shared" si="4"/>
        <v>5101900</v>
      </c>
    </row>
    <row r="132" spans="1:9" x14ac:dyDescent="0.25">
      <c r="A132">
        <v>14876</v>
      </c>
      <c r="B132" t="s">
        <v>7</v>
      </c>
      <c r="C132" t="s">
        <v>267</v>
      </c>
      <c r="D132" t="str">
        <f t="shared" ref="D132:D195" si="5">IF(RIGHT(LEFT(C132,9),2)="##","",RIGHT(LEFT(C132,10),2))</f>
        <v/>
      </c>
      <c r="E132" t="s">
        <v>268</v>
      </c>
      <c r="F132" t="str">
        <f t="shared" si="4"/>
        <v>1130254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4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4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4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4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4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4"/>
        <v>1130254</v>
      </c>
    </row>
    <row r="139" spans="1:9" x14ac:dyDescent="0.25">
      <c r="A139">
        <v>14898</v>
      </c>
      <c r="B139" t="s">
        <v>7</v>
      </c>
      <c r="C139" t="s">
        <v>281</v>
      </c>
      <c r="D139" t="str">
        <f t="shared" si="5"/>
        <v/>
      </c>
      <c r="E139" t="s">
        <v>282</v>
      </c>
      <c r="F139" t="str">
        <f t="shared" si="4"/>
        <v>1130495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4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4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4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4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4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4"/>
        <v>1130495</v>
      </c>
    </row>
    <row r="146" spans="1:9" x14ac:dyDescent="0.25">
      <c r="A146">
        <v>14909</v>
      </c>
      <c r="B146" t="s">
        <v>7</v>
      </c>
      <c r="C146" t="s">
        <v>295</v>
      </c>
      <c r="D146" t="str">
        <f t="shared" si="5"/>
        <v/>
      </c>
      <c r="E146" t="s">
        <v>296</v>
      </c>
      <c r="F146" t="str">
        <f t="shared" si="4"/>
        <v>8205020</v>
      </c>
      <c r="H146">
        <v>3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4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4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4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4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4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4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4"/>
        <v>8205020</v>
      </c>
    </row>
    <row r="154" spans="1:9" x14ac:dyDescent="0.25">
      <c r="A154">
        <v>14921</v>
      </c>
      <c r="B154" t="s">
        <v>7</v>
      </c>
      <c r="C154" t="s">
        <v>311</v>
      </c>
      <c r="D154" t="str">
        <f t="shared" si="5"/>
        <v/>
      </c>
      <c r="E154" t="s">
        <v>312</v>
      </c>
      <c r="F154" t="str">
        <f t="shared" si="4"/>
        <v>5101500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4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4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4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4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4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4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4"/>
        <v>5101500</v>
      </c>
    </row>
    <row r="162" spans="1:9" x14ac:dyDescent="0.25">
      <c r="A162">
        <v>14934</v>
      </c>
      <c r="B162" t="s">
        <v>7</v>
      </c>
      <c r="C162" t="s">
        <v>327</v>
      </c>
      <c r="D162" t="str">
        <f t="shared" si="5"/>
        <v/>
      </c>
      <c r="E162" t="s">
        <v>328</v>
      </c>
      <c r="F162" t="str">
        <f t="shared" si="4"/>
        <v>5101033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4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4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4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4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4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4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4"/>
        <v>5101033</v>
      </c>
    </row>
    <row r="170" spans="1:9" x14ac:dyDescent="0.25">
      <c r="A170">
        <v>14946</v>
      </c>
      <c r="B170" t="s">
        <v>7</v>
      </c>
      <c r="C170" t="s">
        <v>343</v>
      </c>
      <c r="D170" t="str">
        <f t="shared" si="5"/>
        <v/>
      </c>
      <c r="E170" t="s">
        <v>344</v>
      </c>
      <c r="F170" t="str">
        <f t="shared" si="4"/>
        <v>5101204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4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4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4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4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4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4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4"/>
        <v>5101204</v>
      </c>
    </row>
    <row r="178" spans="1:9" x14ac:dyDescent="0.25">
      <c r="A178">
        <v>14966</v>
      </c>
      <c r="B178" t="s">
        <v>7</v>
      </c>
      <c r="C178" t="s">
        <v>359</v>
      </c>
      <c r="D178" t="str">
        <f t="shared" si="5"/>
        <v/>
      </c>
      <c r="E178" t="s">
        <v>360</v>
      </c>
      <c r="F178" t="str">
        <f t="shared" si="4"/>
        <v>5101852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4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4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4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4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4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4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4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4"/>
        <v>5101852</v>
      </c>
    </row>
    <row r="187" spans="1:9" x14ac:dyDescent="0.25">
      <c r="A187">
        <v>14989</v>
      </c>
      <c r="B187" t="s">
        <v>7</v>
      </c>
      <c r="C187" t="s">
        <v>377</v>
      </c>
      <c r="D187" t="str">
        <f t="shared" si="5"/>
        <v/>
      </c>
      <c r="E187" t="s">
        <v>378</v>
      </c>
      <c r="F187" t="str">
        <f t="shared" si="4"/>
        <v>5101873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4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4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4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4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4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4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si="5"/>
        <v/>
      </c>
      <c r="E194" t="s">
        <v>392</v>
      </c>
      <c r="F194" t="str">
        <f t="shared" ref="F194:F257" si="6">LEFT(C194,7)</f>
        <v>5101873</v>
      </c>
    </row>
    <row r="195" spans="1:9" x14ac:dyDescent="0.25">
      <c r="A195">
        <v>15003</v>
      </c>
      <c r="B195" t="s">
        <v>7</v>
      </c>
      <c r="C195" t="s">
        <v>393</v>
      </c>
      <c r="D195" t="str">
        <f t="shared" si="5"/>
        <v/>
      </c>
      <c r="E195" t="s">
        <v>394</v>
      </c>
      <c r="F195" t="str">
        <f t="shared" si="6"/>
        <v>1120858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ref="D196:D259" si="7">IF(RIGHT(LEFT(C196,9),2)="##","",RIGHT(LEFT(C196,10),2))</f>
        <v/>
      </c>
      <c r="E196" t="s">
        <v>396</v>
      </c>
      <c r="F196" t="str">
        <f t="shared" si="6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6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6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6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6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6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6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6"/>
        <v>1120858</v>
      </c>
    </row>
    <row r="204" spans="1:9" x14ac:dyDescent="0.25">
      <c r="A204">
        <v>15017</v>
      </c>
      <c r="B204" t="s">
        <v>7</v>
      </c>
      <c r="C204" t="s">
        <v>411</v>
      </c>
      <c r="D204" t="str">
        <f t="shared" si="7"/>
        <v/>
      </c>
      <c r="E204" t="s">
        <v>412</v>
      </c>
      <c r="F204" t="str">
        <f t="shared" si="6"/>
        <v>1120640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6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6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6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6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6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6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6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6"/>
        <v>1120640</v>
      </c>
    </row>
    <row r="213" spans="1:9" x14ac:dyDescent="0.25">
      <c r="A213">
        <v>15030</v>
      </c>
      <c r="B213" t="s">
        <v>7</v>
      </c>
      <c r="C213" t="s">
        <v>429</v>
      </c>
      <c r="D213" t="str">
        <f t="shared" si="7"/>
        <v/>
      </c>
      <c r="E213" t="s">
        <v>430</v>
      </c>
      <c r="F213" t="str">
        <f t="shared" si="6"/>
        <v>1120170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6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6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6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6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6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6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6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6"/>
        <v>1120170</v>
      </c>
    </row>
    <row r="222" spans="1:9" x14ac:dyDescent="0.25">
      <c r="A222">
        <v>15044</v>
      </c>
      <c r="B222" t="s">
        <v>7</v>
      </c>
      <c r="C222" t="s">
        <v>447</v>
      </c>
      <c r="D222" t="str">
        <f t="shared" si="7"/>
        <v/>
      </c>
      <c r="E222" t="s">
        <v>448</v>
      </c>
      <c r="F222" t="str">
        <f t="shared" si="6"/>
        <v>1120263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6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6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6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6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6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6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6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6"/>
        <v>1120263</v>
      </c>
    </row>
    <row r="231" spans="1:9" x14ac:dyDescent="0.25">
      <c r="A231">
        <v>15058</v>
      </c>
      <c r="B231" t="s">
        <v>7</v>
      </c>
      <c r="C231" t="s">
        <v>465</v>
      </c>
      <c r="D231" t="str">
        <f t="shared" si="7"/>
        <v/>
      </c>
      <c r="E231" t="s">
        <v>466</v>
      </c>
      <c r="F231" t="str">
        <f t="shared" si="6"/>
        <v>1120750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6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6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6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6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6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6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6"/>
        <v>1120750</v>
      </c>
    </row>
    <row r="239" spans="1:9" x14ac:dyDescent="0.25">
      <c r="A239">
        <v>15070</v>
      </c>
      <c r="B239" t="s">
        <v>7</v>
      </c>
      <c r="C239" t="s">
        <v>481</v>
      </c>
      <c r="D239" t="str">
        <f t="shared" si="7"/>
        <v/>
      </c>
      <c r="E239" t="s">
        <v>482</v>
      </c>
      <c r="F239" t="str">
        <f t="shared" si="6"/>
        <v>1120875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6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6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6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6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6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6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6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6"/>
        <v>1120875</v>
      </c>
    </row>
    <row r="248" spans="1:9" x14ac:dyDescent="0.25">
      <c r="A248">
        <v>15083</v>
      </c>
      <c r="B248" t="s">
        <v>7</v>
      </c>
      <c r="C248" t="s">
        <v>499</v>
      </c>
      <c r="D248" t="str">
        <f t="shared" si="7"/>
        <v/>
      </c>
      <c r="E248" t="s">
        <v>500</v>
      </c>
      <c r="F248" t="str">
        <f t="shared" si="6"/>
        <v>1120666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6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6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6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6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6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6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6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6"/>
        <v>1120666</v>
      </c>
    </row>
    <row r="257" spans="1:9" x14ac:dyDescent="0.25">
      <c r="A257">
        <v>15096</v>
      </c>
      <c r="B257" t="s">
        <v>7</v>
      </c>
      <c r="C257" t="s">
        <v>517</v>
      </c>
      <c r="D257" t="str">
        <f t="shared" si="7"/>
        <v/>
      </c>
      <c r="E257" t="s">
        <v>518</v>
      </c>
      <c r="F257" t="str">
        <f t="shared" si="6"/>
        <v>1120414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si="7"/>
        <v/>
      </c>
      <c r="E258" t="s">
        <v>520</v>
      </c>
      <c r="F258" t="str">
        <f t="shared" ref="F258:F321" si="8"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7"/>
        <v/>
      </c>
      <c r="E259" t="s">
        <v>522</v>
      </c>
      <c r="F259" t="str">
        <f t="shared" si="8"/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ref="D260:D323" si="9">IF(RIGHT(LEFT(C260,9),2)="##","",RIGHT(LEFT(C260,10),2))</f>
        <v/>
      </c>
      <c r="E260" t="s">
        <v>524</v>
      </c>
      <c r="F260" t="str">
        <f t="shared" si="8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8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8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8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8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8"/>
        <v>1120414</v>
      </c>
    </row>
    <row r="266" spans="1:9" x14ac:dyDescent="0.25">
      <c r="A266">
        <v>15109</v>
      </c>
      <c r="B266" t="s">
        <v>7</v>
      </c>
      <c r="C266" t="s">
        <v>535</v>
      </c>
      <c r="D266" t="str">
        <f t="shared" si="9"/>
        <v/>
      </c>
      <c r="E266" t="s">
        <v>536</v>
      </c>
      <c r="F266" t="str">
        <f t="shared" si="8"/>
        <v>1120789</v>
      </c>
      <c r="H266">
        <v>6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8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8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8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8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8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8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8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8"/>
        <v>1120789</v>
      </c>
    </row>
    <row r="275" spans="1:9" x14ac:dyDescent="0.25">
      <c r="A275">
        <v>15123</v>
      </c>
      <c r="B275" t="s">
        <v>7</v>
      </c>
      <c r="C275" t="s">
        <v>553</v>
      </c>
      <c r="D275" t="str">
        <f t="shared" si="9"/>
        <v/>
      </c>
      <c r="E275" t="s">
        <v>554</v>
      </c>
      <c r="F275" t="str">
        <f t="shared" si="8"/>
        <v>1120500</v>
      </c>
      <c r="H275">
        <v>6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8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8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8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8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8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8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8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8"/>
        <v>1120500</v>
      </c>
    </row>
    <row r="284" spans="1:9" x14ac:dyDescent="0.25">
      <c r="A284">
        <v>15137</v>
      </c>
      <c r="B284" t="s">
        <v>7</v>
      </c>
      <c r="C284" t="s">
        <v>571</v>
      </c>
      <c r="D284" t="str">
        <f t="shared" si="9"/>
        <v/>
      </c>
      <c r="E284" t="s">
        <v>572</v>
      </c>
      <c r="F284" t="str">
        <f t="shared" si="8"/>
        <v>1120191</v>
      </c>
      <c r="H284">
        <v>5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8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8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8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8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8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8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8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8"/>
        <v>1120191</v>
      </c>
    </row>
    <row r="293" spans="1:9" x14ac:dyDescent="0.25">
      <c r="A293">
        <v>15150</v>
      </c>
      <c r="B293" t="s">
        <v>7</v>
      </c>
      <c r="C293" t="s">
        <v>589</v>
      </c>
      <c r="D293" t="str">
        <f t="shared" si="9"/>
        <v/>
      </c>
      <c r="E293" t="s">
        <v>590</v>
      </c>
      <c r="F293" t="str">
        <f t="shared" si="8"/>
        <v>4120009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8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8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8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8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8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8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8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8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8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8"/>
        <v>8705551</v>
      </c>
    </row>
    <row r="304" spans="1:9" x14ac:dyDescent="0.25">
      <c r="A304">
        <v>15172</v>
      </c>
      <c r="B304" t="s">
        <v>7</v>
      </c>
      <c r="C304" t="s">
        <v>611</v>
      </c>
      <c r="D304" t="str">
        <f t="shared" si="9"/>
        <v/>
      </c>
      <c r="E304" t="s">
        <v>612</v>
      </c>
      <c r="F304" t="str">
        <f t="shared" si="8"/>
        <v>4120800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8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8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8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8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8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8"/>
        <v>4120800</v>
      </c>
    </row>
    <row r="311" spans="1:9" x14ac:dyDescent="0.25">
      <c r="A311">
        <v>15182</v>
      </c>
      <c r="B311" t="s">
        <v>7</v>
      </c>
      <c r="C311" t="s">
        <v>625</v>
      </c>
      <c r="D311" t="str">
        <f t="shared" si="9"/>
        <v/>
      </c>
      <c r="E311" t="s">
        <v>626</v>
      </c>
      <c r="F311" t="str">
        <f t="shared" si="8"/>
        <v>2103217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8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8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8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8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8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8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8"/>
        <v>2103217</v>
      </c>
    </row>
    <row r="319" spans="1:9" x14ac:dyDescent="0.25">
      <c r="A319">
        <v>15195</v>
      </c>
      <c r="B319" t="s">
        <v>7</v>
      </c>
      <c r="C319" t="s">
        <v>641</v>
      </c>
      <c r="D319" t="str">
        <f t="shared" si="9"/>
        <v/>
      </c>
      <c r="E319" t="s">
        <v>642</v>
      </c>
      <c r="F319" t="str">
        <f t="shared" si="8"/>
        <v>2101202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8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8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si="9"/>
        <v/>
      </c>
      <c r="E322" t="s">
        <v>648</v>
      </c>
      <c r="F322" t="str">
        <f t="shared" ref="F322:F385" si="10"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9"/>
        <v/>
      </c>
      <c r="E323" t="s">
        <v>650</v>
      </c>
      <c r="F323" t="str">
        <f t="shared" si="10"/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ref="D324:D387" si="11">IF(RIGHT(LEFT(C324,9),2)="##","",RIGHT(LEFT(C324,10),2))</f>
        <v/>
      </c>
      <c r="E324" t="s">
        <v>652</v>
      </c>
      <c r="F324" t="str">
        <f t="shared" si="10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0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0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0"/>
        <v>2401806</v>
      </c>
    </row>
    <row r="328" spans="1:9" x14ac:dyDescent="0.25">
      <c r="A328">
        <v>15212</v>
      </c>
      <c r="B328" t="s">
        <v>7</v>
      </c>
      <c r="C328" t="s">
        <v>659</v>
      </c>
      <c r="D328" t="str">
        <f t="shared" si="11"/>
        <v/>
      </c>
      <c r="E328" t="s">
        <v>660</v>
      </c>
      <c r="F328" t="str">
        <f t="shared" si="10"/>
        <v>8708112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0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0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0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0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0"/>
        <v>8708112</v>
      </c>
    </row>
    <row r="334" spans="1:9" x14ac:dyDescent="0.25">
      <c r="A334">
        <v>15218</v>
      </c>
      <c r="B334" t="s">
        <v>7</v>
      </c>
      <c r="C334" t="s">
        <v>671</v>
      </c>
      <c r="D334" t="str">
        <f t="shared" si="11"/>
        <v/>
      </c>
      <c r="E334" t="s">
        <v>672</v>
      </c>
      <c r="F334" t="str">
        <f t="shared" si="10"/>
        <v>2401100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0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0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0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0"/>
        <v>2401100</v>
      </c>
    </row>
    <row r="339" spans="1:9" x14ac:dyDescent="0.25">
      <c r="A339">
        <v>15226</v>
      </c>
      <c r="B339" t="s">
        <v>7</v>
      </c>
      <c r="C339" t="s">
        <v>681</v>
      </c>
      <c r="D339" t="str">
        <f t="shared" si="11"/>
        <v/>
      </c>
      <c r="E339" t="s">
        <v>682</v>
      </c>
      <c r="F339" t="str">
        <f t="shared" si="10"/>
        <v>2401022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0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0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0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0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0"/>
        <v>2401022</v>
      </c>
    </row>
    <row r="345" spans="1:9" x14ac:dyDescent="0.25">
      <c r="A345">
        <v>15235</v>
      </c>
      <c r="B345" t="s">
        <v>7</v>
      </c>
      <c r="C345" t="s">
        <v>693</v>
      </c>
      <c r="D345" t="str">
        <f t="shared" si="11"/>
        <v/>
      </c>
      <c r="E345" t="s">
        <v>694</v>
      </c>
      <c r="F345" t="str">
        <f t="shared" si="10"/>
        <v>2101495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0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0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0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0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0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0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0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0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0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0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0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0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0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0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0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0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0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0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0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0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0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0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0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0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0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0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0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0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0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0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0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0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0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0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0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0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0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0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0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0"/>
        <v>8501027</v>
      </c>
    </row>
    <row r="386" spans="1:9" x14ac:dyDescent="0.25">
      <c r="A386">
        <v>15371</v>
      </c>
      <c r="B386" t="s">
        <v>7</v>
      </c>
      <c r="C386" t="s">
        <v>775</v>
      </c>
      <c r="D386" t="str">
        <f t="shared" si="11"/>
        <v/>
      </c>
      <c r="E386" t="s">
        <v>776</v>
      </c>
      <c r="F386" t="str">
        <f t="shared" ref="F386:F449" si="12">LEFT(C386,7)</f>
        <v>8203830</v>
      </c>
      <c r="H386">
        <v>3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1"/>
        <v/>
      </c>
      <c r="E387" t="s">
        <v>778</v>
      </c>
      <c r="F387" t="str">
        <f t="shared" si="12"/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ref="D388:D451" si="13">IF(RIGHT(LEFT(C388,9),2)="##","",RIGHT(LEFT(C388,10),2))</f>
        <v/>
      </c>
      <c r="E388" t="s">
        <v>780</v>
      </c>
      <c r="F388" t="str">
        <f t="shared" si="12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2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2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2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2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2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2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2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2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2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2"/>
        <v>8203830</v>
      </c>
    </row>
    <row r="399" spans="1:9" x14ac:dyDescent="0.25">
      <c r="A399">
        <v>15384</v>
      </c>
      <c r="B399" t="s">
        <v>7</v>
      </c>
      <c r="C399" t="s">
        <v>801</v>
      </c>
      <c r="D399" t="str">
        <f t="shared" si="13"/>
        <v/>
      </c>
      <c r="E399" t="s">
        <v>802</v>
      </c>
      <c r="F399" t="str">
        <f t="shared" si="12"/>
        <v>8205060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2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2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2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2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2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2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2"/>
        <v>8205060</v>
      </c>
    </row>
    <row r="407" spans="1:9" x14ac:dyDescent="0.25">
      <c r="A407">
        <v>15396</v>
      </c>
      <c r="B407" t="s">
        <v>7</v>
      </c>
      <c r="C407" t="s">
        <v>817</v>
      </c>
      <c r="D407" t="str">
        <f t="shared" si="13"/>
        <v/>
      </c>
      <c r="E407" t="s">
        <v>818</v>
      </c>
      <c r="F407" t="str">
        <f t="shared" si="12"/>
        <v>8205018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2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2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2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2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2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2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2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2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2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2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2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2"/>
        <v>8703206</v>
      </c>
    </row>
    <row r="420" spans="1:9" x14ac:dyDescent="0.25">
      <c r="A420">
        <v>15439</v>
      </c>
      <c r="B420" t="s">
        <v>7</v>
      </c>
      <c r="C420" t="s">
        <v>843</v>
      </c>
      <c r="D420" t="str">
        <f t="shared" si="13"/>
        <v/>
      </c>
      <c r="E420" t="s">
        <v>844</v>
      </c>
      <c r="F420" t="str">
        <f t="shared" si="12"/>
        <v>8205115</v>
      </c>
      <c r="H420">
        <v>7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2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2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2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2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2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2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2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2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2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2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2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2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2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2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2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2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2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2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2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2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2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2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2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2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2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2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2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2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2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si="13"/>
        <v/>
      </c>
      <c r="E450" t="s">
        <v>904</v>
      </c>
      <c r="F450" t="str">
        <f t="shared" ref="F450:F513" si="14"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3"/>
        <v/>
      </c>
      <c r="E451" t="s">
        <v>906</v>
      </c>
      <c r="F451" t="str">
        <f t="shared" si="14"/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ref="D452:D515" si="15">IF(RIGHT(LEFT(C452,9),2)="##","",RIGHT(LEFT(C452,10),2))</f>
        <v/>
      </c>
      <c r="E452" t="s">
        <v>908</v>
      </c>
      <c r="F452" t="str">
        <f t="shared" si="14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4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4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4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4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4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4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4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4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4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4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4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4"/>
        <v>7709204</v>
      </c>
    </row>
    <row r="465" spans="1:6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4"/>
        <v>7709396</v>
      </c>
    </row>
    <row r="466" spans="1:6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4"/>
        <v>7709360</v>
      </c>
    </row>
    <row r="467" spans="1:6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4"/>
        <v>7709755</v>
      </c>
    </row>
    <row r="468" spans="1:6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4"/>
        <v>7709662</v>
      </c>
    </row>
    <row r="469" spans="1:6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4"/>
        <v>7709787</v>
      </c>
    </row>
    <row r="470" spans="1:6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4"/>
        <v>7709661</v>
      </c>
    </row>
    <row r="471" spans="1:6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4"/>
        <v>7709600</v>
      </c>
    </row>
    <row r="472" spans="1:6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4"/>
        <v>7709456</v>
      </c>
    </row>
    <row r="473" spans="1:6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4"/>
        <v>7709680</v>
      </c>
    </row>
    <row r="474" spans="1:6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4"/>
        <v>7709041</v>
      </c>
    </row>
    <row r="475" spans="1:6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4"/>
        <v>7709139</v>
      </c>
    </row>
    <row r="476" spans="1:6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4"/>
        <v>8703051</v>
      </c>
    </row>
    <row r="477" spans="1:6" x14ac:dyDescent="0.25">
      <c r="A477">
        <v>15599</v>
      </c>
      <c r="B477" t="s">
        <v>7</v>
      </c>
      <c r="C477" t="s">
        <v>957</v>
      </c>
      <c r="D477" t="str">
        <f t="shared" si="15"/>
        <v/>
      </c>
      <c r="E477" t="s">
        <v>958</v>
      </c>
      <c r="F477" t="str">
        <f t="shared" si="14"/>
        <v>8701033</v>
      </c>
    </row>
    <row r="478" spans="1:6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4"/>
        <v>8701033</v>
      </c>
    </row>
    <row r="479" spans="1:6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4"/>
        <v>8701033</v>
      </c>
    </row>
    <row r="480" spans="1:6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4"/>
        <v>8701033</v>
      </c>
    </row>
    <row r="481" spans="1:8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4"/>
        <v>8701033</v>
      </c>
    </row>
    <row r="482" spans="1:8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4"/>
        <v>8701033</v>
      </c>
    </row>
    <row r="483" spans="1:8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4"/>
        <v>8701033</v>
      </c>
    </row>
    <row r="484" spans="1:8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4"/>
        <v>8701033</v>
      </c>
    </row>
    <row r="485" spans="1:8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4"/>
        <v>8701033</v>
      </c>
    </row>
    <row r="486" spans="1:8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4"/>
        <v>8701033</v>
      </c>
    </row>
    <row r="487" spans="1:8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4"/>
        <v>8701033</v>
      </c>
    </row>
    <row r="488" spans="1:8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4"/>
        <v>8701033</v>
      </c>
    </row>
    <row r="489" spans="1:8" x14ac:dyDescent="0.25">
      <c r="A489">
        <v>15611</v>
      </c>
      <c r="B489" t="s">
        <v>7</v>
      </c>
      <c r="C489" t="s">
        <v>981</v>
      </c>
      <c r="D489" t="str">
        <f t="shared" si="15"/>
        <v/>
      </c>
      <c r="E489" t="s">
        <v>982</v>
      </c>
      <c r="F489" t="str">
        <f t="shared" si="14"/>
        <v>8701735</v>
      </c>
      <c r="H489">
        <v>3</v>
      </c>
    </row>
    <row r="490" spans="1:8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4"/>
        <v>8701735</v>
      </c>
    </row>
    <row r="491" spans="1:8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4"/>
        <v>8701735</v>
      </c>
    </row>
    <row r="492" spans="1:8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4"/>
        <v>8701735</v>
      </c>
    </row>
    <row r="493" spans="1:8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4"/>
        <v>8701735</v>
      </c>
    </row>
    <row r="494" spans="1:8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4"/>
        <v>8701735</v>
      </c>
    </row>
    <row r="495" spans="1:8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4"/>
        <v>8701735</v>
      </c>
    </row>
    <row r="496" spans="1:8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4"/>
        <v>8701735</v>
      </c>
    </row>
    <row r="497" spans="1:6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4"/>
        <v>8701735</v>
      </c>
    </row>
    <row r="498" spans="1:6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4"/>
        <v>8701735</v>
      </c>
    </row>
    <row r="499" spans="1:6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4"/>
        <v>8701735</v>
      </c>
    </row>
    <row r="500" spans="1:6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4"/>
        <v>8701735</v>
      </c>
    </row>
    <row r="501" spans="1:6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4"/>
        <v>7709654</v>
      </c>
    </row>
    <row r="502" spans="1:6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4"/>
        <v>7709668</v>
      </c>
    </row>
    <row r="503" spans="1:6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4"/>
        <v>7709855</v>
      </c>
    </row>
    <row r="504" spans="1:6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4"/>
        <v>7709665</v>
      </c>
    </row>
    <row r="505" spans="1:6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4"/>
        <v>7709547</v>
      </c>
    </row>
    <row r="506" spans="1:6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4"/>
        <v>7709572</v>
      </c>
    </row>
    <row r="507" spans="1:6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4"/>
        <v>7709245</v>
      </c>
    </row>
    <row r="508" spans="1:6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4"/>
        <v>7709756</v>
      </c>
    </row>
    <row r="509" spans="1:6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4"/>
        <v>7709754</v>
      </c>
    </row>
    <row r="510" spans="1:6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4"/>
        <v>7709394</v>
      </c>
    </row>
    <row r="511" spans="1:6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4"/>
        <v>7709138</v>
      </c>
    </row>
    <row r="512" spans="1:6" x14ac:dyDescent="0.25">
      <c r="A512">
        <v>15658</v>
      </c>
      <c r="B512" t="s">
        <v>7</v>
      </c>
      <c r="C512" t="s">
        <v>1027</v>
      </c>
      <c r="D512" t="str">
        <f t="shared" si="15"/>
        <v/>
      </c>
      <c r="E512" t="s">
        <v>1028</v>
      </c>
      <c r="F512" t="str">
        <f t="shared" si="14"/>
        <v>8505014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4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si="15"/>
        <v/>
      </c>
      <c r="E514" t="s">
        <v>1032</v>
      </c>
      <c r="F514" t="str">
        <f t="shared" ref="F514:F577" si="16"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5"/>
        <v/>
      </c>
      <c r="E515" t="s">
        <v>1034</v>
      </c>
      <c r="F515" t="str">
        <f t="shared" si="16"/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ref="D516:D579" si="17">IF(RIGHT(LEFT(C516,9),2)="##","",RIGHT(LEFT(C516,10),2))</f>
        <v/>
      </c>
      <c r="E516" t="s">
        <v>1036</v>
      </c>
      <c r="F516" t="str">
        <f t="shared" si="16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6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6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6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6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6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6"/>
        <v>7709459</v>
      </c>
    </row>
    <row r="523" spans="1:9" x14ac:dyDescent="0.25">
      <c r="A523">
        <v>15682</v>
      </c>
      <c r="B523" t="s">
        <v>7</v>
      </c>
      <c r="C523" t="s">
        <v>1049</v>
      </c>
      <c r="D523" t="str">
        <f t="shared" si="17"/>
        <v/>
      </c>
      <c r="E523" t="s">
        <v>1050</v>
      </c>
      <c r="F523" t="str">
        <f t="shared" si="16"/>
        <v>1120106</v>
      </c>
      <c r="H523">
        <v>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6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6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6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6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6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6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6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6"/>
        <v>1120106</v>
      </c>
    </row>
    <row r="532" spans="1:9" x14ac:dyDescent="0.25">
      <c r="A532">
        <v>15695</v>
      </c>
      <c r="B532" t="s">
        <v>7</v>
      </c>
      <c r="C532" t="s">
        <v>1067</v>
      </c>
      <c r="D532" t="str">
        <f t="shared" si="17"/>
        <v/>
      </c>
      <c r="E532" t="s">
        <v>1068</v>
      </c>
      <c r="F532" t="str">
        <f t="shared" si="16"/>
        <v>2401584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6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6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6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6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6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6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6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6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6"/>
        <v>2401584</v>
      </c>
    </row>
    <row r="542" spans="1:9" x14ac:dyDescent="0.25">
      <c r="A542">
        <v>15722</v>
      </c>
      <c r="B542" t="s">
        <v>7</v>
      </c>
      <c r="C542" t="s">
        <v>1087</v>
      </c>
      <c r="D542" t="str">
        <f t="shared" si="17"/>
        <v/>
      </c>
      <c r="E542" t="s">
        <v>1088</v>
      </c>
      <c r="F542" t="str">
        <f t="shared" si="16"/>
        <v>2101496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6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6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6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6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6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6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6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6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6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6"/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 t="shared" si="17"/>
        <v/>
      </c>
      <c r="E553" t="s">
        <v>1110</v>
      </c>
      <c r="F553" t="str">
        <f t="shared" si="16"/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6"/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6"/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6"/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6"/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6"/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6"/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6"/>
        <v>8505196</v>
      </c>
    </row>
    <row r="561" spans="1:6" hidden="1" x14ac:dyDescent="0.25">
      <c r="A561">
        <v>15771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6"/>
        <v>8505262</v>
      </c>
    </row>
    <row r="562" spans="1:6" hidden="1" x14ac:dyDescent="0.25">
      <c r="A562">
        <v>15774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6"/>
        <v>8505367</v>
      </c>
    </row>
    <row r="563" spans="1:6" x14ac:dyDescent="0.25">
      <c r="A563">
        <v>15777</v>
      </c>
      <c r="B563" t="s">
        <v>7</v>
      </c>
      <c r="C563" t="s">
        <v>1129</v>
      </c>
      <c r="D563" t="str">
        <f t="shared" si="17"/>
        <v/>
      </c>
      <c r="E563" t="s">
        <v>1130</v>
      </c>
      <c r="F563" t="str">
        <f t="shared" si="16"/>
        <v>8505220</v>
      </c>
    </row>
    <row r="564" spans="1:6" hidden="1" x14ac:dyDescent="0.25">
      <c r="A564">
        <v>15778</v>
      </c>
      <c r="B564" t="s">
        <v>10</v>
      </c>
      <c r="C564" t="s">
        <v>1131</v>
      </c>
      <c r="D564" t="str">
        <f t="shared" si="17"/>
        <v/>
      </c>
      <c r="E564" t="s">
        <v>1132</v>
      </c>
      <c r="F564" t="str">
        <f t="shared" si="16"/>
        <v>8505220</v>
      </c>
    </row>
    <row r="565" spans="1:6" hidden="1" x14ac:dyDescent="0.25">
      <c r="A565">
        <v>15786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6"/>
        <v>8505220</v>
      </c>
    </row>
    <row r="566" spans="1:6" hidden="1" x14ac:dyDescent="0.25">
      <c r="A566">
        <v>15787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6"/>
        <v>8505220</v>
      </c>
    </row>
    <row r="567" spans="1:6" hidden="1" x14ac:dyDescent="0.25">
      <c r="A567">
        <v>15788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6"/>
        <v>8505220</v>
      </c>
    </row>
    <row r="568" spans="1:6" hidden="1" x14ac:dyDescent="0.25">
      <c r="A568">
        <v>15789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6"/>
        <v>8505220</v>
      </c>
    </row>
    <row r="569" spans="1:6" hidden="1" x14ac:dyDescent="0.25">
      <c r="A569">
        <v>15790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6"/>
        <v>8505220</v>
      </c>
    </row>
    <row r="570" spans="1:6" hidden="1" x14ac:dyDescent="0.25">
      <c r="A570">
        <v>15791</v>
      </c>
      <c r="B570" t="s">
        <v>4</v>
      </c>
      <c r="C570" t="s">
        <v>1143</v>
      </c>
      <c r="D570" t="str">
        <f t="shared" si="17"/>
        <v/>
      </c>
      <c r="E570" t="s">
        <v>1144</v>
      </c>
      <c r="F570" t="str">
        <f t="shared" si="16"/>
        <v>8505131</v>
      </c>
    </row>
    <row r="571" spans="1:6" hidden="1" x14ac:dyDescent="0.25">
      <c r="A571">
        <v>15794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6"/>
        <v>8505109</v>
      </c>
    </row>
    <row r="572" spans="1:6" hidden="1" x14ac:dyDescent="0.25">
      <c r="A572">
        <v>15797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6"/>
        <v>8505157</v>
      </c>
    </row>
    <row r="573" spans="1:6" hidden="1" x14ac:dyDescent="0.25">
      <c r="A573">
        <v>15803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6"/>
        <v>8505158</v>
      </c>
    </row>
    <row r="574" spans="1:6" hidden="1" x14ac:dyDescent="0.25">
      <c r="A574">
        <v>15806</v>
      </c>
      <c r="B574" t="s">
        <v>4</v>
      </c>
      <c r="C574" t="s">
        <v>1151</v>
      </c>
      <c r="D574" t="str">
        <f t="shared" si="17"/>
        <v/>
      </c>
      <c r="E574" t="s">
        <v>1152</v>
      </c>
      <c r="F574" t="str">
        <f t="shared" si="16"/>
        <v>8505139</v>
      </c>
    </row>
    <row r="575" spans="1:6" hidden="1" x14ac:dyDescent="0.25">
      <c r="A575">
        <v>15809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6"/>
        <v>7707159</v>
      </c>
    </row>
    <row r="576" spans="1:6" hidden="1" x14ac:dyDescent="0.25">
      <c r="A576">
        <v>15813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6"/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6"/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 t="shared" si="17"/>
        <v/>
      </c>
      <c r="E578" t="s">
        <v>1160</v>
      </c>
      <c r="F578" t="str">
        <f t="shared" ref="F578:F641" si="18"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 t="shared" si="17"/>
        <v/>
      </c>
      <c r="E579" t="s">
        <v>1162</v>
      </c>
      <c r="F579" t="str">
        <f t="shared" si="18"/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 t="shared" ref="D580:D584" si="19">IF(RIGHT(LEFT(C580,9),2)="##","",RIGHT(LEFT(C580,10),2))</f>
        <v/>
      </c>
      <c r="E580" t="s">
        <v>1164</v>
      </c>
      <c r="F580" t="str">
        <f t="shared" si="18"/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18"/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18"/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18"/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18"/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6906</v>
      </c>
      <c r="E585" t="s">
        <v>1174</v>
      </c>
      <c r="F585" t="str">
        <f t="shared" si="18"/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 t="shared" ref="D586:D649" si="20">IF(RIGHT(LEFT(C586,9),2)="##","",RIGHT(LEFT(C586,10),2))</f>
        <v>18</v>
      </c>
      <c r="E586" t="s">
        <v>1176</v>
      </c>
      <c r="F586" t="str">
        <f t="shared" si="18"/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 t="shared" si="20"/>
        <v>09</v>
      </c>
      <c r="E587" t="s">
        <v>1178</v>
      </c>
      <c r="F587" t="str">
        <f t="shared" si="18"/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 t="shared" si="20"/>
        <v/>
      </c>
      <c r="E588" t="s">
        <v>1180</v>
      </c>
      <c r="F588" t="str">
        <f t="shared" si="18"/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 t="shared" si="20"/>
        <v/>
      </c>
      <c r="E589" t="s">
        <v>1182</v>
      </c>
      <c r="F589" t="str">
        <f t="shared" si="18"/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 t="shared" si="20"/>
        <v/>
      </c>
      <c r="E590" t="s">
        <v>1184</v>
      </c>
      <c r="F590" t="str">
        <f t="shared" si="18"/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 t="shared" si="20"/>
        <v/>
      </c>
      <c r="E591" t="s">
        <v>1186</v>
      </c>
      <c r="F591" t="str">
        <f t="shared" si="18"/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 t="shared" si="20"/>
        <v/>
      </c>
      <c r="E592" t="s">
        <v>1188</v>
      </c>
      <c r="F592" t="str">
        <f t="shared" si="18"/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 t="shared" si="20"/>
        <v/>
      </c>
      <c r="E593" t="s">
        <v>1190</v>
      </c>
      <c r="F593" t="str">
        <f t="shared" si="18"/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 t="shared" si="20"/>
        <v/>
      </c>
      <c r="E594" t="s">
        <v>1192</v>
      </c>
      <c r="F594" t="str">
        <f t="shared" si="18"/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 t="shared" si="20"/>
        <v/>
      </c>
      <c r="E595" t="s">
        <v>1194</v>
      </c>
      <c r="F595" t="str">
        <f t="shared" si="18"/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 t="shared" si="20"/>
        <v/>
      </c>
      <c r="E596" t="s">
        <v>1196</v>
      </c>
      <c r="F596" t="str">
        <f t="shared" si="18"/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 t="shared" si="20"/>
        <v/>
      </c>
      <c r="E597" t="s">
        <v>1198</v>
      </c>
      <c r="F597" t="str">
        <f t="shared" si="18"/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 t="shared" si="20"/>
        <v/>
      </c>
      <c r="E598" t="s">
        <v>1200</v>
      </c>
      <c r="F598" t="str">
        <f t="shared" si="18"/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 t="shared" si="20"/>
        <v/>
      </c>
      <c r="E599" t="s">
        <v>1202</v>
      </c>
      <c r="F599" t="str">
        <f t="shared" si="18"/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 t="shared" si="20"/>
        <v/>
      </c>
      <c r="E600" t="s">
        <v>1204</v>
      </c>
      <c r="F600" t="str">
        <f t="shared" si="18"/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 t="shared" si="20"/>
        <v/>
      </c>
      <c r="E601" t="s">
        <v>1206</v>
      </c>
      <c r="F601" t="str">
        <f t="shared" si="18"/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 t="shared" si="20"/>
        <v/>
      </c>
      <c r="E602" t="s">
        <v>1208</v>
      </c>
      <c r="F602" t="str">
        <f t="shared" si="18"/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 t="shared" si="20"/>
        <v/>
      </c>
      <c r="E603" t="s">
        <v>1210</v>
      </c>
      <c r="F603" t="str">
        <f t="shared" si="18"/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 t="shared" si="20"/>
        <v/>
      </c>
      <c r="E604" t="s">
        <v>1212</v>
      </c>
      <c r="F604" t="str">
        <f t="shared" si="18"/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 t="shared" si="20"/>
        <v/>
      </c>
      <c r="E605" t="s">
        <v>1214</v>
      </c>
      <c r="F605" t="str">
        <f t="shared" si="18"/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 t="shared" si="20"/>
        <v/>
      </c>
      <c r="E606" t="s">
        <v>1216</v>
      </c>
      <c r="F606" t="str">
        <f t="shared" si="18"/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 t="shared" si="20"/>
        <v/>
      </c>
      <c r="E607" t="s">
        <v>1218</v>
      </c>
      <c r="F607" t="str">
        <f t="shared" si="18"/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 t="shared" si="20"/>
        <v/>
      </c>
      <c r="E608" t="s">
        <v>1220</v>
      </c>
      <c r="F608" t="str">
        <f t="shared" si="18"/>
        <v>8703550</v>
      </c>
    </row>
    <row r="609" spans="1:6" x14ac:dyDescent="0.25">
      <c r="A609">
        <v>15943</v>
      </c>
      <c r="B609" t="s">
        <v>7</v>
      </c>
      <c r="C609" t="s">
        <v>1221</v>
      </c>
      <c r="D609" t="str">
        <f t="shared" si="20"/>
        <v/>
      </c>
      <c r="E609" t="s">
        <v>1222</v>
      </c>
      <c r="F609" t="str">
        <f t="shared" si="18"/>
        <v>8707113</v>
      </c>
    </row>
    <row r="610" spans="1:6" hidden="1" x14ac:dyDescent="0.25">
      <c r="A610">
        <v>15944</v>
      </c>
      <c r="B610" t="s">
        <v>10</v>
      </c>
      <c r="C610" t="s">
        <v>1223</v>
      </c>
      <c r="D610" t="str">
        <f t="shared" si="20"/>
        <v/>
      </c>
      <c r="E610" t="s">
        <v>1224</v>
      </c>
      <c r="F610" t="str">
        <f t="shared" si="18"/>
        <v>8707113</v>
      </c>
    </row>
    <row r="611" spans="1:6" hidden="1" x14ac:dyDescent="0.25">
      <c r="A611">
        <v>15948</v>
      </c>
      <c r="B611" t="s">
        <v>10</v>
      </c>
      <c r="C611" t="s">
        <v>1225</v>
      </c>
      <c r="D611" t="str">
        <f t="shared" si="20"/>
        <v/>
      </c>
      <c r="E611" t="s">
        <v>1226</v>
      </c>
      <c r="F611" t="str">
        <f t="shared" si="18"/>
        <v>8707113</v>
      </c>
    </row>
    <row r="612" spans="1:6" hidden="1" x14ac:dyDescent="0.25">
      <c r="A612">
        <v>15949</v>
      </c>
      <c r="B612" t="s">
        <v>4</v>
      </c>
      <c r="C612" t="s">
        <v>1227</v>
      </c>
      <c r="D612" t="str">
        <f t="shared" si="20"/>
        <v/>
      </c>
      <c r="E612" t="s">
        <v>1228</v>
      </c>
      <c r="F612" t="str">
        <f t="shared" si="18"/>
        <v>8520124</v>
      </c>
    </row>
    <row r="613" spans="1:6" hidden="1" x14ac:dyDescent="0.25">
      <c r="A613">
        <v>15958</v>
      </c>
      <c r="B613" t="s">
        <v>4</v>
      </c>
      <c r="C613" t="s">
        <v>1229</v>
      </c>
      <c r="D613" t="str">
        <f t="shared" si="20"/>
        <v/>
      </c>
      <c r="E613" t="s">
        <v>1230</v>
      </c>
      <c r="F613" t="str">
        <f t="shared" si="18"/>
        <v>8705555</v>
      </c>
    </row>
    <row r="614" spans="1:6" hidden="1" x14ac:dyDescent="0.25">
      <c r="A614">
        <v>15964</v>
      </c>
      <c r="B614" t="s">
        <v>4</v>
      </c>
      <c r="C614" t="s">
        <v>1231</v>
      </c>
      <c r="D614" t="str">
        <f t="shared" si="20"/>
        <v/>
      </c>
      <c r="E614" t="s">
        <v>1232</v>
      </c>
      <c r="F614" t="str">
        <f t="shared" si="18"/>
        <v>8501551</v>
      </c>
    </row>
    <row r="615" spans="1:6" hidden="1" x14ac:dyDescent="0.25">
      <c r="A615">
        <v>15969</v>
      </c>
      <c r="B615" t="s">
        <v>4</v>
      </c>
      <c r="C615" t="s">
        <v>1233</v>
      </c>
      <c r="D615" t="str">
        <f t="shared" si="20"/>
        <v/>
      </c>
      <c r="E615" t="s">
        <v>1234</v>
      </c>
      <c r="F615" t="str">
        <f t="shared" si="18"/>
        <v>8703018</v>
      </c>
    </row>
    <row r="616" spans="1:6" hidden="1" x14ac:dyDescent="0.25">
      <c r="A616">
        <v>15973</v>
      </c>
      <c r="B616" t="s">
        <v>4</v>
      </c>
      <c r="C616" t="s">
        <v>1235</v>
      </c>
      <c r="D616" t="str">
        <f t="shared" si="20"/>
        <v/>
      </c>
      <c r="E616" t="s">
        <v>1236</v>
      </c>
      <c r="F616" t="str">
        <f t="shared" si="18"/>
        <v>8503224</v>
      </c>
    </row>
    <row r="617" spans="1:6" hidden="1" x14ac:dyDescent="0.25">
      <c r="A617">
        <v>15977</v>
      </c>
      <c r="B617" t="s">
        <v>4</v>
      </c>
      <c r="C617" t="s">
        <v>1237</v>
      </c>
      <c r="D617" t="str">
        <f t="shared" si="20"/>
        <v/>
      </c>
      <c r="E617" t="s">
        <v>1238</v>
      </c>
      <c r="F617" t="str">
        <f t="shared" si="18"/>
        <v>8612500</v>
      </c>
    </row>
    <row r="618" spans="1:6" x14ac:dyDescent="0.25">
      <c r="A618">
        <v>15980</v>
      </c>
      <c r="B618" t="s">
        <v>7</v>
      </c>
      <c r="C618" t="s">
        <v>1239</v>
      </c>
      <c r="D618" t="str">
        <f t="shared" si="20"/>
        <v/>
      </c>
      <c r="E618" t="s">
        <v>1240</v>
      </c>
      <c r="F618" t="str">
        <f t="shared" si="18"/>
        <v>8701093</v>
      </c>
    </row>
    <row r="619" spans="1:6" hidden="1" x14ac:dyDescent="0.25">
      <c r="A619">
        <v>15981</v>
      </c>
      <c r="B619" t="s">
        <v>10</v>
      </c>
      <c r="C619" t="s">
        <v>1241</v>
      </c>
      <c r="D619" t="str">
        <f t="shared" si="20"/>
        <v/>
      </c>
      <c r="E619" t="s">
        <v>1242</v>
      </c>
      <c r="F619" t="str">
        <f t="shared" si="18"/>
        <v>8701093</v>
      </c>
    </row>
    <row r="620" spans="1:6" hidden="1" x14ac:dyDescent="0.25">
      <c r="A620">
        <v>15983</v>
      </c>
      <c r="B620" t="s">
        <v>10</v>
      </c>
      <c r="C620" t="s">
        <v>1243</v>
      </c>
      <c r="D620" t="str">
        <f t="shared" si="20"/>
        <v/>
      </c>
      <c r="E620" t="s">
        <v>1244</v>
      </c>
      <c r="F620" t="str">
        <f t="shared" si="18"/>
        <v>8701093</v>
      </c>
    </row>
    <row r="621" spans="1:6" hidden="1" x14ac:dyDescent="0.25">
      <c r="A621">
        <v>15984</v>
      </c>
      <c r="B621" t="s">
        <v>10</v>
      </c>
      <c r="C621" t="s">
        <v>1245</v>
      </c>
      <c r="D621" t="str">
        <f t="shared" si="20"/>
        <v/>
      </c>
      <c r="E621" t="s">
        <v>1246</v>
      </c>
      <c r="F621" t="str">
        <f t="shared" si="18"/>
        <v>8701093</v>
      </c>
    </row>
    <row r="622" spans="1:6" hidden="1" x14ac:dyDescent="0.25">
      <c r="A622">
        <v>15985</v>
      </c>
      <c r="B622" t="s">
        <v>10</v>
      </c>
      <c r="C622" t="s">
        <v>1247</v>
      </c>
      <c r="D622" t="str">
        <f t="shared" si="20"/>
        <v/>
      </c>
      <c r="E622" t="s">
        <v>1248</v>
      </c>
      <c r="F622" t="str">
        <f t="shared" si="18"/>
        <v>8701093</v>
      </c>
    </row>
    <row r="623" spans="1:6" hidden="1" x14ac:dyDescent="0.25">
      <c r="A623">
        <v>15986</v>
      </c>
      <c r="B623" t="s">
        <v>4</v>
      </c>
      <c r="C623" t="s">
        <v>1249</v>
      </c>
      <c r="D623" t="str">
        <f t="shared" si="20"/>
        <v/>
      </c>
      <c r="E623" t="s">
        <v>1250</v>
      </c>
      <c r="F623" t="str">
        <f t="shared" si="18"/>
        <v>8503045</v>
      </c>
    </row>
    <row r="624" spans="1:6" hidden="1" x14ac:dyDescent="0.25">
      <c r="A624">
        <v>15991</v>
      </c>
      <c r="B624" t="s">
        <v>4</v>
      </c>
      <c r="C624" t="s">
        <v>1251</v>
      </c>
      <c r="D624" t="str">
        <f t="shared" si="20"/>
        <v/>
      </c>
      <c r="E624" t="s">
        <v>1252</v>
      </c>
      <c r="F624" t="str">
        <f t="shared" si="18"/>
        <v>8503310</v>
      </c>
    </row>
    <row r="625" spans="1:6" hidden="1" x14ac:dyDescent="0.25">
      <c r="A625">
        <v>15994</v>
      </c>
      <c r="B625" t="s">
        <v>4</v>
      </c>
      <c r="C625" t="s">
        <v>1253</v>
      </c>
      <c r="D625" t="str">
        <f t="shared" si="20"/>
        <v/>
      </c>
      <c r="E625" t="s">
        <v>1254</v>
      </c>
      <c r="F625" t="str">
        <f t="shared" si="18"/>
        <v>8401001</v>
      </c>
    </row>
    <row r="626" spans="1:6" hidden="1" x14ac:dyDescent="0.25">
      <c r="A626">
        <v>15997</v>
      </c>
      <c r="B626" t="s">
        <v>4</v>
      </c>
      <c r="C626" t="s">
        <v>1255</v>
      </c>
      <c r="D626" t="str">
        <f t="shared" si="20"/>
        <v/>
      </c>
      <c r="E626" t="s">
        <v>1256</v>
      </c>
      <c r="F626" t="str">
        <f t="shared" si="18"/>
        <v>5919165</v>
      </c>
    </row>
    <row r="627" spans="1:6" hidden="1" x14ac:dyDescent="0.25">
      <c r="A627">
        <v>16003</v>
      </c>
      <c r="B627" t="s">
        <v>4</v>
      </c>
      <c r="C627" t="s">
        <v>1257</v>
      </c>
      <c r="D627" t="str">
        <f t="shared" si="20"/>
        <v/>
      </c>
      <c r="E627" t="s">
        <v>1258</v>
      </c>
      <c r="F627" t="str">
        <f t="shared" si="18"/>
        <v>8503003</v>
      </c>
    </row>
    <row r="628" spans="1:6" hidden="1" x14ac:dyDescent="0.25">
      <c r="A628">
        <v>16006</v>
      </c>
      <c r="B628" t="s">
        <v>4</v>
      </c>
      <c r="C628" t="s">
        <v>1259</v>
      </c>
      <c r="D628" t="str">
        <f t="shared" si="20"/>
        <v/>
      </c>
      <c r="E628" t="s">
        <v>1260</v>
      </c>
      <c r="F628" t="str">
        <f t="shared" si="18"/>
        <v>8503000</v>
      </c>
    </row>
    <row r="629" spans="1:6" hidden="1" x14ac:dyDescent="0.25">
      <c r="A629">
        <v>16009</v>
      </c>
      <c r="B629" t="s">
        <v>4</v>
      </c>
      <c r="C629" t="s">
        <v>1261</v>
      </c>
      <c r="D629" t="str">
        <f t="shared" si="20"/>
        <v/>
      </c>
      <c r="E629" t="s">
        <v>1262</v>
      </c>
      <c r="F629" t="str">
        <f t="shared" si="18"/>
        <v>8503012</v>
      </c>
    </row>
    <row r="630" spans="1:6" hidden="1" x14ac:dyDescent="0.25">
      <c r="A630">
        <v>16012</v>
      </c>
      <c r="B630" t="s">
        <v>4</v>
      </c>
      <c r="C630" t="s">
        <v>1263</v>
      </c>
      <c r="D630" t="str">
        <f t="shared" si="20"/>
        <v/>
      </c>
      <c r="E630" t="s">
        <v>1264</v>
      </c>
      <c r="F630" t="str">
        <f t="shared" si="18"/>
        <v>8707555</v>
      </c>
    </row>
    <row r="631" spans="1:6" hidden="1" x14ac:dyDescent="0.25">
      <c r="A631">
        <v>16016</v>
      </c>
      <c r="B631" t="s">
        <v>4</v>
      </c>
      <c r="C631" t="s">
        <v>1265</v>
      </c>
      <c r="D631" t="str">
        <f t="shared" si="20"/>
        <v/>
      </c>
      <c r="E631" t="s">
        <v>1266</v>
      </c>
      <c r="F631" t="str">
        <f t="shared" si="18"/>
        <v>8705554</v>
      </c>
    </row>
    <row r="632" spans="1:6" hidden="1" x14ac:dyDescent="0.25">
      <c r="A632">
        <v>16020</v>
      </c>
      <c r="B632" t="s">
        <v>4</v>
      </c>
      <c r="C632" t="s">
        <v>1267</v>
      </c>
      <c r="D632" t="str">
        <f t="shared" si="20"/>
        <v/>
      </c>
      <c r="E632" t="s">
        <v>1268</v>
      </c>
      <c r="F632" t="str">
        <f t="shared" si="18"/>
        <v>8705553</v>
      </c>
    </row>
    <row r="633" spans="1:6" hidden="1" x14ac:dyDescent="0.25">
      <c r="A633">
        <v>16025</v>
      </c>
      <c r="B633" t="s">
        <v>4</v>
      </c>
      <c r="C633" t="s">
        <v>1269</v>
      </c>
      <c r="D633" t="str">
        <f t="shared" si="20"/>
        <v/>
      </c>
      <c r="E633" t="s">
        <v>1270</v>
      </c>
      <c r="F633" t="str">
        <f t="shared" si="18"/>
        <v>8705556</v>
      </c>
    </row>
    <row r="634" spans="1:6" hidden="1" x14ac:dyDescent="0.25">
      <c r="A634">
        <v>16029</v>
      </c>
      <c r="B634" t="s">
        <v>4</v>
      </c>
      <c r="C634" t="s">
        <v>1271</v>
      </c>
      <c r="D634" t="str">
        <f t="shared" si="20"/>
        <v/>
      </c>
      <c r="E634" t="s">
        <v>1272</v>
      </c>
      <c r="F634" t="str">
        <f t="shared" si="18"/>
        <v>8703553</v>
      </c>
    </row>
    <row r="635" spans="1:6" hidden="1" x14ac:dyDescent="0.25">
      <c r="A635">
        <v>16033</v>
      </c>
      <c r="B635" t="s">
        <v>4</v>
      </c>
      <c r="C635" t="s">
        <v>1273</v>
      </c>
      <c r="D635" t="str">
        <f t="shared" si="20"/>
        <v/>
      </c>
      <c r="E635" t="s">
        <v>1274</v>
      </c>
      <c r="F635" t="str">
        <f t="shared" si="18"/>
        <v>8701001</v>
      </c>
    </row>
    <row r="636" spans="1:6" x14ac:dyDescent="0.25">
      <c r="A636">
        <v>16037</v>
      </c>
      <c r="B636" t="s">
        <v>7</v>
      </c>
      <c r="C636" t="s">
        <v>1275</v>
      </c>
      <c r="D636" t="str">
        <f t="shared" si="20"/>
        <v/>
      </c>
      <c r="E636" t="s">
        <v>1276</v>
      </c>
      <c r="F636" t="str">
        <f t="shared" si="18"/>
        <v>2220591</v>
      </c>
    </row>
    <row r="637" spans="1:6" hidden="1" x14ac:dyDescent="0.25">
      <c r="A637">
        <v>16038</v>
      </c>
      <c r="B637" t="s">
        <v>10</v>
      </c>
      <c r="C637" t="s">
        <v>1277</v>
      </c>
      <c r="D637" t="str">
        <f t="shared" si="20"/>
        <v/>
      </c>
      <c r="E637" t="s">
        <v>1278</v>
      </c>
      <c r="F637" t="str">
        <f t="shared" si="18"/>
        <v>2220591</v>
      </c>
    </row>
    <row r="638" spans="1:6" hidden="1" x14ac:dyDescent="0.25">
      <c r="A638">
        <v>16039</v>
      </c>
      <c r="B638" t="s">
        <v>10</v>
      </c>
      <c r="C638" t="s">
        <v>1279</v>
      </c>
      <c r="D638" t="str">
        <f t="shared" si="20"/>
        <v/>
      </c>
      <c r="E638" t="s">
        <v>1280</v>
      </c>
      <c r="F638" t="str">
        <f t="shared" si="18"/>
        <v>2220591</v>
      </c>
    </row>
    <row r="639" spans="1:6" hidden="1" x14ac:dyDescent="0.25">
      <c r="A639">
        <v>16040</v>
      </c>
      <c r="B639" t="s">
        <v>10</v>
      </c>
      <c r="C639" t="s">
        <v>1281</v>
      </c>
      <c r="D639" t="str">
        <f t="shared" si="20"/>
        <v/>
      </c>
      <c r="E639" t="s">
        <v>1282</v>
      </c>
      <c r="F639" t="str">
        <f t="shared" si="18"/>
        <v>2220591</v>
      </c>
    </row>
    <row r="640" spans="1:6" hidden="1" x14ac:dyDescent="0.25">
      <c r="A640">
        <v>16041</v>
      </c>
      <c r="B640" t="s">
        <v>4</v>
      </c>
      <c r="C640" t="s">
        <v>1283</v>
      </c>
      <c r="D640" t="str">
        <f t="shared" si="20"/>
        <v/>
      </c>
      <c r="E640" t="s">
        <v>1284</v>
      </c>
      <c r="F640" t="str">
        <f t="shared" si="18"/>
        <v>8702661</v>
      </c>
    </row>
    <row r="641" spans="1:8" hidden="1" x14ac:dyDescent="0.25">
      <c r="A641">
        <v>16047</v>
      </c>
      <c r="B641" t="s">
        <v>4</v>
      </c>
      <c r="C641" t="s">
        <v>1285</v>
      </c>
      <c r="D641" t="str">
        <f t="shared" si="20"/>
        <v/>
      </c>
      <c r="E641" t="s">
        <v>1286</v>
      </c>
      <c r="F641" t="str">
        <f t="shared" si="18"/>
        <v>8708024</v>
      </c>
    </row>
    <row r="642" spans="1:8" x14ac:dyDescent="0.25">
      <c r="A642">
        <v>16053</v>
      </c>
      <c r="B642" t="s">
        <v>7</v>
      </c>
      <c r="C642" t="s">
        <v>1287</v>
      </c>
      <c r="D642" t="str">
        <f t="shared" si="20"/>
        <v/>
      </c>
      <c r="E642" t="s">
        <v>1288</v>
      </c>
      <c r="F642" t="str">
        <f t="shared" ref="F642:F705" si="21">LEFT(C642,7)</f>
        <v>8301008</v>
      </c>
      <c r="H642">
        <v>2</v>
      </c>
    </row>
    <row r="643" spans="1:8" hidden="1" x14ac:dyDescent="0.25">
      <c r="A643">
        <v>16054</v>
      </c>
      <c r="B643" t="s">
        <v>10</v>
      </c>
      <c r="C643" t="s">
        <v>1289</v>
      </c>
      <c r="D643" t="str">
        <f t="shared" si="20"/>
        <v/>
      </c>
      <c r="E643" t="s">
        <v>1290</v>
      </c>
      <c r="F643" t="str">
        <f t="shared" si="21"/>
        <v>8301008</v>
      </c>
    </row>
    <row r="644" spans="1:8" hidden="1" x14ac:dyDescent="0.25">
      <c r="A644">
        <v>16058</v>
      </c>
      <c r="B644" t="s">
        <v>10</v>
      </c>
      <c r="C644" t="s">
        <v>1291</v>
      </c>
      <c r="D644" t="str">
        <f t="shared" si="20"/>
        <v/>
      </c>
      <c r="E644" t="s">
        <v>1292</v>
      </c>
      <c r="F644" t="str">
        <f t="shared" si="21"/>
        <v>8301008</v>
      </c>
    </row>
    <row r="645" spans="1:8" hidden="1" x14ac:dyDescent="0.25">
      <c r="A645">
        <v>16059</v>
      </c>
      <c r="B645" t="s">
        <v>10</v>
      </c>
      <c r="C645" t="s">
        <v>1293</v>
      </c>
      <c r="D645" t="str">
        <f t="shared" si="20"/>
        <v/>
      </c>
      <c r="E645" t="s">
        <v>1294</v>
      </c>
      <c r="F645" t="str">
        <f t="shared" si="21"/>
        <v>8301008</v>
      </c>
    </row>
    <row r="646" spans="1:8" hidden="1" x14ac:dyDescent="0.25">
      <c r="A646">
        <v>16060</v>
      </c>
      <c r="B646" t="s">
        <v>10</v>
      </c>
      <c r="C646" t="s">
        <v>1295</v>
      </c>
      <c r="D646" t="str">
        <f t="shared" si="20"/>
        <v/>
      </c>
      <c r="E646" t="s">
        <v>1296</v>
      </c>
      <c r="F646" t="str">
        <f t="shared" si="21"/>
        <v>8301008</v>
      </c>
    </row>
    <row r="647" spans="1:8" hidden="1" x14ac:dyDescent="0.25">
      <c r="A647">
        <v>16061</v>
      </c>
      <c r="B647" t="s">
        <v>10</v>
      </c>
      <c r="C647" t="s">
        <v>1297</v>
      </c>
      <c r="D647" t="str">
        <f t="shared" si="20"/>
        <v/>
      </c>
      <c r="E647" t="s">
        <v>1298</v>
      </c>
      <c r="F647" t="str">
        <f t="shared" si="21"/>
        <v>8301008</v>
      </c>
    </row>
    <row r="648" spans="1:8" hidden="1" x14ac:dyDescent="0.25">
      <c r="A648">
        <v>16062</v>
      </c>
      <c r="B648" t="s">
        <v>10</v>
      </c>
      <c r="C648" t="s">
        <v>1299</v>
      </c>
      <c r="D648" t="str">
        <f t="shared" si="20"/>
        <v/>
      </c>
      <c r="E648" t="s">
        <v>1300</v>
      </c>
      <c r="F648" t="str">
        <f t="shared" si="21"/>
        <v>8301008</v>
      </c>
    </row>
    <row r="649" spans="1:8" hidden="1" x14ac:dyDescent="0.25">
      <c r="A649">
        <v>16063</v>
      </c>
      <c r="B649" t="s">
        <v>4</v>
      </c>
      <c r="C649" t="s">
        <v>1301</v>
      </c>
      <c r="D649" t="str">
        <f t="shared" si="20"/>
        <v/>
      </c>
      <c r="E649" t="s">
        <v>1302</v>
      </c>
      <c r="F649" t="str">
        <f t="shared" si="21"/>
        <v>8301311</v>
      </c>
    </row>
    <row r="650" spans="1:8" hidden="1" x14ac:dyDescent="0.25">
      <c r="A650">
        <v>16069</v>
      </c>
      <c r="B650" t="s">
        <v>4</v>
      </c>
      <c r="C650" t="s">
        <v>1303</v>
      </c>
      <c r="D650" t="str">
        <f t="shared" ref="D650:D713" si="22">IF(RIGHT(LEFT(C650,9),2)="##","",RIGHT(LEFT(C650,10),2))</f>
        <v/>
      </c>
      <c r="E650" t="s">
        <v>1304</v>
      </c>
      <c r="F650" t="str">
        <f t="shared" si="21"/>
        <v>8703557</v>
      </c>
    </row>
    <row r="651" spans="1:8" hidden="1" x14ac:dyDescent="0.25">
      <c r="A651">
        <v>16074</v>
      </c>
      <c r="B651" t="s">
        <v>4</v>
      </c>
      <c r="C651" t="s">
        <v>1305</v>
      </c>
      <c r="D651" t="str">
        <f t="shared" si="22"/>
        <v/>
      </c>
      <c r="E651" t="s">
        <v>1306</v>
      </c>
      <c r="F651" t="str">
        <f t="shared" si="21"/>
        <v>8703509</v>
      </c>
    </row>
    <row r="652" spans="1:8" hidden="1" x14ac:dyDescent="0.25">
      <c r="A652">
        <v>16079</v>
      </c>
      <c r="B652" t="s">
        <v>4</v>
      </c>
      <c r="C652" t="s">
        <v>1307</v>
      </c>
      <c r="D652" t="str">
        <f t="shared" si="22"/>
        <v/>
      </c>
      <c r="E652" t="s">
        <v>1308</v>
      </c>
      <c r="F652" t="str">
        <f t="shared" si="21"/>
        <v>8708107</v>
      </c>
    </row>
    <row r="653" spans="1:8" hidden="1" x14ac:dyDescent="0.25">
      <c r="A653">
        <v>16084</v>
      </c>
      <c r="B653" t="s">
        <v>4</v>
      </c>
      <c r="C653" t="s">
        <v>1309</v>
      </c>
      <c r="D653" t="str">
        <f t="shared" si="22"/>
        <v/>
      </c>
      <c r="E653" t="s">
        <v>1310</v>
      </c>
      <c r="F653" t="str">
        <f t="shared" si="21"/>
        <v>8708040</v>
      </c>
    </row>
    <row r="654" spans="1:8" hidden="1" x14ac:dyDescent="0.25">
      <c r="A654">
        <v>16089</v>
      </c>
      <c r="B654" t="s">
        <v>4</v>
      </c>
      <c r="C654" t="s">
        <v>1311</v>
      </c>
      <c r="D654" t="str">
        <f t="shared" si="22"/>
        <v/>
      </c>
      <c r="E654" t="s">
        <v>1312</v>
      </c>
      <c r="F654" t="str">
        <f t="shared" si="21"/>
        <v>8703960</v>
      </c>
    </row>
    <row r="655" spans="1:8" hidden="1" x14ac:dyDescent="0.25">
      <c r="A655">
        <v>16098</v>
      </c>
      <c r="B655" t="s">
        <v>4</v>
      </c>
      <c r="C655" t="s">
        <v>1313</v>
      </c>
      <c r="D655" t="str">
        <f t="shared" si="22"/>
        <v/>
      </c>
      <c r="E655" t="s">
        <v>1314</v>
      </c>
      <c r="F655" t="str">
        <f t="shared" si="21"/>
        <v>8703208</v>
      </c>
    </row>
    <row r="656" spans="1:8" hidden="1" x14ac:dyDescent="0.25">
      <c r="A656">
        <v>16104</v>
      </c>
      <c r="B656" t="s">
        <v>4</v>
      </c>
      <c r="C656" t="s">
        <v>1315</v>
      </c>
      <c r="D656" t="str">
        <f t="shared" si="22"/>
        <v/>
      </c>
      <c r="E656" t="s">
        <v>1316</v>
      </c>
      <c r="F656" t="str">
        <f t="shared" si="21"/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 t="shared" si="22"/>
        <v/>
      </c>
      <c r="E657" t="s">
        <v>1318</v>
      </c>
      <c r="F657" t="str">
        <f t="shared" si="21"/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 t="shared" si="22"/>
        <v/>
      </c>
      <c r="E658" t="s">
        <v>1320</v>
      </c>
      <c r="F658" t="str">
        <f t="shared" si="21"/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 t="shared" si="22"/>
        <v/>
      </c>
      <c r="E659" t="s">
        <v>1322</v>
      </c>
      <c r="F659" t="str">
        <f t="shared" si="21"/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 t="shared" si="22"/>
        <v/>
      </c>
      <c r="E660" t="s">
        <v>1324</v>
      </c>
      <c r="F660" t="str">
        <f t="shared" si="21"/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 t="shared" si="22"/>
        <v/>
      </c>
      <c r="E661" t="s">
        <v>1326</v>
      </c>
      <c r="F661" t="str">
        <f t="shared" si="21"/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 t="shared" si="22"/>
        <v/>
      </c>
      <c r="E662" t="s">
        <v>1328</v>
      </c>
      <c r="F662" t="str">
        <f t="shared" si="21"/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 t="shared" si="22"/>
        <v/>
      </c>
      <c r="E663" t="s">
        <v>1330</v>
      </c>
      <c r="F663" t="str">
        <f t="shared" si="21"/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 t="shared" si="22"/>
        <v/>
      </c>
      <c r="E664" t="s">
        <v>1332</v>
      </c>
      <c r="F664" t="str">
        <f t="shared" si="21"/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 t="shared" si="22"/>
        <v/>
      </c>
      <c r="E665" t="s">
        <v>1334</v>
      </c>
      <c r="F665" t="str">
        <f t="shared" si="21"/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 t="shared" si="22"/>
        <v/>
      </c>
      <c r="E666" t="s">
        <v>1336</v>
      </c>
      <c r="F666" t="str">
        <f t="shared" si="21"/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 t="shared" si="22"/>
        <v/>
      </c>
      <c r="E667" t="s">
        <v>1338</v>
      </c>
      <c r="F667" t="str">
        <f t="shared" si="21"/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 t="shared" si="22"/>
        <v/>
      </c>
      <c r="E668" t="s">
        <v>1340</v>
      </c>
      <c r="F668" t="str">
        <f t="shared" si="21"/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 t="shared" si="22"/>
        <v/>
      </c>
      <c r="E669" t="s">
        <v>1342</v>
      </c>
      <c r="F669" t="str">
        <f t="shared" si="21"/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 t="shared" si="22"/>
        <v/>
      </c>
      <c r="E670" t="s">
        <v>1344</v>
      </c>
      <c r="F670" t="str">
        <f t="shared" si="21"/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 t="shared" si="22"/>
        <v/>
      </c>
      <c r="E671" t="s">
        <v>1346</v>
      </c>
      <c r="F671" t="str">
        <f t="shared" si="21"/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 t="shared" si="22"/>
        <v/>
      </c>
      <c r="E672" t="s">
        <v>1348</v>
      </c>
      <c r="F672" t="str">
        <f t="shared" si="21"/>
        <v>8520166</v>
      </c>
    </row>
    <row r="673" spans="1:6" hidden="1" x14ac:dyDescent="0.25">
      <c r="A673">
        <v>16170</v>
      </c>
      <c r="B673" t="s">
        <v>4</v>
      </c>
      <c r="C673" t="s">
        <v>1349</v>
      </c>
      <c r="D673" t="str">
        <f t="shared" si="22"/>
        <v/>
      </c>
      <c r="E673" t="s">
        <v>1350</v>
      </c>
      <c r="F673" t="str">
        <f t="shared" si="21"/>
        <v>8520141</v>
      </c>
    </row>
    <row r="674" spans="1:6" hidden="1" x14ac:dyDescent="0.25">
      <c r="A674">
        <v>16174</v>
      </c>
      <c r="B674" t="s">
        <v>4</v>
      </c>
      <c r="C674" t="s">
        <v>1351</v>
      </c>
      <c r="D674" t="str">
        <f t="shared" si="22"/>
        <v/>
      </c>
      <c r="E674" t="s">
        <v>1352</v>
      </c>
      <c r="F674" t="str">
        <f t="shared" si="21"/>
        <v>2401550</v>
      </c>
    </row>
    <row r="675" spans="1:6" hidden="1" x14ac:dyDescent="0.25">
      <c r="A675">
        <v>16180</v>
      </c>
      <c r="B675" t="s">
        <v>4</v>
      </c>
      <c r="C675" t="s">
        <v>1353</v>
      </c>
      <c r="D675" t="str">
        <f t="shared" si="22"/>
        <v/>
      </c>
      <c r="E675" t="s">
        <v>1354</v>
      </c>
      <c r="F675" t="str">
        <f t="shared" si="21"/>
        <v>8522011</v>
      </c>
    </row>
    <row r="676" spans="1:6" hidden="1" x14ac:dyDescent="0.25">
      <c r="A676">
        <v>16187</v>
      </c>
      <c r="B676" t="s">
        <v>4</v>
      </c>
      <c r="C676" t="s">
        <v>1355</v>
      </c>
      <c r="D676" t="str">
        <f t="shared" si="22"/>
        <v/>
      </c>
      <c r="E676" t="s">
        <v>1356</v>
      </c>
      <c r="F676" t="str">
        <f t="shared" si="21"/>
        <v>8503061</v>
      </c>
    </row>
    <row r="677" spans="1:6" x14ac:dyDescent="0.25">
      <c r="A677">
        <v>16190</v>
      </c>
      <c r="B677" t="s">
        <v>7</v>
      </c>
      <c r="C677" t="s">
        <v>1357</v>
      </c>
      <c r="D677" t="str">
        <f t="shared" si="22"/>
        <v/>
      </c>
      <c r="E677" t="s">
        <v>1358</v>
      </c>
      <c r="F677" t="str">
        <f t="shared" si="21"/>
        <v>2401249</v>
      </c>
    </row>
    <row r="678" spans="1:6" hidden="1" x14ac:dyDescent="0.25">
      <c r="A678">
        <v>16191</v>
      </c>
      <c r="B678" t="s">
        <v>10</v>
      </c>
      <c r="C678" t="s">
        <v>1359</v>
      </c>
      <c r="D678" t="str">
        <f t="shared" si="22"/>
        <v/>
      </c>
      <c r="E678" t="s">
        <v>1360</v>
      </c>
      <c r="F678" t="str">
        <f t="shared" si="21"/>
        <v>2401249</v>
      </c>
    </row>
    <row r="679" spans="1:6" hidden="1" x14ac:dyDescent="0.25">
      <c r="A679">
        <v>16197</v>
      </c>
      <c r="B679" t="s">
        <v>10</v>
      </c>
      <c r="C679" t="s">
        <v>1361</v>
      </c>
      <c r="D679" t="str">
        <f t="shared" si="22"/>
        <v/>
      </c>
      <c r="E679" t="s">
        <v>1362</v>
      </c>
      <c r="F679" t="str">
        <f t="shared" si="21"/>
        <v>2401249</v>
      </c>
    </row>
    <row r="680" spans="1:6" x14ac:dyDescent="0.25">
      <c r="A680">
        <v>16198</v>
      </c>
      <c r="B680" t="s">
        <v>7</v>
      </c>
      <c r="C680" t="s">
        <v>1363</v>
      </c>
      <c r="D680" t="str">
        <f t="shared" si="22"/>
        <v/>
      </c>
      <c r="E680" t="s">
        <v>1364</v>
      </c>
      <c r="F680" t="str">
        <f t="shared" si="21"/>
        <v>2401103</v>
      </c>
    </row>
    <row r="681" spans="1:6" hidden="1" x14ac:dyDescent="0.25">
      <c r="A681">
        <v>16199</v>
      </c>
      <c r="B681" t="s">
        <v>10</v>
      </c>
      <c r="C681" t="s">
        <v>1365</v>
      </c>
      <c r="D681" t="str">
        <f t="shared" si="22"/>
        <v/>
      </c>
      <c r="E681" t="s">
        <v>1366</v>
      </c>
      <c r="F681" t="str">
        <f t="shared" si="21"/>
        <v>2401103</v>
      </c>
    </row>
    <row r="682" spans="1:6" hidden="1" x14ac:dyDescent="0.25">
      <c r="A682">
        <v>16204</v>
      </c>
      <c r="B682" t="s">
        <v>10</v>
      </c>
      <c r="C682" t="s">
        <v>1367</v>
      </c>
      <c r="D682" t="str">
        <f t="shared" si="22"/>
        <v/>
      </c>
      <c r="E682" t="s">
        <v>1368</v>
      </c>
      <c r="F682" t="str">
        <f t="shared" si="21"/>
        <v>2401103</v>
      </c>
    </row>
    <row r="683" spans="1:6" hidden="1" x14ac:dyDescent="0.25">
      <c r="A683">
        <v>16205</v>
      </c>
      <c r="B683" t="s">
        <v>10</v>
      </c>
      <c r="C683" t="s">
        <v>1369</v>
      </c>
      <c r="D683" t="str">
        <f t="shared" si="22"/>
        <v/>
      </c>
      <c r="E683" t="s">
        <v>1370</v>
      </c>
      <c r="F683" t="str">
        <f t="shared" si="21"/>
        <v>2401103</v>
      </c>
    </row>
    <row r="684" spans="1:6" hidden="1" x14ac:dyDescent="0.25">
      <c r="A684">
        <v>16206</v>
      </c>
      <c r="B684" t="s">
        <v>10</v>
      </c>
      <c r="C684" t="s">
        <v>1371</v>
      </c>
      <c r="D684" t="str">
        <f t="shared" si="22"/>
        <v/>
      </c>
      <c r="E684" t="s">
        <v>1372</v>
      </c>
      <c r="F684" t="str">
        <f t="shared" si="21"/>
        <v>2401103</v>
      </c>
    </row>
    <row r="685" spans="1:6" hidden="1" x14ac:dyDescent="0.25">
      <c r="A685">
        <v>16207</v>
      </c>
      <c r="B685" t="s">
        <v>10</v>
      </c>
      <c r="C685" t="s">
        <v>1373</v>
      </c>
      <c r="D685" t="str">
        <f t="shared" si="22"/>
        <v/>
      </c>
      <c r="E685" t="s">
        <v>1374</v>
      </c>
      <c r="F685" t="str">
        <f t="shared" si="21"/>
        <v>2401103</v>
      </c>
    </row>
    <row r="686" spans="1:6" hidden="1" x14ac:dyDescent="0.25">
      <c r="A686">
        <v>16208</v>
      </c>
      <c r="B686" t="s">
        <v>4</v>
      </c>
      <c r="C686" t="s">
        <v>1375</v>
      </c>
      <c r="D686" t="str">
        <f t="shared" si="22"/>
        <v/>
      </c>
      <c r="E686" t="s">
        <v>1376</v>
      </c>
      <c r="F686" t="str">
        <f t="shared" si="21"/>
        <v>8513173</v>
      </c>
    </row>
    <row r="687" spans="1:6" hidden="1" x14ac:dyDescent="0.25">
      <c r="A687">
        <v>16211</v>
      </c>
      <c r="B687" t="s">
        <v>4</v>
      </c>
      <c r="C687" t="s">
        <v>1377</v>
      </c>
      <c r="D687" t="str">
        <f t="shared" si="22"/>
        <v/>
      </c>
      <c r="E687" t="s">
        <v>1378</v>
      </c>
      <c r="F687" t="str">
        <f t="shared" si="21"/>
        <v>8708010</v>
      </c>
    </row>
    <row r="688" spans="1:6" hidden="1" x14ac:dyDescent="0.25">
      <c r="A688">
        <v>16216</v>
      </c>
      <c r="B688" t="s">
        <v>4</v>
      </c>
      <c r="C688" t="s">
        <v>1379</v>
      </c>
      <c r="D688" t="str">
        <f t="shared" si="22"/>
        <v/>
      </c>
      <c r="E688" t="s">
        <v>1380</v>
      </c>
      <c r="F688" t="str">
        <f t="shared" si="21"/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 t="shared" si="22"/>
        <v/>
      </c>
      <c r="E689" t="s">
        <v>1382</v>
      </c>
      <c r="F689" t="str">
        <f t="shared" si="21"/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 t="shared" si="22"/>
        <v/>
      </c>
      <c r="E690" t="s">
        <v>1384</v>
      </c>
      <c r="F690" t="str">
        <f t="shared" si="21"/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 t="shared" si="22"/>
        <v/>
      </c>
      <c r="E691" t="s">
        <v>1386</v>
      </c>
      <c r="F691" t="str">
        <f t="shared" si="21"/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 t="shared" si="22"/>
        <v/>
      </c>
      <c r="E692" t="s">
        <v>1388</v>
      </c>
      <c r="F692" t="str">
        <f t="shared" si="21"/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 t="shared" si="22"/>
        <v/>
      </c>
      <c r="E693" t="s">
        <v>1390</v>
      </c>
      <c r="F693" t="str">
        <f t="shared" si="21"/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 t="shared" si="22"/>
        <v/>
      </c>
      <c r="E694" t="s">
        <v>1392</v>
      </c>
      <c r="F694" t="str">
        <f t="shared" si="21"/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 t="shared" si="22"/>
        <v/>
      </c>
      <c r="E695" t="s">
        <v>1394</v>
      </c>
      <c r="F695" t="str">
        <f t="shared" si="21"/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 t="shared" si="22"/>
        <v/>
      </c>
      <c r="E696" t="s">
        <v>1396</v>
      </c>
      <c r="F696" t="str">
        <f t="shared" si="21"/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 t="shared" si="22"/>
        <v/>
      </c>
      <c r="E697" t="s">
        <v>1398</v>
      </c>
      <c r="F697" t="str">
        <f t="shared" si="21"/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 t="shared" si="22"/>
        <v/>
      </c>
      <c r="E698" t="s">
        <v>1400</v>
      </c>
      <c r="F698" t="str">
        <f t="shared" si="21"/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 t="shared" si="22"/>
        <v/>
      </c>
      <c r="E699" t="s">
        <v>1402</v>
      </c>
      <c r="F699" t="str">
        <f t="shared" si="21"/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 t="shared" si="22"/>
        <v/>
      </c>
      <c r="E700" t="s">
        <v>1404</v>
      </c>
      <c r="F700" t="str">
        <f t="shared" si="21"/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 t="shared" si="22"/>
        <v/>
      </c>
      <c r="E701" t="s">
        <v>1406</v>
      </c>
      <c r="F701" t="str">
        <f t="shared" si="21"/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 t="shared" si="22"/>
        <v/>
      </c>
      <c r="E702" t="s">
        <v>1408</v>
      </c>
      <c r="F702" t="str">
        <f t="shared" si="21"/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 t="shared" si="22"/>
        <v/>
      </c>
      <c r="E703" t="s">
        <v>1410</v>
      </c>
      <c r="F703" t="str">
        <f t="shared" si="21"/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 t="shared" si="22"/>
        <v/>
      </c>
      <c r="E704" t="s">
        <v>1412</v>
      </c>
      <c r="F704" t="str">
        <f t="shared" si="21"/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 t="shared" si="22"/>
        <v/>
      </c>
      <c r="E705" t="s">
        <v>1414</v>
      </c>
      <c r="F705" t="str">
        <f t="shared" si="21"/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 t="shared" si="22"/>
        <v/>
      </c>
      <c r="E706" t="s">
        <v>1416</v>
      </c>
      <c r="F706" t="str">
        <f t="shared" ref="F706:F769" si="23"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 t="shared" si="22"/>
        <v/>
      </c>
      <c r="E707" t="s">
        <v>1418</v>
      </c>
      <c r="F707" t="str">
        <f t="shared" si="23"/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 t="shared" si="22"/>
        <v/>
      </c>
      <c r="E708" t="s">
        <v>1420</v>
      </c>
      <c r="F708" t="str">
        <f t="shared" si="23"/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 t="shared" si="22"/>
        <v/>
      </c>
      <c r="E709" t="s">
        <v>1422</v>
      </c>
      <c r="F709" t="str">
        <f t="shared" si="23"/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 t="shared" si="22"/>
        <v/>
      </c>
      <c r="E710" t="s">
        <v>1424</v>
      </c>
      <c r="F710" t="str">
        <f t="shared" si="23"/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 t="shared" si="22"/>
        <v/>
      </c>
      <c r="E711" t="s">
        <v>1426</v>
      </c>
      <c r="F711" t="str">
        <f t="shared" si="23"/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 t="shared" si="22"/>
        <v/>
      </c>
      <c r="E712" t="s">
        <v>1428</v>
      </c>
      <c r="F712" t="str">
        <f t="shared" si="23"/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 t="shared" si="22"/>
        <v/>
      </c>
      <c r="E713" t="s">
        <v>1430</v>
      </c>
      <c r="F713" t="str">
        <f t="shared" si="23"/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 t="shared" ref="D714:D777" si="24">IF(RIGHT(LEFT(C714,9),2)="##","",RIGHT(LEFT(C714,10),2))</f>
        <v/>
      </c>
      <c r="E714" t="s">
        <v>1432</v>
      </c>
      <c r="F714" t="str">
        <f t="shared" si="23"/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 t="shared" si="24"/>
        <v/>
      </c>
      <c r="E715" t="s">
        <v>1434</v>
      </c>
      <c r="F715" t="str">
        <f t="shared" si="23"/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 t="shared" si="24"/>
        <v/>
      </c>
      <c r="E716" t="s">
        <v>1436</v>
      </c>
      <c r="F716" t="str">
        <f t="shared" si="23"/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 t="shared" si="24"/>
        <v/>
      </c>
      <c r="E717" t="s">
        <v>1438</v>
      </c>
      <c r="F717" t="str">
        <f t="shared" si="23"/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 t="shared" si="24"/>
        <v/>
      </c>
      <c r="E718" t="s">
        <v>1440</v>
      </c>
      <c r="F718" t="str">
        <f t="shared" si="23"/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 t="shared" si="24"/>
        <v/>
      </c>
      <c r="E719" t="s">
        <v>1442</v>
      </c>
      <c r="F719" t="str">
        <f t="shared" si="23"/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 t="shared" si="24"/>
        <v/>
      </c>
      <c r="E720" t="s">
        <v>1444</v>
      </c>
      <c r="F720" t="str">
        <f t="shared" si="23"/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 t="shared" si="24"/>
        <v/>
      </c>
      <c r="E721" t="s">
        <v>1446</v>
      </c>
      <c r="F721" t="str">
        <f t="shared" si="23"/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 t="shared" si="24"/>
        <v/>
      </c>
      <c r="E722" t="s">
        <v>1448</v>
      </c>
      <c r="F722" t="str">
        <f t="shared" si="23"/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 t="shared" si="24"/>
        <v/>
      </c>
      <c r="E723" t="s">
        <v>1450</v>
      </c>
      <c r="F723" t="str">
        <f t="shared" si="23"/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 t="shared" si="24"/>
        <v/>
      </c>
      <c r="E724" t="s">
        <v>1452</v>
      </c>
      <c r="F724" t="str">
        <f t="shared" si="23"/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 t="shared" si="24"/>
        <v/>
      </c>
      <c r="E725" t="s">
        <v>1454</v>
      </c>
      <c r="F725" t="str">
        <f t="shared" si="23"/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 t="shared" si="24"/>
        <v/>
      </c>
      <c r="E726" t="s">
        <v>1456</v>
      </c>
      <c r="F726" t="str">
        <f t="shared" si="23"/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 t="shared" si="24"/>
        <v/>
      </c>
      <c r="E727" t="s">
        <v>1458</v>
      </c>
      <c r="F727" t="str">
        <f t="shared" si="23"/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 t="shared" si="24"/>
        <v/>
      </c>
      <c r="E728" t="s">
        <v>1460</v>
      </c>
      <c r="F728" t="str">
        <f t="shared" si="23"/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 t="shared" si="24"/>
        <v/>
      </c>
      <c r="E729" t="s">
        <v>1462</v>
      </c>
      <c r="F729" t="str">
        <f t="shared" si="23"/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 t="shared" si="24"/>
        <v/>
      </c>
      <c r="E730" t="s">
        <v>1464</v>
      </c>
      <c r="F730" t="str">
        <f t="shared" si="23"/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 t="shared" si="24"/>
        <v/>
      </c>
      <c r="E731" t="s">
        <v>1466</v>
      </c>
      <c r="F731" t="str">
        <f t="shared" si="23"/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 t="shared" si="24"/>
        <v/>
      </c>
      <c r="E732" t="s">
        <v>1468</v>
      </c>
      <c r="F732" t="str">
        <f t="shared" si="23"/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 t="shared" si="24"/>
        <v/>
      </c>
      <c r="E733" t="s">
        <v>1470</v>
      </c>
      <c r="F733" t="str">
        <f t="shared" si="23"/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 t="shared" si="24"/>
        <v/>
      </c>
      <c r="E734" t="s">
        <v>1472</v>
      </c>
      <c r="F734" t="str">
        <f t="shared" si="23"/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 t="shared" si="24"/>
        <v/>
      </c>
      <c r="E735" t="s">
        <v>1474</v>
      </c>
      <c r="F735" t="str">
        <f t="shared" si="23"/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 t="shared" si="24"/>
        <v/>
      </c>
      <c r="E736" t="s">
        <v>1476</v>
      </c>
      <c r="F736" t="str">
        <f t="shared" si="23"/>
        <v>7707502</v>
      </c>
    </row>
    <row r="737" spans="1:6" hidden="1" x14ac:dyDescent="0.25">
      <c r="A737">
        <v>16410</v>
      </c>
      <c r="B737" t="s">
        <v>4</v>
      </c>
      <c r="C737" t="s">
        <v>1477</v>
      </c>
      <c r="D737" t="str">
        <f t="shared" si="24"/>
        <v/>
      </c>
      <c r="E737" t="s">
        <v>1478</v>
      </c>
      <c r="F737" t="str">
        <f t="shared" si="23"/>
        <v>8400661</v>
      </c>
    </row>
    <row r="738" spans="1:6" hidden="1" x14ac:dyDescent="0.25">
      <c r="A738">
        <v>16413</v>
      </c>
      <c r="B738" t="s">
        <v>4</v>
      </c>
      <c r="C738" t="s">
        <v>1479</v>
      </c>
      <c r="D738" t="str">
        <f t="shared" si="24"/>
        <v/>
      </c>
      <c r="E738" t="s">
        <v>1480</v>
      </c>
      <c r="F738" t="str">
        <f t="shared" si="23"/>
        <v>8518011</v>
      </c>
    </row>
    <row r="739" spans="1:6" x14ac:dyDescent="0.25">
      <c r="A739">
        <v>16418</v>
      </c>
      <c r="B739" t="s">
        <v>7</v>
      </c>
      <c r="C739" t="s">
        <v>1481</v>
      </c>
      <c r="D739" t="str">
        <f t="shared" si="24"/>
        <v/>
      </c>
      <c r="E739" t="s">
        <v>1482</v>
      </c>
      <c r="F739" t="str">
        <f t="shared" si="23"/>
        <v>8517000</v>
      </c>
    </row>
    <row r="740" spans="1:6" hidden="1" x14ac:dyDescent="0.25">
      <c r="A740">
        <v>16419</v>
      </c>
      <c r="B740" t="s">
        <v>10</v>
      </c>
      <c r="C740" t="s">
        <v>1483</v>
      </c>
      <c r="D740" t="str">
        <f t="shared" si="24"/>
        <v/>
      </c>
      <c r="E740" t="s">
        <v>1484</v>
      </c>
      <c r="F740" t="str">
        <f t="shared" si="23"/>
        <v>8517000</v>
      </c>
    </row>
    <row r="741" spans="1:6" hidden="1" x14ac:dyDescent="0.25">
      <c r="A741">
        <v>16420</v>
      </c>
      <c r="B741" t="s">
        <v>10</v>
      </c>
      <c r="C741" t="s">
        <v>1485</v>
      </c>
      <c r="D741" t="str">
        <f t="shared" si="24"/>
        <v/>
      </c>
      <c r="E741" t="s">
        <v>1486</v>
      </c>
      <c r="F741" t="str">
        <f t="shared" si="23"/>
        <v>8517000</v>
      </c>
    </row>
    <row r="742" spans="1:6" hidden="1" x14ac:dyDescent="0.25">
      <c r="A742">
        <v>16421</v>
      </c>
      <c r="B742" t="s">
        <v>10</v>
      </c>
      <c r="C742" t="s">
        <v>1487</v>
      </c>
      <c r="D742" t="str">
        <f t="shared" si="24"/>
        <v/>
      </c>
      <c r="E742" t="s">
        <v>1488</v>
      </c>
      <c r="F742" t="str">
        <f t="shared" si="23"/>
        <v>8517000</v>
      </c>
    </row>
    <row r="743" spans="1:6" hidden="1" x14ac:dyDescent="0.25">
      <c r="A743">
        <v>16422</v>
      </c>
      <c r="B743" t="s">
        <v>10</v>
      </c>
      <c r="C743" t="s">
        <v>1489</v>
      </c>
      <c r="D743" t="str">
        <f t="shared" si="24"/>
        <v/>
      </c>
      <c r="E743" t="s">
        <v>1490</v>
      </c>
      <c r="F743" t="str">
        <f t="shared" si="23"/>
        <v>8517000</v>
      </c>
    </row>
    <row r="744" spans="1:6" hidden="1" x14ac:dyDescent="0.25">
      <c r="A744">
        <v>16423</v>
      </c>
      <c r="B744" t="s">
        <v>10</v>
      </c>
      <c r="C744" t="s">
        <v>1491</v>
      </c>
      <c r="D744" t="str">
        <f t="shared" si="24"/>
        <v/>
      </c>
      <c r="E744" t="s">
        <v>1492</v>
      </c>
      <c r="F744" t="str">
        <f t="shared" si="23"/>
        <v>8517000</v>
      </c>
    </row>
    <row r="745" spans="1:6" hidden="1" x14ac:dyDescent="0.25">
      <c r="A745">
        <v>16424</v>
      </c>
      <c r="B745" t="s">
        <v>10</v>
      </c>
      <c r="C745" t="s">
        <v>1493</v>
      </c>
      <c r="D745" t="str">
        <f t="shared" si="24"/>
        <v/>
      </c>
      <c r="E745" t="s">
        <v>1494</v>
      </c>
      <c r="F745" t="str">
        <f t="shared" si="23"/>
        <v>8517000</v>
      </c>
    </row>
    <row r="746" spans="1:6" hidden="1" x14ac:dyDescent="0.25">
      <c r="A746">
        <v>16425</v>
      </c>
      <c r="B746" t="s">
        <v>4</v>
      </c>
      <c r="C746" t="s">
        <v>1495</v>
      </c>
      <c r="D746" t="str">
        <f t="shared" si="24"/>
        <v/>
      </c>
      <c r="E746" t="s">
        <v>1496</v>
      </c>
      <c r="F746" t="str">
        <f t="shared" si="23"/>
        <v>8518753</v>
      </c>
    </row>
    <row r="747" spans="1:6" hidden="1" x14ac:dyDescent="0.25">
      <c r="A747">
        <v>16430</v>
      </c>
      <c r="B747" t="s">
        <v>4</v>
      </c>
      <c r="C747" t="s">
        <v>1497</v>
      </c>
      <c r="D747" t="str">
        <f t="shared" si="24"/>
        <v/>
      </c>
      <c r="E747" t="s">
        <v>1498</v>
      </c>
      <c r="F747" t="str">
        <f t="shared" si="23"/>
        <v>8400240</v>
      </c>
    </row>
    <row r="748" spans="1:6" hidden="1" x14ac:dyDescent="0.25">
      <c r="A748">
        <v>16433</v>
      </c>
      <c r="B748" t="s">
        <v>4</v>
      </c>
      <c r="C748" t="s">
        <v>1499</v>
      </c>
      <c r="D748" t="str">
        <f t="shared" si="24"/>
        <v/>
      </c>
      <c r="E748" t="s">
        <v>1500</v>
      </c>
      <c r="F748" t="str">
        <f t="shared" si="23"/>
        <v>8503820</v>
      </c>
    </row>
    <row r="749" spans="1:6" hidden="1" x14ac:dyDescent="0.25">
      <c r="A749">
        <v>16436</v>
      </c>
      <c r="B749" t="s">
        <v>4</v>
      </c>
      <c r="C749" t="s">
        <v>1501</v>
      </c>
      <c r="D749" t="str">
        <f t="shared" si="24"/>
        <v/>
      </c>
      <c r="E749" t="s">
        <v>1502</v>
      </c>
      <c r="F749" t="str">
        <f t="shared" si="23"/>
        <v>8517110</v>
      </c>
    </row>
    <row r="750" spans="1:6" x14ac:dyDescent="0.25">
      <c r="A750">
        <v>16439</v>
      </c>
      <c r="B750" t="s">
        <v>7</v>
      </c>
      <c r="C750" t="s">
        <v>1503</v>
      </c>
      <c r="D750" t="str">
        <f t="shared" si="24"/>
        <v/>
      </c>
      <c r="E750" t="s">
        <v>1504</v>
      </c>
      <c r="F750" t="str">
        <f t="shared" si="23"/>
        <v>8517235</v>
      </c>
    </row>
    <row r="751" spans="1:6" hidden="1" x14ac:dyDescent="0.25">
      <c r="A751">
        <v>16440</v>
      </c>
      <c r="B751" t="s">
        <v>10</v>
      </c>
      <c r="C751" t="s">
        <v>1505</v>
      </c>
      <c r="D751" t="str">
        <f t="shared" si="24"/>
        <v/>
      </c>
      <c r="E751" t="s">
        <v>1506</v>
      </c>
      <c r="F751" t="str">
        <f t="shared" si="23"/>
        <v>8517235</v>
      </c>
    </row>
    <row r="752" spans="1:6" hidden="1" x14ac:dyDescent="0.25">
      <c r="A752">
        <v>16443</v>
      </c>
      <c r="B752" t="s">
        <v>10</v>
      </c>
      <c r="C752" t="s">
        <v>1507</v>
      </c>
      <c r="D752" t="str">
        <f t="shared" si="24"/>
        <v/>
      </c>
      <c r="E752" t="s">
        <v>1508</v>
      </c>
      <c r="F752" t="str">
        <f t="shared" si="23"/>
        <v>8517235</v>
      </c>
    </row>
    <row r="753" spans="1:6" hidden="1" x14ac:dyDescent="0.25">
      <c r="A753">
        <v>16444</v>
      </c>
      <c r="B753" t="s">
        <v>10</v>
      </c>
      <c r="C753" t="s">
        <v>1509</v>
      </c>
      <c r="D753" t="str">
        <f t="shared" si="24"/>
        <v/>
      </c>
      <c r="E753" t="s">
        <v>1510</v>
      </c>
      <c r="F753" t="str">
        <f t="shared" si="23"/>
        <v>8517235</v>
      </c>
    </row>
    <row r="754" spans="1:6" hidden="1" x14ac:dyDescent="0.25">
      <c r="A754">
        <v>16445</v>
      </c>
      <c r="B754" t="s">
        <v>10</v>
      </c>
      <c r="C754" t="s">
        <v>1511</v>
      </c>
      <c r="D754" t="str">
        <f t="shared" si="24"/>
        <v/>
      </c>
      <c r="E754" t="s">
        <v>1512</v>
      </c>
      <c r="F754" t="str">
        <f t="shared" si="23"/>
        <v>8517235</v>
      </c>
    </row>
    <row r="755" spans="1:6" hidden="1" x14ac:dyDescent="0.25">
      <c r="A755">
        <v>16446</v>
      </c>
      <c r="B755" t="s">
        <v>10</v>
      </c>
      <c r="C755" t="s">
        <v>1513</v>
      </c>
      <c r="D755" t="str">
        <f t="shared" si="24"/>
        <v/>
      </c>
      <c r="E755" t="s">
        <v>1514</v>
      </c>
      <c r="F755" t="str">
        <f t="shared" si="23"/>
        <v>8517235</v>
      </c>
    </row>
    <row r="756" spans="1:6" hidden="1" x14ac:dyDescent="0.25">
      <c r="A756">
        <v>16447</v>
      </c>
      <c r="B756" t="s">
        <v>10</v>
      </c>
      <c r="C756" t="s">
        <v>1515</v>
      </c>
      <c r="D756" t="str">
        <f t="shared" si="24"/>
        <v/>
      </c>
      <c r="E756" t="s">
        <v>1516</v>
      </c>
      <c r="F756" t="str">
        <f t="shared" si="23"/>
        <v>8517235</v>
      </c>
    </row>
    <row r="757" spans="1:6" hidden="1" x14ac:dyDescent="0.25">
      <c r="A757">
        <v>16448</v>
      </c>
      <c r="B757" t="s">
        <v>10</v>
      </c>
      <c r="C757" t="s">
        <v>1517</v>
      </c>
      <c r="D757" t="str">
        <f t="shared" si="24"/>
        <v/>
      </c>
      <c r="E757" t="s">
        <v>1518</v>
      </c>
      <c r="F757" t="str">
        <f t="shared" si="23"/>
        <v>8517235</v>
      </c>
    </row>
    <row r="758" spans="1:6" hidden="1" x14ac:dyDescent="0.25">
      <c r="A758">
        <v>16449</v>
      </c>
      <c r="B758" t="s">
        <v>10</v>
      </c>
      <c r="C758" t="s">
        <v>1519</v>
      </c>
      <c r="D758" t="str">
        <f t="shared" si="24"/>
        <v/>
      </c>
      <c r="E758" t="s">
        <v>1520</v>
      </c>
      <c r="F758" t="str">
        <f t="shared" si="23"/>
        <v>8517235</v>
      </c>
    </row>
    <row r="759" spans="1:6" hidden="1" x14ac:dyDescent="0.25">
      <c r="A759">
        <v>16450</v>
      </c>
      <c r="B759" t="s">
        <v>4</v>
      </c>
      <c r="C759" t="s">
        <v>1521</v>
      </c>
      <c r="D759" t="str">
        <f t="shared" si="24"/>
        <v/>
      </c>
      <c r="E759" t="s">
        <v>1522</v>
      </c>
      <c r="F759" t="str">
        <f t="shared" si="23"/>
        <v>8707000</v>
      </c>
    </row>
    <row r="760" spans="1:6" x14ac:dyDescent="0.25">
      <c r="A760">
        <v>16453</v>
      </c>
      <c r="B760" t="s">
        <v>7</v>
      </c>
      <c r="C760" t="s">
        <v>1523</v>
      </c>
      <c r="D760" t="str">
        <f t="shared" si="24"/>
        <v/>
      </c>
      <c r="E760" t="s">
        <v>1524</v>
      </c>
      <c r="F760" t="str">
        <f t="shared" si="23"/>
        <v>8517103</v>
      </c>
    </row>
    <row r="761" spans="1:6" hidden="1" x14ac:dyDescent="0.25">
      <c r="A761">
        <v>16454</v>
      </c>
      <c r="B761" t="s">
        <v>10</v>
      </c>
      <c r="C761" t="s">
        <v>1525</v>
      </c>
      <c r="D761" t="str">
        <f t="shared" si="24"/>
        <v/>
      </c>
      <c r="E761" t="s">
        <v>1526</v>
      </c>
      <c r="F761" t="str">
        <f t="shared" si="23"/>
        <v>8517103</v>
      </c>
    </row>
    <row r="762" spans="1:6" hidden="1" x14ac:dyDescent="0.25">
      <c r="A762">
        <v>16458</v>
      </c>
      <c r="B762" t="s">
        <v>10</v>
      </c>
      <c r="C762" t="s">
        <v>1527</v>
      </c>
      <c r="D762" t="str">
        <f t="shared" si="24"/>
        <v/>
      </c>
      <c r="E762" t="s">
        <v>1528</v>
      </c>
      <c r="F762" t="str">
        <f t="shared" si="23"/>
        <v>8517103</v>
      </c>
    </row>
    <row r="763" spans="1:6" hidden="1" x14ac:dyDescent="0.25">
      <c r="A763">
        <v>16459</v>
      </c>
      <c r="B763" t="s">
        <v>10</v>
      </c>
      <c r="C763" t="s">
        <v>1529</v>
      </c>
      <c r="D763" t="str">
        <f t="shared" si="24"/>
        <v/>
      </c>
      <c r="E763" t="s">
        <v>1530</v>
      </c>
      <c r="F763" t="str">
        <f t="shared" si="23"/>
        <v>8517103</v>
      </c>
    </row>
    <row r="764" spans="1:6" hidden="1" x14ac:dyDescent="0.25">
      <c r="A764">
        <v>16460</v>
      </c>
      <c r="B764" t="s">
        <v>10</v>
      </c>
      <c r="C764" t="s">
        <v>1531</v>
      </c>
      <c r="D764" t="str">
        <f t="shared" si="24"/>
        <v/>
      </c>
      <c r="E764" t="s">
        <v>1532</v>
      </c>
      <c r="F764" t="str">
        <f t="shared" si="23"/>
        <v>8517103</v>
      </c>
    </row>
    <row r="765" spans="1:6" hidden="1" x14ac:dyDescent="0.25">
      <c r="A765">
        <v>16461</v>
      </c>
      <c r="B765" t="s">
        <v>10</v>
      </c>
      <c r="C765" t="s">
        <v>1533</v>
      </c>
      <c r="D765" t="str">
        <f t="shared" si="24"/>
        <v/>
      </c>
      <c r="E765" t="s">
        <v>1534</v>
      </c>
      <c r="F765" t="str">
        <f t="shared" si="23"/>
        <v>8517103</v>
      </c>
    </row>
    <row r="766" spans="1:6" hidden="1" x14ac:dyDescent="0.25">
      <c r="A766">
        <v>16462</v>
      </c>
      <c r="B766" t="s">
        <v>10</v>
      </c>
      <c r="C766" t="s">
        <v>1535</v>
      </c>
      <c r="D766" t="str">
        <f t="shared" si="24"/>
        <v/>
      </c>
      <c r="E766" t="s">
        <v>1536</v>
      </c>
      <c r="F766" t="str">
        <f t="shared" si="23"/>
        <v>8517103</v>
      </c>
    </row>
    <row r="767" spans="1:6" hidden="1" x14ac:dyDescent="0.25">
      <c r="A767">
        <v>16463</v>
      </c>
      <c r="B767" t="s">
        <v>4</v>
      </c>
      <c r="C767" t="s">
        <v>1537</v>
      </c>
      <c r="D767" t="str">
        <f t="shared" si="24"/>
        <v/>
      </c>
      <c r="E767" t="s">
        <v>1538</v>
      </c>
      <c r="F767" t="str">
        <f t="shared" si="23"/>
        <v>8517050</v>
      </c>
    </row>
    <row r="768" spans="1:6" hidden="1" x14ac:dyDescent="0.25">
      <c r="A768">
        <v>16468</v>
      </c>
      <c r="B768" t="s">
        <v>4</v>
      </c>
      <c r="C768" t="s">
        <v>1539</v>
      </c>
      <c r="D768" t="str">
        <f t="shared" si="24"/>
        <v/>
      </c>
      <c r="E768" t="s">
        <v>1540</v>
      </c>
      <c r="F768" t="str">
        <f t="shared" si="23"/>
        <v>8521472</v>
      </c>
    </row>
    <row r="769" spans="1:6" hidden="1" x14ac:dyDescent="0.25">
      <c r="A769">
        <v>16473</v>
      </c>
      <c r="B769" t="s">
        <v>4</v>
      </c>
      <c r="C769" t="s">
        <v>1541</v>
      </c>
      <c r="D769" t="str">
        <f t="shared" si="24"/>
        <v/>
      </c>
      <c r="E769" t="s">
        <v>1542</v>
      </c>
      <c r="F769" t="str">
        <f t="shared" si="23"/>
        <v>8521013</v>
      </c>
    </row>
    <row r="770" spans="1:6" hidden="1" x14ac:dyDescent="0.25">
      <c r="A770">
        <v>16477</v>
      </c>
      <c r="B770" t="s">
        <v>4</v>
      </c>
      <c r="C770" t="s">
        <v>1543</v>
      </c>
      <c r="D770" t="str">
        <f t="shared" si="24"/>
        <v/>
      </c>
      <c r="E770" t="s">
        <v>1544</v>
      </c>
      <c r="F770" t="str">
        <f t="shared" ref="F770:F833" si="25">LEFT(C770,7)</f>
        <v>8521100</v>
      </c>
    </row>
    <row r="771" spans="1:6" hidden="1" x14ac:dyDescent="0.25">
      <c r="A771">
        <v>16484</v>
      </c>
      <c r="B771" t="s">
        <v>4</v>
      </c>
      <c r="C771" t="s">
        <v>1545</v>
      </c>
      <c r="D771" t="str">
        <f t="shared" si="24"/>
        <v/>
      </c>
      <c r="E771" t="s">
        <v>1546</v>
      </c>
      <c r="F771" t="str">
        <f t="shared" si="25"/>
        <v>8521660</v>
      </c>
    </row>
    <row r="772" spans="1:6" hidden="1" x14ac:dyDescent="0.25">
      <c r="A772">
        <v>16487</v>
      </c>
      <c r="B772" t="s">
        <v>4</v>
      </c>
      <c r="C772" t="s">
        <v>1547</v>
      </c>
      <c r="D772" t="str">
        <f t="shared" si="24"/>
        <v/>
      </c>
      <c r="E772" t="s">
        <v>1548</v>
      </c>
      <c r="F772" t="str">
        <f t="shared" si="25"/>
        <v>8508132</v>
      </c>
    </row>
    <row r="773" spans="1:6" hidden="1" x14ac:dyDescent="0.25">
      <c r="A773">
        <v>16491</v>
      </c>
      <c r="B773" t="s">
        <v>4</v>
      </c>
      <c r="C773" t="s">
        <v>1549</v>
      </c>
      <c r="D773" t="str">
        <f t="shared" si="24"/>
        <v/>
      </c>
      <c r="E773" t="s">
        <v>1550</v>
      </c>
      <c r="F773" t="str">
        <f t="shared" si="25"/>
        <v>8521102</v>
      </c>
    </row>
    <row r="774" spans="1:6" hidden="1" x14ac:dyDescent="0.25">
      <c r="A774">
        <v>16500</v>
      </c>
      <c r="B774" t="s">
        <v>4</v>
      </c>
      <c r="C774" t="s">
        <v>1551</v>
      </c>
      <c r="D774" t="str">
        <f t="shared" si="24"/>
        <v/>
      </c>
      <c r="E774" t="s">
        <v>1552</v>
      </c>
      <c r="F774" t="str">
        <f t="shared" si="25"/>
        <v>8703150</v>
      </c>
    </row>
    <row r="775" spans="1:6" hidden="1" x14ac:dyDescent="0.25">
      <c r="A775">
        <v>16508</v>
      </c>
      <c r="B775" t="s">
        <v>4</v>
      </c>
      <c r="C775" t="s">
        <v>1553</v>
      </c>
      <c r="D775" t="str">
        <f t="shared" si="24"/>
        <v/>
      </c>
      <c r="E775" t="s">
        <v>1554</v>
      </c>
      <c r="F775" t="str">
        <f t="shared" si="25"/>
        <v>8518300</v>
      </c>
    </row>
    <row r="776" spans="1:6" x14ac:dyDescent="0.25">
      <c r="A776">
        <v>16513</v>
      </c>
      <c r="B776" t="s">
        <v>7</v>
      </c>
      <c r="C776" t="s">
        <v>1555</v>
      </c>
      <c r="D776" t="str">
        <f t="shared" si="24"/>
        <v/>
      </c>
      <c r="E776" t="s">
        <v>1556</v>
      </c>
      <c r="F776" t="str">
        <f t="shared" si="25"/>
        <v>8717033</v>
      </c>
    </row>
    <row r="777" spans="1:6" hidden="1" x14ac:dyDescent="0.25">
      <c r="A777">
        <v>16514</v>
      </c>
      <c r="B777" t="s">
        <v>10</v>
      </c>
      <c r="C777" t="s">
        <v>1557</v>
      </c>
      <c r="D777" t="str">
        <f t="shared" si="24"/>
        <v/>
      </c>
      <c r="E777" t="s">
        <v>1558</v>
      </c>
      <c r="F777" t="str">
        <f t="shared" si="25"/>
        <v>8717033</v>
      </c>
    </row>
    <row r="778" spans="1:6" hidden="1" x14ac:dyDescent="0.25">
      <c r="A778">
        <v>16520</v>
      </c>
      <c r="B778" t="s">
        <v>10</v>
      </c>
      <c r="C778" t="s">
        <v>1559</v>
      </c>
      <c r="D778" t="str">
        <f t="shared" ref="D778:D788" si="26">IF(RIGHT(LEFT(C778,9),2)="##","",RIGHT(LEFT(C778,10),2))</f>
        <v/>
      </c>
      <c r="E778" t="s">
        <v>1560</v>
      </c>
      <c r="F778" t="str">
        <f t="shared" si="25"/>
        <v>8717033</v>
      </c>
    </row>
    <row r="779" spans="1:6" hidden="1" x14ac:dyDescent="0.25">
      <c r="A779">
        <v>16521</v>
      </c>
      <c r="B779" t="s">
        <v>10</v>
      </c>
      <c r="C779" t="s">
        <v>1561</v>
      </c>
      <c r="D779" t="str">
        <f t="shared" si="26"/>
        <v/>
      </c>
      <c r="E779" t="s">
        <v>1562</v>
      </c>
      <c r="F779" t="str">
        <f t="shared" si="25"/>
        <v>8717033</v>
      </c>
    </row>
    <row r="780" spans="1:6" hidden="1" x14ac:dyDescent="0.25">
      <c r="A780">
        <v>16522</v>
      </c>
      <c r="B780" t="s">
        <v>4</v>
      </c>
      <c r="C780" t="s">
        <v>1563</v>
      </c>
      <c r="D780" t="str">
        <f t="shared" si="26"/>
        <v/>
      </c>
      <c r="E780" t="s">
        <v>1564</v>
      </c>
      <c r="F780" t="str">
        <f t="shared" si="25"/>
        <v>8703102</v>
      </c>
    </row>
    <row r="781" spans="1:6" hidden="1" x14ac:dyDescent="0.25">
      <c r="A781">
        <v>16532</v>
      </c>
      <c r="B781" t="s">
        <v>4</v>
      </c>
      <c r="C781" t="s">
        <v>1565</v>
      </c>
      <c r="D781" t="str">
        <f t="shared" si="26"/>
        <v/>
      </c>
      <c r="E781" t="s">
        <v>1566</v>
      </c>
      <c r="F781" t="str">
        <f t="shared" si="25"/>
        <v>8708049</v>
      </c>
    </row>
    <row r="782" spans="1:6" hidden="1" x14ac:dyDescent="0.25">
      <c r="A782">
        <v>16539</v>
      </c>
      <c r="B782" t="s">
        <v>4</v>
      </c>
      <c r="C782" t="s">
        <v>1567</v>
      </c>
      <c r="D782" t="str">
        <f t="shared" si="26"/>
        <v/>
      </c>
      <c r="E782" t="s">
        <v>1568</v>
      </c>
      <c r="F782" t="str">
        <f t="shared" si="25"/>
        <v>8708099</v>
      </c>
    </row>
    <row r="783" spans="1:6" hidden="1" x14ac:dyDescent="0.25">
      <c r="A783">
        <v>16550</v>
      </c>
      <c r="B783" t="s">
        <v>4</v>
      </c>
      <c r="C783" t="s">
        <v>1569</v>
      </c>
      <c r="D783" t="str">
        <f t="shared" si="26"/>
        <v/>
      </c>
      <c r="E783" t="s">
        <v>1570</v>
      </c>
      <c r="F783" t="str">
        <f t="shared" si="25"/>
        <v>8708211</v>
      </c>
    </row>
    <row r="784" spans="1:6" hidden="1" x14ac:dyDescent="0.25">
      <c r="A784">
        <v>16554</v>
      </c>
      <c r="B784" t="s">
        <v>4</v>
      </c>
      <c r="C784" t="s">
        <v>1571</v>
      </c>
      <c r="D784" t="str">
        <f t="shared" si="26"/>
        <v/>
      </c>
      <c r="E784" t="s">
        <v>1572</v>
      </c>
      <c r="F784" t="str">
        <f t="shared" si="25"/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 t="shared" si="26"/>
        <v/>
      </c>
      <c r="E785" t="s">
        <v>1574</v>
      </c>
      <c r="F785" t="str">
        <f t="shared" si="25"/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 t="shared" si="26"/>
        <v/>
      </c>
      <c r="E786" t="s">
        <v>1576</v>
      </c>
      <c r="F786" t="str">
        <f t="shared" si="25"/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 t="shared" si="26"/>
        <v/>
      </c>
      <c r="E787" t="s">
        <v>1578</v>
      </c>
      <c r="F787" t="str">
        <f t="shared" si="25"/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 t="shared" si="26"/>
        <v/>
      </c>
      <c r="E788" t="s">
        <v>1580</v>
      </c>
      <c r="F788" t="str">
        <f t="shared" si="25"/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6906</v>
      </c>
      <c r="E789" t="s">
        <v>1582</v>
      </c>
      <c r="F789" t="str">
        <f t="shared" si="25"/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 t="shared" ref="D790:D821" si="27">IF(RIGHT(LEFT(C790,9),2)="##","",RIGHT(LEFT(C790,10),2))</f>
        <v>04</v>
      </c>
      <c r="E790" t="s">
        <v>1584</v>
      </c>
      <c r="F790" t="str">
        <f t="shared" si="25"/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 t="shared" si="27"/>
        <v>09</v>
      </c>
      <c r="E791" t="s">
        <v>1586</v>
      </c>
      <c r="F791" t="str">
        <f t="shared" si="25"/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 t="shared" si="27"/>
        <v>13</v>
      </c>
      <c r="E792" t="s">
        <v>1588</v>
      </c>
      <c r="F792" t="str">
        <f t="shared" si="25"/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 t="shared" si="27"/>
        <v/>
      </c>
      <c r="E793" t="s">
        <v>1590</v>
      </c>
      <c r="F793" t="str">
        <f t="shared" si="25"/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 t="shared" si="27"/>
        <v/>
      </c>
      <c r="E794" t="s">
        <v>1592</v>
      </c>
      <c r="F794" t="str">
        <f t="shared" si="25"/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 t="shared" si="27"/>
        <v/>
      </c>
      <c r="E795" t="s">
        <v>1594</v>
      </c>
      <c r="F795" t="str">
        <f t="shared" si="25"/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 t="shared" si="27"/>
        <v/>
      </c>
      <c r="E796" t="s">
        <v>1596</v>
      </c>
      <c r="F796" t="str">
        <f t="shared" si="25"/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 t="shared" si="27"/>
        <v/>
      </c>
      <c r="E797" t="s">
        <v>1598</v>
      </c>
      <c r="F797" t="str">
        <f t="shared" si="25"/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 t="shared" si="27"/>
        <v/>
      </c>
      <c r="E798" t="s">
        <v>1600</v>
      </c>
      <c r="F798" t="str">
        <f t="shared" si="25"/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 t="shared" si="27"/>
        <v/>
      </c>
      <c r="E799" t="s">
        <v>1602</v>
      </c>
      <c r="F799" t="str">
        <f t="shared" si="25"/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 t="shared" si="27"/>
        <v/>
      </c>
      <c r="E800" t="s">
        <v>1604</v>
      </c>
      <c r="F800" t="str">
        <f t="shared" si="25"/>
        <v>8701655</v>
      </c>
    </row>
    <row r="801" spans="1:6" hidden="1" x14ac:dyDescent="0.25">
      <c r="A801">
        <v>16651</v>
      </c>
      <c r="B801" t="s">
        <v>4</v>
      </c>
      <c r="C801" t="s">
        <v>1605</v>
      </c>
      <c r="D801" t="str">
        <f t="shared" si="27"/>
        <v/>
      </c>
      <c r="E801" t="s">
        <v>1606</v>
      </c>
      <c r="F801" t="str">
        <f t="shared" si="25"/>
        <v>8703107</v>
      </c>
    </row>
    <row r="802" spans="1:6" hidden="1" x14ac:dyDescent="0.25">
      <c r="A802">
        <v>16657</v>
      </c>
      <c r="B802" t="s">
        <v>4</v>
      </c>
      <c r="C802" t="s">
        <v>1607</v>
      </c>
      <c r="D802" t="str">
        <f t="shared" si="27"/>
        <v/>
      </c>
      <c r="E802" t="s">
        <v>1608</v>
      </c>
      <c r="F802" t="str">
        <f t="shared" si="25"/>
        <v>8701350</v>
      </c>
    </row>
    <row r="803" spans="1:6" hidden="1" x14ac:dyDescent="0.25">
      <c r="A803">
        <v>16663</v>
      </c>
      <c r="B803" t="s">
        <v>4</v>
      </c>
      <c r="C803" t="s">
        <v>1609</v>
      </c>
      <c r="D803" t="str">
        <f t="shared" si="27"/>
        <v/>
      </c>
      <c r="E803" t="s">
        <v>1610</v>
      </c>
      <c r="F803" t="str">
        <f t="shared" si="25"/>
        <v>8707721</v>
      </c>
    </row>
    <row r="804" spans="1:6" hidden="1" x14ac:dyDescent="0.25">
      <c r="A804">
        <v>16669</v>
      </c>
      <c r="B804" t="s">
        <v>4</v>
      </c>
      <c r="C804" t="s">
        <v>1611</v>
      </c>
      <c r="D804" t="str">
        <f t="shared" si="27"/>
        <v/>
      </c>
      <c r="E804" t="s">
        <v>1612</v>
      </c>
      <c r="F804" t="str">
        <f t="shared" si="25"/>
        <v>8703106</v>
      </c>
    </row>
    <row r="805" spans="1:6" hidden="1" x14ac:dyDescent="0.25">
      <c r="A805">
        <v>16675</v>
      </c>
      <c r="B805" t="s">
        <v>4</v>
      </c>
      <c r="C805" t="s">
        <v>1613</v>
      </c>
      <c r="D805" t="str">
        <f t="shared" si="27"/>
        <v/>
      </c>
      <c r="E805" t="s">
        <v>1614</v>
      </c>
      <c r="F805" t="str">
        <f t="shared" si="25"/>
        <v>2401242</v>
      </c>
    </row>
    <row r="806" spans="1:6" x14ac:dyDescent="0.25">
      <c r="A806">
        <v>16683</v>
      </c>
      <c r="B806" t="s">
        <v>7</v>
      </c>
      <c r="C806" t="s">
        <v>1615</v>
      </c>
      <c r="D806" t="str">
        <f t="shared" si="27"/>
        <v/>
      </c>
      <c r="E806" t="s">
        <v>1616</v>
      </c>
      <c r="F806" t="str">
        <f t="shared" si="25"/>
        <v>8708116</v>
      </c>
    </row>
    <row r="807" spans="1:6" hidden="1" x14ac:dyDescent="0.25">
      <c r="A807">
        <v>16684</v>
      </c>
      <c r="B807" t="s">
        <v>10</v>
      </c>
      <c r="C807" t="s">
        <v>1617</v>
      </c>
      <c r="D807" t="str">
        <f t="shared" si="27"/>
        <v/>
      </c>
      <c r="E807" t="s">
        <v>1618</v>
      </c>
      <c r="F807" t="str">
        <f t="shared" si="25"/>
        <v>8708116</v>
      </c>
    </row>
    <row r="808" spans="1:6" hidden="1" x14ac:dyDescent="0.25">
      <c r="A808">
        <v>16691</v>
      </c>
      <c r="B808" t="s">
        <v>10</v>
      </c>
      <c r="C808" t="s">
        <v>1619</v>
      </c>
      <c r="D808" t="str">
        <f t="shared" si="27"/>
        <v/>
      </c>
      <c r="E808" t="s">
        <v>1620</v>
      </c>
      <c r="F808" t="str">
        <f t="shared" si="25"/>
        <v>8708116</v>
      </c>
    </row>
    <row r="809" spans="1:6" hidden="1" x14ac:dyDescent="0.25">
      <c r="A809">
        <v>16692</v>
      </c>
      <c r="B809" t="s">
        <v>10</v>
      </c>
      <c r="C809" t="s">
        <v>1621</v>
      </c>
      <c r="D809" t="str">
        <f t="shared" si="27"/>
        <v/>
      </c>
      <c r="E809" t="s">
        <v>1622</v>
      </c>
      <c r="F809" t="str">
        <f t="shared" si="25"/>
        <v>8708116</v>
      </c>
    </row>
    <row r="810" spans="1:6" hidden="1" x14ac:dyDescent="0.25">
      <c r="A810">
        <v>16693</v>
      </c>
      <c r="B810" t="s">
        <v>10</v>
      </c>
      <c r="C810" t="s">
        <v>1623</v>
      </c>
      <c r="D810" t="str">
        <f t="shared" si="27"/>
        <v/>
      </c>
      <c r="E810" t="s">
        <v>1624</v>
      </c>
      <c r="F810" t="str">
        <f t="shared" si="25"/>
        <v>8708116</v>
      </c>
    </row>
    <row r="811" spans="1:6" hidden="1" x14ac:dyDescent="0.25">
      <c r="A811">
        <v>16694</v>
      </c>
      <c r="B811" t="s">
        <v>10</v>
      </c>
      <c r="C811" t="s">
        <v>1625</v>
      </c>
      <c r="D811" t="str">
        <f t="shared" si="27"/>
        <v/>
      </c>
      <c r="E811" t="s">
        <v>1626</v>
      </c>
      <c r="F811" t="str">
        <f t="shared" si="25"/>
        <v>8708116</v>
      </c>
    </row>
    <row r="812" spans="1:6" x14ac:dyDescent="0.25">
      <c r="A812">
        <v>16695</v>
      </c>
      <c r="B812" t="s">
        <v>7</v>
      </c>
      <c r="C812" t="s">
        <v>1627</v>
      </c>
      <c r="D812" t="str">
        <f t="shared" si="27"/>
        <v/>
      </c>
      <c r="E812" t="s">
        <v>1628</v>
      </c>
      <c r="F812" t="str">
        <f t="shared" si="25"/>
        <v>8708111</v>
      </c>
    </row>
    <row r="813" spans="1:6" hidden="1" x14ac:dyDescent="0.25">
      <c r="A813">
        <v>16696</v>
      </c>
      <c r="B813" t="s">
        <v>10</v>
      </c>
      <c r="C813" t="s">
        <v>1629</v>
      </c>
      <c r="D813" t="str">
        <f t="shared" si="27"/>
        <v/>
      </c>
      <c r="E813" t="s">
        <v>1630</v>
      </c>
      <c r="F813" t="str">
        <f t="shared" si="25"/>
        <v>8708111</v>
      </c>
    </row>
    <row r="814" spans="1:6" hidden="1" x14ac:dyDescent="0.25">
      <c r="A814">
        <v>16697</v>
      </c>
      <c r="B814" t="s">
        <v>10</v>
      </c>
      <c r="C814" t="s">
        <v>1631</v>
      </c>
      <c r="D814" t="str">
        <f t="shared" si="27"/>
        <v/>
      </c>
      <c r="E814" t="s">
        <v>1632</v>
      </c>
      <c r="F814" t="str">
        <f t="shared" si="25"/>
        <v>8708111</v>
      </c>
    </row>
    <row r="815" spans="1:6" hidden="1" x14ac:dyDescent="0.25">
      <c r="A815">
        <v>16698</v>
      </c>
      <c r="B815" t="s">
        <v>10</v>
      </c>
      <c r="C815" t="s">
        <v>1633</v>
      </c>
      <c r="D815" t="str">
        <f t="shared" si="27"/>
        <v/>
      </c>
      <c r="E815" t="s">
        <v>1634</v>
      </c>
      <c r="F815" t="str">
        <f t="shared" si="25"/>
        <v>8708111</v>
      </c>
    </row>
    <row r="816" spans="1:6" hidden="1" x14ac:dyDescent="0.25">
      <c r="A816">
        <v>16699</v>
      </c>
      <c r="B816" t="s">
        <v>10</v>
      </c>
      <c r="C816" t="s">
        <v>1635</v>
      </c>
      <c r="D816" t="str">
        <f t="shared" si="27"/>
        <v/>
      </c>
      <c r="E816" t="s">
        <v>1636</v>
      </c>
      <c r="F816" t="str">
        <f t="shared" si="25"/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 t="shared" si="27"/>
        <v/>
      </c>
      <c r="E817" t="s">
        <v>1638</v>
      </c>
      <c r="F817" t="str">
        <f t="shared" si="25"/>
        <v>8708111</v>
      </c>
    </row>
    <row r="818" spans="1:9" x14ac:dyDescent="0.25">
      <c r="A818">
        <v>16701</v>
      </c>
      <c r="B818" t="s">
        <v>7</v>
      </c>
      <c r="C818" t="s">
        <v>1639</v>
      </c>
      <c r="D818" t="str">
        <f t="shared" si="27"/>
        <v/>
      </c>
      <c r="E818" t="s">
        <v>1640</v>
      </c>
      <c r="F818" t="str">
        <f t="shared" si="25"/>
        <v>8708113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 t="shared" si="27"/>
        <v/>
      </c>
      <c r="E819" t="s">
        <v>1642</v>
      </c>
      <c r="F819" t="str">
        <f t="shared" si="25"/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 t="shared" si="27"/>
        <v/>
      </c>
      <c r="E820" t="s">
        <v>1644</v>
      </c>
      <c r="F820" t="str">
        <f t="shared" si="25"/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 t="shared" si="27"/>
        <v/>
      </c>
      <c r="E821" t="s">
        <v>1646</v>
      </c>
      <c r="F821" t="str">
        <f t="shared" si="25"/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 t="shared" ref="D822:D853" si="28">IF(RIGHT(LEFT(C822,9),2)="##","",RIGHT(LEFT(C822,10),2))</f>
        <v/>
      </c>
      <c r="E822" t="s">
        <v>1648</v>
      </c>
      <c r="F822" t="str">
        <f t="shared" si="25"/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 t="shared" si="28"/>
        <v/>
      </c>
      <c r="E823" t="s">
        <v>1650</v>
      </c>
      <c r="F823" t="str">
        <f t="shared" si="25"/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 t="shared" si="28"/>
        <v/>
      </c>
      <c r="E824" t="s">
        <v>1652</v>
      </c>
      <c r="F824" t="str">
        <f t="shared" si="25"/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 t="shared" si="28"/>
        <v/>
      </c>
      <c r="E825" t="s">
        <v>1654</v>
      </c>
      <c r="F825" t="str">
        <f t="shared" si="25"/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 t="shared" si="28"/>
        <v/>
      </c>
      <c r="E826" t="s">
        <v>1656</v>
      </c>
      <c r="F826" t="str">
        <f t="shared" si="25"/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 t="shared" si="28"/>
        <v/>
      </c>
      <c r="E827" t="s">
        <v>1658</v>
      </c>
      <c r="F827" t="str">
        <f t="shared" si="25"/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 t="shared" si="28"/>
        <v/>
      </c>
      <c r="E828" t="s">
        <v>1660</v>
      </c>
      <c r="F828" t="str">
        <f t="shared" si="25"/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 t="shared" si="28"/>
        <v/>
      </c>
      <c r="E829" t="s">
        <v>1662</v>
      </c>
      <c r="F829" t="str">
        <f t="shared" si="25"/>
        <v>7709017</v>
      </c>
    </row>
    <row r="830" spans="1:9" x14ac:dyDescent="0.25">
      <c r="A830">
        <v>16730</v>
      </c>
      <c r="B830" t="s">
        <v>7</v>
      </c>
      <c r="C830" t="s">
        <v>1663</v>
      </c>
      <c r="D830" t="str">
        <f t="shared" si="28"/>
        <v/>
      </c>
      <c r="E830" t="s">
        <v>1664</v>
      </c>
      <c r="F830" t="str">
        <f t="shared" si="25"/>
        <v>8205050</v>
      </c>
      <c r="H830">
        <v>8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 t="shared" si="28"/>
        <v/>
      </c>
      <c r="E831" t="s">
        <v>1666</v>
      </c>
      <c r="F831" t="str">
        <f t="shared" si="25"/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 t="shared" si="28"/>
        <v/>
      </c>
      <c r="E832" t="s">
        <v>1668</v>
      </c>
      <c r="F832" t="str">
        <f t="shared" si="25"/>
        <v>8205050</v>
      </c>
    </row>
    <row r="833" spans="1:6" hidden="1" x14ac:dyDescent="0.25">
      <c r="A833">
        <v>16737</v>
      </c>
      <c r="B833" t="s">
        <v>10</v>
      </c>
      <c r="C833" t="s">
        <v>1669</v>
      </c>
      <c r="D833" t="str">
        <f t="shared" si="28"/>
        <v/>
      </c>
      <c r="E833" t="s">
        <v>1670</v>
      </c>
      <c r="F833" t="str">
        <f t="shared" si="25"/>
        <v>8205050</v>
      </c>
    </row>
    <row r="834" spans="1:6" hidden="1" x14ac:dyDescent="0.25">
      <c r="A834">
        <v>16738</v>
      </c>
      <c r="B834" t="s">
        <v>10</v>
      </c>
      <c r="C834" t="s">
        <v>1671</v>
      </c>
      <c r="D834" t="str">
        <f t="shared" si="28"/>
        <v/>
      </c>
      <c r="E834" t="s">
        <v>1672</v>
      </c>
      <c r="F834" t="str">
        <f t="shared" ref="F834:F897" si="29">LEFT(C834,7)</f>
        <v>8205050</v>
      </c>
    </row>
    <row r="835" spans="1:6" hidden="1" x14ac:dyDescent="0.25">
      <c r="A835">
        <v>16739</v>
      </c>
      <c r="B835" t="s">
        <v>10</v>
      </c>
      <c r="C835" t="s">
        <v>1673</v>
      </c>
      <c r="D835" t="str">
        <f t="shared" si="28"/>
        <v/>
      </c>
      <c r="E835" t="s">
        <v>1674</v>
      </c>
      <c r="F835" t="str">
        <f t="shared" si="29"/>
        <v>8205050</v>
      </c>
    </row>
    <row r="836" spans="1:6" hidden="1" x14ac:dyDescent="0.25">
      <c r="A836">
        <v>16740</v>
      </c>
      <c r="B836" t="s">
        <v>10</v>
      </c>
      <c r="C836" t="s">
        <v>1675</v>
      </c>
      <c r="D836" t="str">
        <f t="shared" si="28"/>
        <v/>
      </c>
      <c r="E836" t="s">
        <v>1676</v>
      </c>
      <c r="F836" t="str">
        <f t="shared" si="29"/>
        <v>8205050</v>
      </c>
    </row>
    <row r="837" spans="1:6" hidden="1" x14ac:dyDescent="0.25">
      <c r="A837">
        <v>16741</v>
      </c>
      <c r="B837" t="s">
        <v>10</v>
      </c>
      <c r="C837" t="s">
        <v>1677</v>
      </c>
      <c r="D837" t="str">
        <f t="shared" si="28"/>
        <v/>
      </c>
      <c r="E837" t="s">
        <v>1678</v>
      </c>
      <c r="F837" t="str">
        <f t="shared" si="29"/>
        <v>8205050</v>
      </c>
    </row>
    <row r="838" spans="1:6" hidden="1" x14ac:dyDescent="0.25">
      <c r="A838">
        <v>16742</v>
      </c>
      <c r="B838" t="s">
        <v>10</v>
      </c>
      <c r="C838" t="s">
        <v>1679</v>
      </c>
      <c r="D838" t="str">
        <f t="shared" si="28"/>
        <v/>
      </c>
      <c r="E838" t="s">
        <v>1680</v>
      </c>
      <c r="F838" t="str">
        <f t="shared" si="29"/>
        <v>8205050</v>
      </c>
    </row>
    <row r="839" spans="1:6" hidden="1" x14ac:dyDescent="0.25">
      <c r="A839">
        <v>16743</v>
      </c>
      <c r="B839" t="s">
        <v>10</v>
      </c>
      <c r="C839" t="s">
        <v>1681</v>
      </c>
      <c r="D839" t="str">
        <f t="shared" si="28"/>
        <v/>
      </c>
      <c r="E839" t="s">
        <v>1682</v>
      </c>
      <c r="F839" t="str">
        <f t="shared" si="29"/>
        <v>8205050</v>
      </c>
    </row>
    <row r="840" spans="1:6" hidden="1" x14ac:dyDescent="0.25">
      <c r="A840">
        <v>16744</v>
      </c>
      <c r="B840" t="s">
        <v>10</v>
      </c>
      <c r="C840" t="s">
        <v>1683</v>
      </c>
      <c r="D840" t="str">
        <f t="shared" si="28"/>
        <v/>
      </c>
      <c r="E840" t="s">
        <v>1684</v>
      </c>
      <c r="F840" t="str">
        <f t="shared" si="29"/>
        <v>8205050</v>
      </c>
    </row>
    <row r="841" spans="1:6" hidden="1" x14ac:dyDescent="0.25">
      <c r="A841">
        <v>16745</v>
      </c>
      <c r="B841" t="s">
        <v>4</v>
      </c>
      <c r="C841" t="s">
        <v>1685</v>
      </c>
      <c r="D841" t="str">
        <f t="shared" si="28"/>
        <v/>
      </c>
      <c r="E841" t="s">
        <v>1686</v>
      </c>
      <c r="F841" t="str">
        <f t="shared" si="29"/>
        <v>8306200</v>
      </c>
    </row>
    <row r="842" spans="1:6" hidden="1" x14ac:dyDescent="0.25">
      <c r="A842">
        <v>16749</v>
      </c>
      <c r="B842" t="s">
        <v>4</v>
      </c>
      <c r="C842" t="s">
        <v>1687</v>
      </c>
      <c r="D842" t="str">
        <f t="shared" si="28"/>
        <v/>
      </c>
      <c r="E842" t="s">
        <v>1688</v>
      </c>
      <c r="F842" t="str">
        <f t="shared" si="29"/>
        <v>8705038</v>
      </c>
    </row>
    <row r="843" spans="1:6" x14ac:dyDescent="0.25">
      <c r="A843">
        <v>16754</v>
      </c>
      <c r="B843" t="s">
        <v>7</v>
      </c>
      <c r="C843" t="s">
        <v>1689</v>
      </c>
      <c r="D843" t="str">
        <f t="shared" si="28"/>
        <v/>
      </c>
      <c r="E843" t="s">
        <v>1690</v>
      </c>
      <c r="F843" t="str">
        <f t="shared" si="29"/>
        <v>8701999</v>
      </c>
    </row>
    <row r="844" spans="1:6" hidden="1" x14ac:dyDescent="0.25">
      <c r="A844">
        <v>16755</v>
      </c>
      <c r="B844" t="s">
        <v>10</v>
      </c>
      <c r="C844" t="s">
        <v>1691</v>
      </c>
      <c r="D844" t="str">
        <f t="shared" si="28"/>
        <v/>
      </c>
      <c r="E844" t="s">
        <v>1692</v>
      </c>
      <c r="F844" t="str">
        <f t="shared" si="29"/>
        <v>8701999</v>
      </c>
    </row>
    <row r="845" spans="1:6" hidden="1" x14ac:dyDescent="0.25">
      <c r="A845">
        <v>16758</v>
      </c>
      <c r="B845" t="s">
        <v>10</v>
      </c>
      <c r="C845" t="s">
        <v>1693</v>
      </c>
      <c r="D845" t="str">
        <f t="shared" si="28"/>
        <v/>
      </c>
      <c r="E845" t="s">
        <v>1694</v>
      </c>
      <c r="F845" t="str">
        <f t="shared" si="29"/>
        <v>8701999</v>
      </c>
    </row>
    <row r="846" spans="1:6" hidden="1" x14ac:dyDescent="0.25">
      <c r="A846">
        <v>16759</v>
      </c>
      <c r="B846" t="s">
        <v>10</v>
      </c>
      <c r="C846" t="s">
        <v>1695</v>
      </c>
      <c r="D846" t="str">
        <f t="shared" si="28"/>
        <v/>
      </c>
      <c r="E846" t="s">
        <v>1696</v>
      </c>
      <c r="F846" t="str">
        <f t="shared" si="29"/>
        <v>8701999</v>
      </c>
    </row>
    <row r="847" spans="1:6" hidden="1" x14ac:dyDescent="0.25">
      <c r="A847">
        <v>16760</v>
      </c>
      <c r="B847" t="s">
        <v>10</v>
      </c>
      <c r="C847" t="s">
        <v>1697</v>
      </c>
      <c r="D847" t="str">
        <f t="shared" si="28"/>
        <v/>
      </c>
      <c r="E847" t="s">
        <v>1698</v>
      </c>
      <c r="F847" t="str">
        <f t="shared" si="29"/>
        <v>8701999</v>
      </c>
    </row>
    <row r="848" spans="1:6" hidden="1" x14ac:dyDescent="0.25">
      <c r="A848">
        <v>16761</v>
      </c>
      <c r="B848" t="s">
        <v>10</v>
      </c>
      <c r="C848" t="s">
        <v>1699</v>
      </c>
      <c r="D848" t="str">
        <f t="shared" si="28"/>
        <v/>
      </c>
      <c r="E848" t="s">
        <v>1700</v>
      </c>
      <c r="F848" t="str">
        <f t="shared" si="29"/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 t="shared" si="28"/>
        <v/>
      </c>
      <c r="E849" t="s">
        <v>1702</v>
      </c>
      <c r="F849" t="str">
        <f t="shared" si="29"/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 t="shared" si="28"/>
        <v/>
      </c>
      <c r="E850" t="s">
        <v>1704</v>
      </c>
      <c r="F850" t="str">
        <f t="shared" si="29"/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 t="shared" si="28"/>
        <v/>
      </c>
      <c r="E851" t="s">
        <v>1706</v>
      </c>
      <c r="F851" t="str">
        <f t="shared" si="29"/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 t="shared" si="28"/>
        <v/>
      </c>
      <c r="E852" t="s">
        <v>1708</v>
      </c>
      <c r="F852" t="str">
        <f t="shared" si="29"/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 t="shared" si="28"/>
        <v/>
      </c>
      <c r="E853" t="s">
        <v>1710</v>
      </c>
      <c r="F853" t="str">
        <f t="shared" si="29"/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 t="shared" ref="D854:D876" si="30">IF(RIGHT(LEFT(C854,9),2)="##","",RIGHT(LEFT(C854,10),2))</f>
        <v/>
      </c>
      <c r="E854" t="s">
        <v>1712</v>
      </c>
      <c r="F854" t="str">
        <f t="shared" si="29"/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 t="shared" si="30"/>
        <v/>
      </c>
      <c r="E855" t="s">
        <v>1714</v>
      </c>
      <c r="F855" t="str">
        <f t="shared" si="29"/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 t="shared" si="30"/>
        <v/>
      </c>
      <c r="E856" t="s">
        <v>1716</v>
      </c>
      <c r="F856" t="str">
        <f t="shared" si="29"/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 t="shared" si="30"/>
        <v/>
      </c>
      <c r="E857" t="s">
        <v>1718</v>
      </c>
      <c r="F857" t="str">
        <f t="shared" si="29"/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 t="shared" si="30"/>
        <v/>
      </c>
      <c r="E858" t="s">
        <v>1720</v>
      </c>
      <c r="F858" t="str">
        <f t="shared" si="29"/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 t="shared" si="30"/>
        <v/>
      </c>
      <c r="E859" t="s">
        <v>1722</v>
      </c>
      <c r="F859" t="str">
        <f t="shared" si="29"/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 t="shared" si="30"/>
        <v/>
      </c>
      <c r="E860" t="s">
        <v>1724</v>
      </c>
      <c r="F860" t="str">
        <f t="shared" si="29"/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 t="shared" si="30"/>
        <v/>
      </c>
      <c r="E861" t="s">
        <v>1726</v>
      </c>
      <c r="F861" t="str">
        <f t="shared" si="29"/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 t="shared" si="30"/>
        <v/>
      </c>
      <c r="E862" t="s">
        <v>1728</v>
      </c>
      <c r="F862" t="str">
        <f t="shared" si="29"/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 t="shared" si="30"/>
        <v/>
      </c>
      <c r="E863" t="s">
        <v>1730</v>
      </c>
      <c r="F863" t="str">
        <f t="shared" si="29"/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 t="shared" si="30"/>
        <v/>
      </c>
      <c r="E864" t="s">
        <v>1732</v>
      </c>
      <c r="F864" t="str">
        <f t="shared" si="29"/>
        <v>8703200</v>
      </c>
    </row>
    <row r="865" spans="1:8" hidden="1" x14ac:dyDescent="0.25">
      <c r="A865">
        <v>16801</v>
      </c>
      <c r="B865" t="s">
        <v>4</v>
      </c>
      <c r="C865" t="s">
        <v>1733</v>
      </c>
      <c r="D865" t="str">
        <f t="shared" si="30"/>
        <v/>
      </c>
      <c r="E865" t="s">
        <v>1734</v>
      </c>
      <c r="F865" t="str">
        <f t="shared" si="29"/>
        <v>8303113</v>
      </c>
    </row>
    <row r="866" spans="1:8" hidden="1" x14ac:dyDescent="0.25">
      <c r="A866">
        <v>16806</v>
      </c>
      <c r="B866" t="s">
        <v>4</v>
      </c>
      <c r="C866" t="s">
        <v>1735</v>
      </c>
      <c r="D866" t="str">
        <f t="shared" si="30"/>
        <v/>
      </c>
      <c r="E866" t="s">
        <v>1736</v>
      </c>
      <c r="F866" t="str">
        <f t="shared" si="29"/>
        <v>8303902</v>
      </c>
    </row>
    <row r="867" spans="1:8" x14ac:dyDescent="0.25">
      <c r="A867">
        <v>16811</v>
      </c>
      <c r="B867" t="s">
        <v>7</v>
      </c>
      <c r="C867" t="s">
        <v>1737</v>
      </c>
      <c r="D867" t="str">
        <f t="shared" si="30"/>
        <v/>
      </c>
      <c r="E867" t="s">
        <v>1738</v>
      </c>
      <c r="F867" t="str">
        <f t="shared" si="29"/>
        <v>8303123</v>
      </c>
    </row>
    <row r="868" spans="1:8" hidden="1" x14ac:dyDescent="0.25">
      <c r="A868">
        <v>16812</v>
      </c>
      <c r="B868" t="s">
        <v>10</v>
      </c>
      <c r="C868" t="s">
        <v>1739</v>
      </c>
      <c r="D868" t="str">
        <f t="shared" si="30"/>
        <v/>
      </c>
      <c r="E868" t="s">
        <v>1740</v>
      </c>
      <c r="F868" t="str">
        <f t="shared" si="29"/>
        <v>8303123</v>
      </c>
    </row>
    <row r="869" spans="1:8" hidden="1" x14ac:dyDescent="0.25">
      <c r="A869">
        <v>16813</v>
      </c>
      <c r="B869" t="s">
        <v>10</v>
      </c>
      <c r="C869" t="s">
        <v>1741</v>
      </c>
      <c r="D869" t="str">
        <f t="shared" si="30"/>
        <v/>
      </c>
      <c r="E869" t="s">
        <v>1742</v>
      </c>
      <c r="F869" t="str">
        <f t="shared" si="29"/>
        <v>8303123</v>
      </c>
    </row>
    <row r="870" spans="1:8" hidden="1" x14ac:dyDescent="0.25">
      <c r="A870">
        <v>16814</v>
      </c>
      <c r="B870" t="s">
        <v>10</v>
      </c>
      <c r="C870" t="s">
        <v>1743</v>
      </c>
      <c r="D870" t="str">
        <f t="shared" si="30"/>
        <v/>
      </c>
      <c r="E870" t="s">
        <v>1744</v>
      </c>
      <c r="F870" t="str">
        <f t="shared" si="29"/>
        <v>8303123</v>
      </c>
    </row>
    <row r="871" spans="1:8" hidden="1" x14ac:dyDescent="0.25">
      <c r="A871">
        <v>16815</v>
      </c>
      <c r="B871" t="s">
        <v>10</v>
      </c>
      <c r="C871" t="s">
        <v>1745</v>
      </c>
      <c r="D871" t="str">
        <f t="shared" si="30"/>
        <v/>
      </c>
      <c r="E871" t="s">
        <v>1746</v>
      </c>
      <c r="F871" t="str">
        <f t="shared" si="29"/>
        <v>8303123</v>
      </c>
    </row>
    <row r="872" spans="1:8" hidden="1" x14ac:dyDescent="0.25">
      <c r="A872">
        <v>16816</v>
      </c>
      <c r="B872" t="s">
        <v>10</v>
      </c>
      <c r="C872" t="s">
        <v>1747</v>
      </c>
      <c r="D872" t="str">
        <f t="shared" si="30"/>
        <v/>
      </c>
      <c r="E872" t="s">
        <v>1748</v>
      </c>
      <c r="F872" t="str">
        <f t="shared" si="29"/>
        <v>8303123</v>
      </c>
    </row>
    <row r="873" spans="1:8" hidden="1" x14ac:dyDescent="0.25">
      <c r="A873">
        <v>16817</v>
      </c>
      <c r="B873" t="s">
        <v>10</v>
      </c>
      <c r="C873" t="s">
        <v>1749</v>
      </c>
      <c r="D873" t="str">
        <f t="shared" si="30"/>
        <v/>
      </c>
      <c r="E873" t="s">
        <v>1750</v>
      </c>
      <c r="F873" t="str">
        <f t="shared" si="29"/>
        <v>8303123</v>
      </c>
    </row>
    <row r="874" spans="1:8" hidden="1" x14ac:dyDescent="0.25">
      <c r="A874">
        <v>16818</v>
      </c>
      <c r="B874" t="s">
        <v>10</v>
      </c>
      <c r="C874" t="s">
        <v>1751</v>
      </c>
      <c r="D874" t="str">
        <f t="shared" si="30"/>
        <v/>
      </c>
      <c r="E874" t="s">
        <v>1752</v>
      </c>
      <c r="F874" t="str">
        <f t="shared" si="29"/>
        <v>8303123</v>
      </c>
    </row>
    <row r="875" spans="1:8" hidden="1" x14ac:dyDescent="0.25">
      <c r="A875">
        <v>16819</v>
      </c>
      <c r="B875" t="s">
        <v>4</v>
      </c>
      <c r="C875" t="s">
        <v>1753</v>
      </c>
      <c r="D875" t="str">
        <f t="shared" si="30"/>
        <v/>
      </c>
      <c r="E875" t="s">
        <v>1754</v>
      </c>
      <c r="F875" t="str">
        <f t="shared" si="29"/>
        <v>8701216</v>
      </c>
    </row>
    <row r="876" spans="1:8" hidden="1" x14ac:dyDescent="0.25">
      <c r="A876">
        <v>16822</v>
      </c>
      <c r="B876" t="s">
        <v>4</v>
      </c>
      <c r="C876" t="s">
        <v>1755</v>
      </c>
      <c r="D876" t="str">
        <f t="shared" si="30"/>
        <v/>
      </c>
      <c r="E876" t="s">
        <v>1756</v>
      </c>
      <c r="F876" t="str">
        <f t="shared" si="29"/>
        <v>8703162</v>
      </c>
    </row>
    <row r="877" spans="1:8" hidden="1" x14ac:dyDescent="0.25">
      <c r="A877">
        <v>16831</v>
      </c>
      <c r="B877" t="s">
        <v>7</v>
      </c>
      <c r="C877" t="s">
        <v>1757</v>
      </c>
      <c r="D877" t="s">
        <v>6906</v>
      </c>
      <c r="E877" t="s">
        <v>1758</v>
      </c>
      <c r="F877" t="str">
        <f t="shared" si="29"/>
        <v>8708121</v>
      </c>
      <c r="H877">
        <f>SUBTOTAL(9,H878:H882)</f>
        <v>0</v>
      </c>
    </row>
    <row r="878" spans="1:8" hidden="1" x14ac:dyDescent="0.25">
      <c r="A878">
        <v>16832</v>
      </c>
      <c r="B878" t="s">
        <v>10</v>
      </c>
      <c r="C878" t="s">
        <v>1759</v>
      </c>
      <c r="D878" t="str">
        <f t="shared" ref="D878:D909" si="31">IF(RIGHT(LEFT(C878,9),2)="##","",RIGHT(LEFT(C878,10),2))</f>
        <v>04</v>
      </c>
      <c r="E878" t="s">
        <v>1760</v>
      </c>
      <c r="F878" t="str">
        <f t="shared" si="29"/>
        <v>8708121</v>
      </c>
      <c r="H878">
        <v>1</v>
      </c>
    </row>
    <row r="879" spans="1:8" hidden="1" x14ac:dyDescent="0.25">
      <c r="A879">
        <v>16841</v>
      </c>
      <c r="B879" t="s">
        <v>10</v>
      </c>
      <c r="C879" t="s">
        <v>1761</v>
      </c>
      <c r="D879" t="str">
        <f t="shared" si="31"/>
        <v>06</v>
      </c>
      <c r="E879" t="s">
        <v>1762</v>
      </c>
      <c r="F879" t="str">
        <f t="shared" si="29"/>
        <v>8708121</v>
      </c>
      <c r="H879">
        <v>1</v>
      </c>
    </row>
    <row r="880" spans="1:8" hidden="1" x14ac:dyDescent="0.25">
      <c r="A880">
        <v>16842</v>
      </c>
      <c r="B880" t="s">
        <v>10</v>
      </c>
      <c r="C880" t="s">
        <v>1763</v>
      </c>
      <c r="D880" t="str">
        <f t="shared" si="31"/>
        <v>09</v>
      </c>
      <c r="E880" t="s">
        <v>1764</v>
      </c>
      <c r="F880" t="str">
        <f t="shared" si="29"/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 t="shared" si="31"/>
        <v>13</v>
      </c>
      <c r="E881" t="s">
        <v>1766</v>
      </c>
      <c r="F881" t="str">
        <f t="shared" si="29"/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 t="shared" si="31"/>
        <v>18</v>
      </c>
      <c r="E882" t="s">
        <v>1768</v>
      </c>
      <c r="F882" t="str">
        <f t="shared" si="29"/>
        <v>8708121</v>
      </c>
      <c r="H882">
        <v>1</v>
      </c>
    </row>
    <row r="883" spans="1:9" x14ac:dyDescent="0.25">
      <c r="A883">
        <v>16845</v>
      </c>
      <c r="B883" t="s">
        <v>7</v>
      </c>
      <c r="C883" t="s">
        <v>1769</v>
      </c>
      <c r="D883" t="str">
        <f t="shared" si="31"/>
        <v/>
      </c>
      <c r="E883" t="s">
        <v>1770</v>
      </c>
      <c r="F883" t="str">
        <f t="shared" si="29"/>
        <v>8303129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 t="shared" si="31"/>
        <v/>
      </c>
      <c r="E884" t="s">
        <v>1772</v>
      </c>
      <c r="F884" t="str">
        <f t="shared" si="29"/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 t="shared" si="31"/>
        <v/>
      </c>
      <c r="E885" t="s">
        <v>1774</v>
      </c>
      <c r="F885" t="str">
        <f t="shared" si="29"/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 t="shared" si="31"/>
        <v/>
      </c>
      <c r="E886" t="s">
        <v>1776</v>
      </c>
      <c r="F886" t="str">
        <f t="shared" si="29"/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 t="shared" si="31"/>
        <v/>
      </c>
      <c r="E887" t="s">
        <v>1778</v>
      </c>
      <c r="F887" t="str">
        <f t="shared" si="29"/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 t="shared" si="31"/>
        <v/>
      </c>
      <c r="E888" t="s">
        <v>1780</v>
      </c>
      <c r="F888" t="str">
        <f t="shared" si="29"/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 t="shared" si="31"/>
        <v/>
      </c>
      <c r="E889" t="s">
        <v>1782</v>
      </c>
      <c r="F889" t="str">
        <f t="shared" si="29"/>
        <v>8708101</v>
      </c>
    </row>
    <row r="890" spans="1:9" x14ac:dyDescent="0.25">
      <c r="A890">
        <v>16868</v>
      </c>
      <c r="B890" t="s">
        <v>7</v>
      </c>
      <c r="C890" t="s">
        <v>1783</v>
      </c>
      <c r="D890" t="str">
        <f t="shared" si="31"/>
        <v/>
      </c>
      <c r="E890" t="s">
        <v>1784</v>
      </c>
      <c r="F890" t="str">
        <f t="shared" si="29"/>
        <v>2101350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 t="shared" si="31"/>
        <v/>
      </c>
      <c r="E891" t="s">
        <v>1786</v>
      </c>
      <c r="F891" t="str">
        <f t="shared" si="29"/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 t="shared" si="31"/>
        <v/>
      </c>
      <c r="E892" t="s">
        <v>1788</v>
      </c>
      <c r="F892" t="str">
        <f t="shared" si="29"/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 t="shared" si="31"/>
        <v/>
      </c>
      <c r="E893" t="s">
        <v>1790</v>
      </c>
      <c r="F893" t="str">
        <f t="shared" si="29"/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 t="shared" si="31"/>
        <v/>
      </c>
      <c r="E894" t="s">
        <v>1792</v>
      </c>
      <c r="F894" t="str">
        <f t="shared" si="29"/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 t="shared" si="31"/>
        <v/>
      </c>
      <c r="E895" t="s">
        <v>1794</v>
      </c>
      <c r="F895" t="str">
        <f t="shared" si="29"/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 t="shared" si="31"/>
        <v/>
      </c>
      <c r="E896" t="s">
        <v>1796</v>
      </c>
      <c r="F896" t="str">
        <f t="shared" si="29"/>
        <v>2101350</v>
      </c>
    </row>
    <row r="897" spans="1:9" x14ac:dyDescent="0.25">
      <c r="A897">
        <v>16879</v>
      </c>
      <c r="B897" t="s">
        <v>7</v>
      </c>
      <c r="C897" t="s">
        <v>1797</v>
      </c>
      <c r="D897" t="str">
        <f t="shared" si="31"/>
        <v/>
      </c>
      <c r="E897" t="s">
        <v>1798</v>
      </c>
      <c r="F897" t="str">
        <f t="shared" si="29"/>
        <v>2101550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 t="shared" si="31"/>
        <v/>
      </c>
      <c r="E898" t="s">
        <v>1800</v>
      </c>
      <c r="F898" t="str">
        <f t="shared" ref="F898:F961" si="32"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 t="shared" si="31"/>
        <v/>
      </c>
      <c r="E899" t="s">
        <v>1802</v>
      </c>
      <c r="F899" t="str">
        <f t="shared" si="32"/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 t="shared" si="31"/>
        <v/>
      </c>
      <c r="E900" t="s">
        <v>1804</v>
      </c>
      <c r="F900" t="str">
        <f t="shared" si="32"/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 t="shared" si="31"/>
        <v/>
      </c>
      <c r="E901" t="s">
        <v>1806</v>
      </c>
      <c r="F901" t="str">
        <f t="shared" si="32"/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 t="shared" si="31"/>
        <v/>
      </c>
      <c r="E902" t="s">
        <v>1808</v>
      </c>
      <c r="F902" t="str">
        <f t="shared" si="32"/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 t="shared" si="31"/>
        <v/>
      </c>
      <c r="E903" t="s">
        <v>1810</v>
      </c>
      <c r="F903" t="str">
        <f t="shared" si="32"/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 t="shared" si="31"/>
        <v/>
      </c>
      <c r="E904" t="s">
        <v>1812</v>
      </c>
      <c r="F904" t="str">
        <f t="shared" si="32"/>
        <v>2101550</v>
      </c>
    </row>
    <row r="905" spans="1:9" x14ac:dyDescent="0.25">
      <c r="A905">
        <v>16891</v>
      </c>
      <c r="B905" t="s">
        <v>7</v>
      </c>
      <c r="C905" t="s">
        <v>1813</v>
      </c>
      <c r="D905" t="str">
        <f t="shared" si="31"/>
        <v/>
      </c>
      <c r="E905" t="s">
        <v>1814</v>
      </c>
      <c r="F905" t="str">
        <f t="shared" si="32"/>
        <v>2101555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 t="shared" si="31"/>
        <v/>
      </c>
      <c r="E906" t="s">
        <v>1816</v>
      </c>
      <c r="F906" t="str">
        <f t="shared" si="32"/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 t="shared" si="31"/>
        <v/>
      </c>
      <c r="E907" t="s">
        <v>1818</v>
      </c>
      <c r="F907" t="str">
        <f t="shared" si="32"/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 t="shared" si="31"/>
        <v/>
      </c>
      <c r="E908" t="s">
        <v>1820</v>
      </c>
      <c r="F908" t="str">
        <f t="shared" si="32"/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 t="shared" si="31"/>
        <v/>
      </c>
      <c r="E909" t="s">
        <v>1822</v>
      </c>
      <c r="F909" t="str">
        <f t="shared" si="32"/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 t="shared" ref="D910:D941" si="33">IF(RIGHT(LEFT(C910,9),2)="##","",RIGHT(LEFT(C910,10),2))</f>
        <v/>
      </c>
      <c r="E910" t="s">
        <v>1824</v>
      </c>
      <c r="F910" t="str">
        <f t="shared" si="32"/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 t="shared" si="33"/>
        <v/>
      </c>
      <c r="E911" t="s">
        <v>1826</v>
      </c>
      <c r="F911" t="str">
        <f t="shared" si="32"/>
        <v>2101555</v>
      </c>
    </row>
    <row r="912" spans="1:9" x14ac:dyDescent="0.25">
      <c r="A912">
        <v>16902</v>
      </c>
      <c r="B912" t="s">
        <v>7</v>
      </c>
      <c r="C912" t="s">
        <v>1827</v>
      </c>
      <c r="D912" t="str">
        <f t="shared" si="33"/>
        <v/>
      </c>
      <c r="E912" t="s">
        <v>1828</v>
      </c>
      <c r="F912" t="str">
        <f t="shared" si="32"/>
        <v>2101300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 t="shared" si="33"/>
        <v/>
      </c>
      <c r="E913" t="s">
        <v>1830</v>
      </c>
      <c r="F913" t="str">
        <f t="shared" si="32"/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 t="shared" si="33"/>
        <v/>
      </c>
      <c r="E914" t="s">
        <v>1832</v>
      </c>
      <c r="F914" t="str">
        <f t="shared" si="32"/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 t="shared" si="33"/>
        <v/>
      </c>
      <c r="E915" t="s">
        <v>1834</v>
      </c>
      <c r="F915" t="str">
        <f t="shared" si="32"/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 t="shared" si="33"/>
        <v/>
      </c>
      <c r="E916" t="s">
        <v>1836</v>
      </c>
      <c r="F916" t="str">
        <f t="shared" si="32"/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 t="shared" si="33"/>
        <v/>
      </c>
      <c r="E917" t="s">
        <v>1838</v>
      </c>
      <c r="F917" t="str">
        <f t="shared" si="32"/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 t="shared" si="33"/>
        <v/>
      </c>
      <c r="E918" t="s">
        <v>1840</v>
      </c>
      <c r="F918" t="str">
        <f t="shared" si="32"/>
        <v>2101300</v>
      </c>
    </row>
    <row r="919" spans="1:9" x14ac:dyDescent="0.25">
      <c r="A919">
        <v>16909</v>
      </c>
      <c r="B919" t="s">
        <v>7</v>
      </c>
      <c r="C919" t="s">
        <v>1841</v>
      </c>
      <c r="D919" t="str">
        <f t="shared" si="33"/>
        <v/>
      </c>
      <c r="E919" t="s">
        <v>1842</v>
      </c>
      <c r="F919" t="str">
        <f t="shared" si="32"/>
        <v>2101110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 t="shared" si="33"/>
        <v/>
      </c>
      <c r="E920" t="s">
        <v>1844</v>
      </c>
      <c r="F920" t="str">
        <f t="shared" si="32"/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 t="shared" si="33"/>
        <v/>
      </c>
      <c r="E921" t="s">
        <v>1846</v>
      </c>
      <c r="F921" t="str">
        <f t="shared" si="32"/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 t="shared" si="33"/>
        <v/>
      </c>
      <c r="E922" t="s">
        <v>1848</v>
      </c>
      <c r="F922" t="str">
        <f t="shared" si="32"/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 t="shared" si="33"/>
        <v/>
      </c>
      <c r="E923" t="s">
        <v>1850</v>
      </c>
      <c r="F923" t="str">
        <f t="shared" si="32"/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 t="shared" si="33"/>
        <v/>
      </c>
      <c r="E924" t="s">
        <v>1852</v>
      </c>
      <c r="F924" t="str">
        <f t="shared" si="32"/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 t="shared" si="33"/>
        <v/>
      </c>
      <c r="E925" t="s">
        <v>1854</v>
      </c>
      <c r="F925" t="str">
        <f t="shared" si="32"/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 t="shared" si="33"/>
        <v/>
      </c>
      <c r="E926" t="s">
        <v>1856</v>
      </c>
      <c r="F926" t="str">
        <f t="shared" si="32"/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 t="shared" si="33"/>
        <v/>
      </c>
      <c r="E927" t="s">
        <v>1858</v>
      </c>
      <c r="F927" t="str">
        <f t="shared" si="32"/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 t="shared" si="33"/>
        <v/>
      </c>
      <c r="E928" t="s">
        <v>1860</v>
      </c>
      <c r="F928" t="str">
        <f t="shared" si="32"/>
        <v>8705550</v>
      </c>
    </row>
    <row r="929" spans="1:6" hidden="1" x14ac:dyDescent="0.25">
      <c r="A929">
        <v>16929</v>
      </c>
      <c r="B929" t="s">
        <v>4</v>
      </c>
      <c r="C929" t="s">
        <v>1861</v>
      </c>
      <c r="D929" t="str">
        <f t="shared" si="33"/>
        <v/>
      </c>
      <c r="E929" t="s">
        <v>1862</v>
      </c>
      <c r="F929" t="str">
        <f t="shared" si="32"/>
        <v>8203124</v>
      </c>
    </row>
    <row r="930" spans="1:6" hidden="1" x14ac:dyDescent="0.25">
      <c r="A930">
        <v>16937</v>
      </c>
      <c r="B930" t="s">
        <v>4</v>
      </c>
      <c r="C930" t="s">
        <v>1863</v>
      </c>
      <c r="D930" t="str">
        <f t="shared" si="33"/>
        <v/>
      </c>
      <c r="E930" t="s">
        <v>1864</v>
      </c>
      <c r="F930" t="str">
        <f t="shared" si="32"/>
        <v>7710030</v>
      </c>
    </row>
    <row r="931" spans="1:6" hidden="1" x14ac:dyDescent="0.25">
      <c r="A931">
        <v>16940</v>
      </c>
      <c r="B931" t="s">
        <v>4</v>
      </c>
      <c r="C931" t="s">
        <v>1865</v>
      </c>
      <c r="D931" t="str">
        <f t="shared" si="33"/>
        <v/>
      </c>
      <c r="E931" t="s">
        <v>1866</v>
      </c>
      <c r="F931" t="str">
        <f t="shared" si="32"/>
        <v>7710031</v>
      </c>
    </row>
    <row r="932" spans="1:6" hidden="1" x14ac:dyDescent="0.25">
      <c r="A932">
        <v>16943</v>
      </c>
      <c r="B932" t="s">
        <v>4</v>
      </c>
      <c r="C932" t="s">
        <v>1867</v>
      </c>
      <c r="D932" t="str">
        <f t="shared" si="33"/>
        <v/>
      </c>
      <c r="E932" t="s">
        <v>1868</v>
      </c>
      <c r="F932" t="str">
        <f t="shared" si="32"/>
        <v>7710032</v>
      </c>
    </row>
    <row r="933" spans="1:6" hidden="1" x14ac:dyDescent="0.25">
      <c r="A933">
        <v>16946</v>
      </c>
      <c r="B933" t="s">
        <v>4</v>
      </c>
      <c r="C933" t="s">
        <v>1869</v>
      </c>
      <c r="D933" t="str">
        <f t="shared" si="33"/>
        <v/>
      </c>
      <c r="E933" t="s">
        <v>1870</v>
      </c>
      <c r="F933" t="str">
        <f t="shared" si="32"/>
        <v>7710001</v>
      </c>
    </row>
    <row r="934" spans="1:6" hidden="1" x14ac:dyDescent="0.25">
      <c r="A934">
        <v>16950</v>
      </c>
      <c r="B934" t="s">
        <v>4</v>
      </c>
      <c r="C934" t="s">
        <v>1871</v>
      </c>
      <c r="D934" t="str">
        <f t="shared" si="33"/>
        <v/>
      </c>
      <c r="E934" t="s">
        <v>1872</v>
      </c>
      <c r="F934" t="str">
        <f t="shared" si="32"/>
        <v>8505101</v>
      </c>
    </row>
    <row r="935" spans="1:6" hidden="1" x14ac:dyDescent="0.25">
      <c r="A935">
        <v>16953</v>
      </c>
      <c r="B935" t="s">
        <v>4</v>
      </c>
      <c r="C935" t="s">
        <v>1873</v>
      </c>
      <c r="D935" t="str">
        <f t="shared" si="33"/>
        <v/>
      </c>
      <c r="E935" t="s">
        <v>1874</v>
      </c>
      <c r="F935" t="str">
        <f t="shared" si="32"/>
        <v>7707266</v>
      </c>
    </row>
    <row r="936" spans="1:6" hidden="1" x14ac:dyDescent="0.25">
      <c r="A936">
        <v>16956</v>
      </c>
      <c r="B936" t="s">
        <v>4</v>
      </c>
      <c r="C936" t="s">
        <v>1875</v>
      </c>
      <c r="D936" t="str">
        <f t="shared" si="33"/>
        <v/>
      </c>
      <c r="E936" t="s">
        <v>1876</v>
      </c>
      <c r="F936" t="str">
        <f t="shared" si="32"/>
        <v>7703603</v>
      </c>
    </row>
    <row r="937" spans="1:6" hidden="1" x14ac:dyDescent="0.25">
      <c r="A937">
        <v>16959</v>
      </c>
      <c r="B937" t="s">
        <v>4</v>
      </c>
      <c r="C937" t="s">
        <v>1877</v>
      </c>
      <c r="D937" t="str">
        <f t="shared" si="33"/>
        <v/>
      </c>
      <c r="E937" t="s">
        <v>1878</v>
      </c>
      <c r="F937" t="str">
        <f t="shared" si="32"/>
        <v>5101221</v>
      </c>
    </row>
    <row r="938" spans="1:6" x14ac:dyDescent="0.25">
      <c r="A938">
        <v>16964</v>
      </c>
      <c r="B938" t="s">
        <v>7</v>
      </c>
      <c r="C938" t="s">
        <v>1879</v>
      </c>
      <c r="D938" t="str">
        <f t="shared" si="33"/>
        <v/>
      </c>
      <c r="E938" t="s">
        <v>1880</v>
      </c>
      <c r="F938" t="str">
        <f t="shared" si="32"/>
        <v>5101391</v>
      </c>
    </row>
    <row r="939" spans="1:6" hidden="1" x14ac:dyDescent="0.25">
      <c r="A939">
        <v>16965</v>
      </c>
      <c r="B939" t="s">
        <v>10</v>
      </c>
      <c r="C939" t="s">
        <v>1881</v>
      </c>
      <c r="D939" t="str">
        <f t="shared" si="33"/>
        <v/>
      </c>
      <c r="E939" t="s">
        <v>1882</v>
      </c>
      <c r="F939" t="str">
        <f t="shared" si="32"/>
        <v>5101391</v>
      </c>
    </row>
    <row r="940" spans="1:6" hidden="1" x14ac:dyDescent="0.25">
      <c r="A940">
        <v>16969</v>
      </c>
      <c r="B940" t="s">
        <v>10</v>
      </c>
      <c r="C940" t="s">
        <v>1883</v>
      </c>
      <c r="D940" t="str">
        <f t="shared" si="33"/>
        <v/>
      </c>
      <c r="E940" t="s">
        <v>1884</v>
      </c>
      <c r="F940" t="str">
        <f t="shared" si="32"/>
        <v>5101391</v>
      </c>
    </row>
    <row r="941" spans="1:6" hidden="1" x14ac:dyDescent="0.25">
      <c r="A941">
        <v>16970</v>
      </c>
      <c r="B941" t="s">
        <v>10</v>
      </c>
      <c r="C941" t="s">
        <v>1885</v>
      </c>
      <c r="D941" t="str">
        <f t="shared" si="33"/>
        <v/>
      </c>
      <c r="E941" t="s">
        <v>1886</v>
      </c>
      <c r="F941" t="str">
        <f t="shared" si="32"/>
        <v>5101391</v>
      </c>
    </row>
    <row r="942" spans="1:6" x14ac:dyDescent="0.25">
      <c r="A942">
        <v>16971</v>
      </c>
      <c r="B942" t="s">
        <v>7</v>
      </c>
      <c r="C942" t="s">
        <v>1887</v>
      </c>
      <c r="D942" t="str">
        <f t="shared" ref="D942:D961" si="34">IF(RIGHT(LEFT(C942,9),2)="##","",RIGHT(LEFT(C942,10),2))</f>
        <v/>
      </c>
      <c r="E942" t="s">
        <v>1888</v>
      </c>
      <c r="F942" t="str">
        <f t="shared" si="32"/>
        <v>5101445</v>
      </c>
    </row>
    <row r="943" spans="1:6" hidden="1" x14ac:dyDescent="0.25">
      <c r="A943">
        <v>16972</v>
      </c>
      <c r="B943" t="s">
        <v>10</v>
      </c>
      <c r="C943" t="s">
        <v>1889</v>
      </c>
      <c r="D943" t="str">
        <f t="shared" si="34"/>
        <v/>
      </c>
      <c r="E943" t="s">
        <v>1890</v>
      </c>
      <c r="F943" t="str">
        <f t="shared" si="32"/>
        <v>5101445</v>
      </c>
    </row>
    <row r="944" spans="1:6" hidden="1" x14ac:dyDescent="0.25">
      <c r="A944">
        <v>16975</v>
      </c>
      <c r="B944" t="s">
        <v>10</v>
      </c>
      <c r="C944" t="s">
        <v>1891</v>
      </c>
      <c r="D944" t="str">
        <f t="shared" si="34"/>
        <v/>
      </c>
      <c r="E944" t="s">
        <v>1892</v>
      </c>
      <c r="F944" t="str">
        <f t="shared" si="32"/>
        <v>5101445</v>
      </c>
    </row>
    <row r="945" spans="1:6" hidden="1" x14ac:dyDescent="0.25">
      <c r="A945">
        <v>16976</v>
      </c>
      <c r="B945" t="s">
        <v>10</v>
      </c>
      <c r="C945" t="s">
        <v>1893</v>
      </c>
      <c r="D945" t="str">
        <f t="shared" si="34"/>
        <v/>
      </c>
      <c r="E945" t="s">
        <v>1894</v>
      </c>
      <c r="F945" t="str">
        <f t="shared" si="32"/>
        <v>5101445</v>
      </c>
    </row>
    <row r="946" spans="1:6" hidden="1" x14ac:dyDescent="0.25">
      <c r="A946">
        <v>16977</v>
      </c>
      <c r="B946" t="s">
        <v>10</v>
      </c>
      <c r="C946" t="s">
        <v>1895</v>
      </c>
      <c r="D946" t="str">
        <f t="shared" si="34"/>
        <v/>
      </c>
      <c r="E946" t="s">
        <v>1896</v>
      </c>
      <c r="F946" t="str">
        <f t="shared" si="32"/>
        <v>5101445</v>
      </c>
    </row>
    <row r="947" spans="1:6" x14ac:dyDescent="0.25">
      <c r="A947">
        <v>16978</v>
      </c>
      <c r="B947" t="s">
        <v>7</v>
      </c>
      <c r="C947" t="s">
        <v>1897</v>
      </c>
      <c r="D947" t="str">
        <f t="shared" si="34"/>
        <v/>
      </c>
      <c r="E947" t="s">
        <v>1898</v>
      </c>
      <c r="F947" t="str">
        <f t="shared" si="32"/>
        <v>5101210</v>
      </c>
    </row>
    <row r="948" spans="1:6" hidden="1" x14ac:dyDescent="0.25">
      <c r="A948">
        <v>16979</v>
      </c>
      <c r="B948" t="s">
        <v>10</v>
      </c>
      <c r="C948" t="s">
        <v>1899</v>
      </c>
      <c r="D948" t="str">
        <f t="shared" si="34"/>
        <v/>
      </c>
      <c r="E948" t="s">
        <v>1900</v>
      </c>
      <c r="F948" t="str">
        <f t="shared" si="32"/>
        <v>5101210</v>
      </c>
    </row>
    <row r="949" spans="1:6" hidden="1" x14ac:dyDescent="0.25">
      <c r="A949">
        <v>16982</v>
      </c>
      <c r="B949" t="s">
        <v>10</v>
      </c>
      <c r="C949" t="s">
        <v>1901</v>
      </c>
      <c r="D949" t="str">
        <f t="shared" si="34"/>
        <v/>
      </c>
      <c r="E949" t="s">
        <v>1902</v>
      </c>
      <c r="F949" t="str">
        <f t="shared" si="32"/>
        <v>5101210</v>
      </c>
    </row>
    <row r="950" spans="1:6" x14ac:dyDescent="0.25">
      <c r="A950">
        <v>16983</v>
      </c>
      <c r="B950" t="s">
        <v>7</v>
      </c>
      <c r="C950" t="s">
        <v>1903</v>
      </c>
      <c r="D950" t="str">
        <f t="shared" si="34"/>
        <v/>
      </c>
      <c r="E950" t="s">
        <v>1904</v>
      </c>
      <c r="F950" t="str">
        <f t="shared" si="32"/>
        <v>5101342</v>
      </c>
    </row>
    <row r="951" spans="1:6" hidden="1" x14ac:dyDescent="0.25">
      <c r="A951">
        <v>16984</v>
      </c>
      <c r="B951" t="s">
        <v>10</v>
      </c>
      <c r="C951" t="s">
        <v>1905</v>
      </c>
      <c r="D951" t="str">
        <f t="shared" si="34"/>
        <v/>
      </c>
      <c r="E951" t="s">
        <v>1906</v>
      </c>
      <c r="F951" t="str">
        <f t="shared" si="32"/>
        <v>5101342</v>
      </c>
    </row>
    <row r="952" spans="1:6" hidden="1" x14ac:dyDescent="0.25">
      <c r="A952">
        <v>16987</v>
      </c>
      <c r="B952" t="s">
        <v>10</v>
      </c>
      <c r="C952" t="s">
        <v>1907</v>
      </c>
      <c r="D952" t="str">
        <f t="shared" si="34"/>
        <v/>
      </c>
      <c r="E952" t="s">
        <v>1908</v>
      </c>
      <c r="F952" t="str">
        <f t="shared" si="32"/>
        <v>5101342</v>
      </c>
    </row>
    <row r="953" spans="1:6" hidden="1" x14ac:dyDescent="0.25">
      <c r="A953">
        <v>16988</v>
      </c>
      <c r="B953" t="s">
        <v>10</v>
      </c>
      <c r="C953" t="s">
        <v>1909</v>
      </c>
      <c r="D953" t="str">
        <f t="shared" si="34"/>
        <v/>
      </c>
      <c r="E953" t="s">
        <v>1910</v>
      </c>
      <c r="F953" t="str">
        <f t="shared" si="32"/>
        <v>5101342</v>
      </c>
    </row>
    <row r="954" spans="1:6" hidden="1" x14ac:dyDescent="0.25">
      <c r="A954">
        <v>16989</v>
      </c>
      <c r="B954" t="s">
        <v>10</v>
      </c>
      <c r="C954" t="s">
        <v>1911</v>
      </c>
      <c r="D954" t="str">
        <f t="shared" si="34"/>
        <v/>
      </c>
      <c r="E954" t="s">
        <v>1912</v>
      </c>
      <c r="F954" t="str">
        <f t="shared" si="32"/>
        <v>5101342</v>
      </c>
    </row>
    <row r="955" spans="1:6" hidden="1" x14ac:dyDescent="0.25">
      <c r="A955">
        <v>16990</v>
      </c>
      <c r="B955" t="s">
        <v>10</v>
      </c>
      <c r="C955" t="s">
        <v>1913</v>
      </c>
      <c r="D955" t="str">
        <f t="shared" si="34"/>
        <v/>
      </c>
      <c r="E955" t="s">
        <v>1914</v>
      </c>
      <c r="F955" t="str">
        <f t="shared" si="32"/>
        <v>5101342</v>
      </c>
    </row>
    <row r="956" spans="1:6" hidden="1" x14ac:dyDescent="0.25">
      <c r="A956">
        <v>16991</v>
      </c>
      <c r="B956" t="s">
        <v>4</v>
      </c>
      <c r="C956" t="s">
        <v>1915</v>
      </c>
      <c r="D956" t="str">
        <f t="shared" si="34"/>
        <v/>
      </c>
      <c r="E956" t="s">
        <v>1916</v>
      </c>
      <c r="F956" t="str">
        <f t="shared" si="32"/>
        <v>5101443</v>
      </c>
    </row>
    <row r="957" spans="1:6" x14ac:dyDescent="0.25">
      <c r="A957">
        <v>16998</v>
      </c>
      <c r="B957" t="s">
        <v>7</v>
      </c>
      <c r="C957" t="s">
        <v>1917</v>
      </c>
      <c r="D957" t="str">
        <f t="shared" si="34"/>
        <v/>
      </c>
      <c r="E957" t="s">
        <v>1918</v>
      </c>
      <c r="F957" t="str">
        <f t="shared" si="32"/>
        <v>5101220</v>
      </c>
    </row>
    <row r="958" spans="1:6" hidden="1" x14ac:dyDescent="0.25">
      <c r="A958">
        <v>16999</v>
      </c>
      <c r="B958" t="s">
        <v>10</v>
      </c>
      <c r="C958" t="s">
        <v>1919</v>
      </c>
      <c r="D958" t="str">
        <f t="shared" si="34"/>
        <v/>
      </c>
      <c r="E958" t="s">
        <v>1920</v>
      </c>
      <c r="F958" t="str">
        <f t="shared" si="32"/>
        <v>5101220</v>
      </c>
    </row>
    <row r="959" spans="1:6" hidden="1" x14ac:dyDescent="0.25">
      <c r="A959">
        <v>17004</v>
      </c>
      <c r="B959" t="s">
        <v>10</v>
      </c>
      <c r="C959" t="s">
        <v>1921</v>
      </c>
      <c r="D959" t="str">
        <f t="shared" si="34"/>
        <v/>
      </c>
      <c r="E959" t="s">
        <v>1922</v>
      </c>
      <c r="F959" t="str">
        <f t="shared" si="32"/>
        <v>5101220</v>
      </c>
    </row>
    <row r="960" spans="1:6" hidden="1" x14ac:dyDescent="0.25">
      <c r="A960">
        <v>17005</v>
      </c>
      <c r="B960" t="s">
        <v>10</v>
      </c>
      <c r="C960" t="s">
        <v>1923</v>
      </c>
      <c r="D960" t="str">
        <f t="shared" si="34"/>
        <v/>
      </c>
      <c r="E960" t="s">
        <v>1924</v>
      </c>
      <c r="F960" t="str">
        <f t="shared" si="32"/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 t="shared" si="34"/>
        <v/>
      </c>
      <c r="E961" t="s">
        <v>1926</v>
      </c>
      <c r="F961" t="str">
        <f t="shared" si="32"/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6906</v>
      </c>
      <c r="E962" t="s">
        <v>1928</v>
      </c>
      <c r="F962" t="str">
        <f t="shared" ref="F962:F968" si="35"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 t="shared" ref="D963:D994" si="36">IF(RIGHT(LEFT(C963,9),2)="##","",RIGHT(LEFT(C963,10),2))</f>
        <v>06</v>
      </c>
      <c r="E963" t="s">
        <v>1930</v>
      </c>
      <c r="F963" t="str">
        <f t="shared" si="35"/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 t="shared" si="36"/>
        <v>09</v>
      </c>
      <c r="E964" t="s">
        <v>1932</v>
      </c>
      <c r="F964" t="str">
        <f t="shared" si="35"/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 t="shared" si="36"/>
        <v>13</v>
      </c>
      <c r="E965" t="s">
        <v>1934</v>
      </c>
      <c r="F965" t="str">
        <f t="shared" si="35"/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 t="shared" si="36"/>
        <v/>
      </c>
      <c r="E966" t="s">
        <v>1936</v>
      </c>
      <c r="F966" t="str">
        <f t="shared" si="35"/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 t="shared" si="36"/>
        <v/>
      </c>
      <c r="E967" t="s">
        <v>1938</v>
      </c>
      <c r="F967" t="str">
        <f t="shared" si="35"/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 t="shared" si="36"/>
        <v/>
      </c>
      <c r="E968" t="s">
        <v>1940</v>
      </c>
      <c r="F968" t="str">
        <f t="shared" si="35"/>
        <v>8703205</v>
      </c>
    </row>
    <row r="969" spans="1:9" x14ac:dyDescent="0.25">
      <c r="A969">
        <v>17047</v>
      </c>
      <c r="B969" t="s">
        <v>7</v>
      </c>
      <c r="C969" t="s">
        <v>1941</v>
      </c>
      <c r="D969" t="str">
        <f t="shared" si="36"/>
        <v/>
      </c>
      <c r="E969" t="s">
        <v>1942</v>
      </c>
      <c r="F969" t="s">
        <v>6915</v>
      </c>
      <c r="H969">
        <v>4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 t="shared" si="36"/>
        <v/>
      </c>
      <c r="E970" t="s">
        <v>1944</v>
      </c>
      <c r="F970" t="str">
        <f t="shared" ref="F970:F1005" si="37"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 t="shared" si="36"/>
        <v/>
      </c>
      <c r="E971" t="s">
        <v>1946</v>
      </c>
      <c r="F971" t="str">
        <f t="shared" si="37"/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 t="shared" si="36"/>
        <v/>
      </c>
      <c r="E972" t="s">
        <v>1948</v>
      </c>
      <c r="F972" t="str">
        <f t="shared" si="37"/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 t="shared" si="36"/>
        <v/>
      </c>
      <c r="E973" t="s">
        <v>1950</v>
      </c>
      <c r="F973" t="str">
        <f t="shared" si="37"/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 t="shared" si="36"/>
        <v/>
      </c>
      <c r="E974" t="s">
        <v>1952</v>
      </c>
      <c r="F974" t="str">
        <f t="shared" si="37"/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 t="shared" si="36"/>
        <v/>
      </c>
      <c r="E975" t="s">
        <v>1954</v>
      </c>
      <c r="F975" t="str">
        <f t="shared" si="37"/>
        <v>8400119</v>
      </c>
    </row>
    <row r="976" spans="1:9" x14ac:dyDescent="0.25">
      <c r="A976">
        <v>17076</v>
      </c>
      <c r="B976" t="s">
        <v>7</v>
      </c>
      <c r="C976" t="s">
        <v>1955</v>
      </c>
      <c r="D976" t="str">
        <f t="shared" si="36"/>
        <v/>
      </c>
      <c r="E976" t="s">
        <v>1956</v>
      </c>
      <c r="F976" t="str">
        <f t="shared" si="37"/>
        <v>2301666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 t="shared" si="36"/>
        <v/>
      </c>
      <c r="E977" t="s">
        <v>1958</v>
      </c>
      <c r="F977" t="str">
        <f t="shared" si="37"/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 t="shared" si="36"/>
        <v/>
      </c>
      <c r="E978" t="s">
        <v>1960</v>
      </c>
      <c r="F978" t="str">
        <f t="shared" si="37"/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 t="shared" si="36"/>
        <v/>
      </c>
      <c r="E979" t="s">
        <v>1962</v>
      </c>
      <c r="F979" t="str">
        <f t="shared" si="37"/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 t="shared" si="36"/>
        <v/>
      </c>
      <c r="E980" t="s">
        <v>1964</v>
      </c>
      <c r="F980" t="str">
        <f t="shared" si="37"/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 t="shared" si="36"/>
        <v/>
      </c>
      <c r="E981" t="s">
        <v>1966</v>
      </c>
      <c r="F981" t="str">
        <f t="shared" si="37"/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 t="shared" si="36"/>
        <v/>
      </c>
      <c r="E982" t="s">
        <v>1968</v>
      </c>
      <c r="F982" t="str">
        <f t="shared" si="37"/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 t="shared" si="36"/>
        <v/>
      </c>
      <c r="E983" t="s">
        <v>1970</v>
      </c>
      <c r="F983" t="str">
        <f t="shared" si="37"/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 t="shared" si="36"/>
        <v/>
      </c>
      <c r="E984" t="s">
        <v>1972</v>
      </c>
      <c r="F984" t="str">
        <f t="shared" si="37"/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 t="shared" si="36"/>
        <v/>
      </c>
      <c r="E985" t="s">
        <v>1974</v>
      </c>
      <c r="F985" t="str">
        <f t="shared" si="37"/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 t="shared" si="36"/>
        <v/>
      </c>
      <c r="E986" t="s">
        <v>1976</v>
      </c>
      <c r="F986" t="str">
        <f t="shared" si="37"/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 t="shared" si="36"/>
        <v/>
      </c>
      <c r="E987" t="s">
        <v>1978</v>
      </c>
      <c r="F987" t="str">
        <f t="shared" si="37"/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 t="shared" si="36"/>
        <v/>
      </c>
      <c r="E988" t="s">
        <v>1979</v>
      </c>
      <c r="F988" t="str">
        <f t="shared" si="37"/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 t="shared" si="36"/>
        <v/>
      </c>
      <c r="E989" t="s">
        <v>1981</v>
      </c>
      <c r="F989" t="str">
        <f t="shared" si="37"/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 t="shared" si="36"/>
        <v/>
      </c>
      <c r="E990" t="s">
        <v>1983</v>
      </c>
      <c r="F990" t="str">
        <f t="shared" si="37"/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 t="shared" si="36"/>
        <v/>
      </c>
      <c r="E991" t="s">
        <v>1985</v>
      </c>
      <c r="F991" t="str">
        <f t="shared" si="37"/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 t="shared" si="36"/>
        <v/>
      </c>
      <c r="E992" t="s">
        <v>1987</v>
      </c>
      <c r="F992" t="str">
        <f t="shared" si="37"/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 t="shared" si="36"/>
        <v/>
      </c>
      <c r="E993" t="s">
        <v>1989</v>
      </c>
      <c r="F993" t="str">
        <f t="shared" si="37"/>
        <v>7709066</v>
      </c>
    </row>
    <row r="994" spans="1:9" x14ac:dyDescent="0.25">
      <c r="A994">
        <v>17116</v>
      </c>
      <c r="B994" t="s">
        <v>7</v>
      </c>
      <c r="C994" t="s">
        <v>1990</v>
      </c>
      <c r="D994" t="str">
        <f t="shared" si="36"/>
        <v/>
      </c>
      <c r="E994" t="s">
        <v>1991</v>
      </c>
      <c r="F994" t="str">
        <f t="shared" si="37"/>
        <v>8205010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 t="shared" ref="D995:D1026" si="38">IF(RIGHT(LEFT(C995,9),2)="##","",RIGHT(LEFT(C995,10),2))</f>
        <v/>
      </c>
      <c r="E995" t="s">
        <v>1993</v>
      </c>
      <c r="F995" t="str">
        <f t="shared" si="37"/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 t="shared" si="38"/>
        <v/>
      </c>
      <c r="E996" t="s">
        <v>1995</v>
      </c>
      <c r="F996" t="str">
        <f t="shared" si="37"/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 t="shared" si="38"/>
        <v/>
      </c>
      <c r="E997" t="s">
        <v>1997</v>
      </c>
      <c r="F997" t="str">
        <f t="shared" si="37"/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 t="shared" si="38"/>
        <v/>
      </c>
      <c r="E998" t="s">
        <v>1999</v>
      </c>
      <c r="F998" t="str">
        <f t="shared" si="37"/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 t="shared" si="38"/>
        <v/>
      </c>
      <c r="E999" t="s">
        <v>2001</v>
      </c>
      <c r="F999" t="str">
        <f t="shared" si="37"/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 t="shared" si="38"/>
        <v/>
      </c>
      <c r="E1000" t="s">
        <v>2003</v>
      </c>
      <c r="F1000" t="str">
        <f t="shared" si="37"/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 t="shared" si="38"/>
        <v/>
      </c>
      <c r="E1001" t="s">
        <v>2005</v>
      </c>
      <c r="F1001" t="str">
        <f t="shared" si="37"/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 t="shared" si="38"/>
        <v/>
      </c>
      <c r="E1002" t="s">
        <v>2007</v>
      </c>
      <c r="F1002" t="str">
        <f t="shared" si="37"/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 t="shared" si="38"/>
        <v/>
      </c>
      <c r="E1003" t="s">
        <v>2009</v>
      </c>
      <c r="F1003" t="str">
        <f t="shared" si="37"/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 t="shared" si="38"/>
        <v/>
      </c>
      <c r="E1004" t="s">
        <v>2011</v>
      </c>
      <c r="F1004" t="str">
        <f t="shared" si="37"/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 t="shared" si="38"/>
        <v/>
      </c>
      <c r="E1005" t="s">
        <v>2013</v>
      </c>
      <c r="F1005" t="str">
        <f t="shared" si="37"/>
        <v>7701101</v>
      </c>
    </row>
    <row r="1006" spans="1:9" x14ac:dyDescent="0.25">
      <c r="A1006">
        <v>17148</v>
      </c>
      <c r="B1006" t="s">
        <v>7</v>
      </c>
      <c r="C1006" t="s">
        <v>2014</v>
      </c>
      <c r="D1006" t="str">
        <f t="shared" si="38"/>
        <v/>
      </c>
      <c r="E1006" t="s">
        <v>2015</v>
      </c>
      <c r="F1006" t="s">
        <v>6978</v>
      </c>
      <c r="H1006">
        <v>7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 t="shared" si="38"/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 t="shared" si="38"/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 t="shared" si="38"/>
        <v/>
      </c>
      <c r="E1009" t="s">
        <v>2021</v>
      </c>
      <c r="F1009" t="str">
        <f>LEFT(C1009,7)</f>
        <v>5101901</v>
      </c>
    </row>
    <row r="1010" spans="1:9" x14ac:dyDescent="0.25">
      <c r="A1010">
        <v>17157</v>
      </c>
      <c r="B1010" t="s">
        <v>7</v>
      </c>
      <c r="C1010" t="s">
        <v>2022</v>
      </c>
      <c r="D1010" t="str">
        <f t="shared" si="38"/>
        <v/>
      </c>
      <c r="E1010" t="s">
        <v>2023</v>
      </c>
      <c r="F1010" t="s">
        <v>6974</v>
      </c>
      <c r="H1010">
        <v>10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 t="shared" si="38"/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 t="shared" si="38"/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 t="shared" si="38"/>
        <v/>
      </c>
      <c r="E1013" t="s">
        <v>2029</v>
      </c>
      <c r="F1013" t="str">
        <f>LEFT(C1013,7)</f>
        <v>5101998</v>
      </c>
    </row>
    <row r="1014" spans="1:9" x14ac:dyDescent="0.25">
      <c r="A1014">
        <v>17161</v>
      </c>
      <c r="B1014" t="s">
        <v>7</v>
      </c>
      <c r="C1014" t="s">
        <v>2030</v>
      </c>
      <c r="D1014" t="str">
        <f t="shared" si="38"/>
        <v/>
      </c>
      <c r="E1014" t="s">
        <v>2031</v>
      </c>
      <c r="F1014" t="s">
        <v>6985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 t="shared" si="38"/>
        <v/>
      </c>
      <c r="E1015" t="s">
        <v>2033</v>
      </c>
      <c r="F1015" t="str">
        <f t="shared" ref="F1015:F1046" si="39"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 t="shared" si="38"/>
        <v/>
      </c>
      <c r="E1016" t="s">
        <v>2035</v>
      </c>
      <c r="F1016" t="str">
        <f t="shared" si="39"/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 t="shared" si="38"/>
        <v/>
      </c>
      <c r="E1017" t="s">
        <v>2037</v>
      </c>
      <c r="F1017" t="str">
        <f t="shared" si="39"/>
        <v>5101853</v>
      </c>
    </row>
    <row r="1018" spans="1:9" x14ac:dyDescent="0.25">
      <c r="A1018">
        <v>17170</v>
      </c>
      <c r="B1018" t="s">
        <v>7</v>
      </c>
      <c r="C1018" t="s">
        <v>2038</v>
      </c>
      <c r="D1018" t="str">
        <f t="shared" si="38"/>
        <v/>
      </c>
      <c r="E1018" t="s">
        <v>2039</v>
      </c>
      <c r="F1018" t="str">
        <f t="shared" si="39"/>
        <v>1407093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 t="shared" si="38"/>
        <v/>
      </c>
      <c r="E1019" t="s">
        <v>2041</v>
      </c>
      <c r="F1019" t="str">
        <f t="shared" si="39"/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 t="shared" si="38"/>
        <v/>
      </c>
      <c r="E1020" t="s">
        <v>2043</v>
      </c>
      <c r="F1020" t="str">
        <f t="shared" si="39"/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 t="shared" si="38"/>
        <v/>
      </c>
      <c r="E1021" t="s">
        <v>2045</v>
      </c>
      <c r="F1021" t="str">
        <f t="shared" si="39"/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 t="shared" si="38"/>
        <v/>
      </c>
      <c r="E1022" t="s">
        <v>2047</v>
      </c>
      <c r="F1022" t="str">
        <f t="shared" si="39"/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 t="shared" si="38"/>
        <v/>
      </c>
      <c r="E1023" t="s">
        <v>2049</v>
      </c>
      <c r="F1023" t="str">
        <f t="shared" si="39"/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 t="shared" si="38"/>
        <v/>
      </c>
      <c r="E1024" t="s">
        <v>2051</v>
      </c>
      <c r="F1024" t="str">
        <f t="shared" si="39"/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 t="shared" si="38"/>
        <v/>
      </c>
      <c r="E1025" t="s">
        <v>2053</v>
      </c>
      <c r="F1025" t="str">
        <f t="shared" si="39"/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 t="shared" si="38"/>
        <v/>
      </c>
      <c r="E1026" t="s">
        <v>2055</v>
      </c>
      <c r="F1026" t="str">
        <f t="shared" si="39"/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 t="shared" ref="D1027:D1043" si="40">IF(RIGHT(LEFT(C1027,9),2)="##","",RIGHT(LEFT(C1027,10),2))</f>
        <v/>
      </c>
      <c r="E1027" t="s">
        <v>2057</v>
      </c>
      <c r="F1027" t="str">
        <f t="shared" si="39"/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 t="shared" si="40"/>
        <v/>
      </c>
      <c r="E1028" t="s">
        <v>2059</v>
      </c>
      <c r="F1028" t="str">
        <f t="shared" si="39"/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 t="shared" si="40"/>
        <v/>
      </c>
      <c r="E1029" t="s">
        <v>2061</v>
      </c>
      <c r="F1029" t="str">
        <f t="shared" si="39"/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 t="shared" si="40"/>
        <v/>
      </c>
      <c r="E1030" t="s">
        <v>2063</v>
      </c>
      <c r="F1030" t="str">
        <f t="shared" si="39"/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 t="shared" si="40"/>
        <v/>
      </c>
      <c r="E1031" t="s">
        <v>2065</v>
      </c>
      <c r="F1031" t="str">
        <f t="shared" si="39"/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 t="shared" si="40"/>
        <v/>
      </c>
      <c r="E1032" t="s">
        <v>2067</v>
      </c>
      <c r="F1032" t="str">
        <f t="shared" si="39"/>
        <v>8503505</v>
      </c>
    </row>
    <row r="1033" spans="1:9" x14ac:dyDescent="0.25">
      <c r="A1033">
        <v>17220</v>
      </c>
      <c r="B1033" t="s">
        <v>7</v>
      </c>
      <c r="C1033" t="s">
        <v>2068</v>
      </c>
      <c r="D1033" t="str">
        <f t="shared" si="40"/>
        <v/>
      </c>
      <c r="E1033" t="s">
        <v>2069</v>
      </c>
      <c r="F1033" t="str">
        <f t="shared" si="39"/>
        <v>2103069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 t="shared" si="40"/>
        <v/>
      </c>
      <c r="E1034" t="s">
        <v>2071</v>
      </c>
      <c r="F1034" t="str">
        <f t="shared" si="39"/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 t="shared" si="40"/>
        <v/>
      </c>
      <c r="E1035" t="s">
        <v>2073</v>
      </c>
      <c r="F1035" t="str">
        <f t="shared" si="39"/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 t="shared" si="40"/>
        <v/>
      </c>
      <c r="E1036" t="s">
        <v>2075</v>
      </c>
      <c r="F1036" t="str">
        <f t="shared" si="39"/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 t="shared" si="40"/>
        <v/>
      </c>
      <c r="E1037" t="s">
        <v>2077</v>
      </c>
      <c r="F1037" t="str">
        <f t="shared" si="39"/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 t="shared" si="40"/>
        <v/>
      </c>
      <c r="E1038" t="s">
        <v>2079</v>
      </c>
      <c r="F1038" t="str">
        <f t="shared" si="39"/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 t="shared" si="40"/>
        <v/>
      </c>
      <c r="E1039" t="s">
        <v>2081</v>
      </c>
      <c r="F1039" t="str">
        <f t="shared" si="39"/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 t="shared" si="40"/>
        <v/>
      </c>
      <c r="E1040" t="s">
        <v>2083</v>
      </c>
      <c r="F1040" t="str">
        <f t="shared" si="39"/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 t="shared" si="40"/>
        <v/>
      </c>
      <c r="E1041" t="s">
        <v>2085</v>
      </c>
      <c r="F1041" t="str">
        <f t="shared" si="39"/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 t="shared" si="40"/>
        <v/>
      </c>
      <c r="E1042" t="s">
        <v>2087</v>
      </c>
      <c r="F1042" t="str">
        <f t="shared" si="39"/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 t="shared" si="40"/>
        <v/>
      </c>
      <c r="E1043" t="s">
        <v>2089</v>
      </c>
      <c r="F1043" t="str">
        <f t="shared" si="39"/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6906</v>
      </c>
      <c r="E1044" t="s">
        <v>2091</v>
      </c>
      <c r="F1044" t="str">
        <f t="shared" si="39"/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 t="shared" ref="D1045:D1076" si="41">IF(RIGHT(LEFT(C1045,9),2)="##","",RIGHT(LEFT(C1045,10),2))</f>
        <v>04</v>
      </c>
      <c r="E1045" t="s">
        <v>2093</v>
      </c>
      <c r="F1045" t="str">
        <f t="shared" si="39"/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 t="shared" si="41"/>
        <v>06</v>
      </c>
      <c r="E1046" t="s">
        <v>2095</v>
      </c>
      <c r="F1046" t="str">
        <f t="shared" si="39"/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 t="shared" si="41"/>
        <v>09</v>
      </c>
      <c r="E1047" t="s">
        <v>2097</v>
      </c>
      <c r="F1047" t="str">
        <f t="shared" ref="F1047:F1064" si="42"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 t="shared" si="41"/>
        <v>13</v>
      </c>
      <c r="E1048" t="s">
        <v>2099</v>
      </c>
      <c r="F1048" t="str">
        <f t="shared" si="42"/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 t="shared" si="41"/>
        <v>18</v>
      </c>
      <c r="E1049" t="s">
        <v>2101</v>
      </c>
      <c r="F1049" t="str">
        <f t="shared" si="42"/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 t="shared" si="41"/>
        <v/>
      </c>
      <c r="E1050" t="s">
        <v>2103</v>
      </c>
      <c r="F1050" t="str">
        <f t="shared" si="42"/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 t="shared" si="41"/>
        <v/>
      </c>
      <c r="E1051" t="s">
        <v>2105</v>
      </c>
      <c r="F1051" t="str">
        <f t="shared" si="42"/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 t="shared" si="41"/>
        <v/>
      </c>
      <c r="E1052" t="s">
        <v>2107</v>
      </c>
      <c r="F1052" t="str">
        <f t="shared" si="42"/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 t="shared" si="41"/>
        <v/>
      </c>
      <c r="E1053" t="s">
        <v>2109</v>
      </c>
      <c r="F1053" t="str">
        <f t="shared" si="42"/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 t="shared" si="41"/>
        <v/>
      </c>
      <c r="E1054" t="s">
        <v>2111</v>
      </c>
      <c r="F1054" t="str">
        <f t="shared" si="42"/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 t="shared" si="41"/>
        <v/>
      </c>
      <c r="E1055" t="s">
        <v>2113</v>
      </c>
      <c r="F1055" t="str">
        <f t="shared" si="42"/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 t="shared" si="41"/>
        <v/>
      </c>
      <c r="E1056" t="s">
        <v>2115</v>
      </c>
      <c r="F1056" t="str">
        <f t="shared" si="42"/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 t="shared" si="41"/>
        <v/>
      </c>
      <c r="E1057" t="s">
        <v>2117</v>
      </c>
      <c r="F1057" t="str">
        <f t="shared" si="42"/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 t="shared" si="41"/>
        <v/>
      </c>
      <c r="E1058" t="s">
        <v>2119</v>
      </c>
      <c r="F1058" t="str">
        <f t="shared" si="42"/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 t="shared" si="41"/>
        <v/>
      </c>
      <c r="E1059" t="s">
        <v>2121</v>
      </c>
      <c r="F1059" t="str">
        <f t="shared" si="42"/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 t="shared" si="41"/>
        <v/>
      </c>
      <c r="E1060" t="s">
        <v>2123</v>
      </c>
      <c r="F1060" t="str">
        <f t="shared" si="42"/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 t="shared" si="41"/>
        <v/>
      </c>
      <c r="E1061" t="s">
        <v>2125</v>
      </c>
      <c r="F1061" t="str">
        <f t="shared" si="42"/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 t="shared" si="41"/>
        <v/>
      </c>
      <c r="E1062" t="s">
        <v>2127</v>
      </c>
      <c r="F1062" t="str">
        <f t="shared" si="42"/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 t="shared" si="41"/>
        <v/>
      </c>
      <c r="E1063" t="s">
        <v>2129</v>
      </c>
      <c r="F1063" t="str">
        <f t="shared" si="42"/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 t="shared" si="41"/>
        <v/>
      </c>
      <c r="E1064" t="s">
        <v>2131</v>
      </c>
      <c r="F1064" t="str">
        <f t="shared" si="42"/>
        <v>7707784</v>
      </c>
    </row>
    <row r="1065" spans="1:9" x14ac:dyDescent="0.25">
      <c r="A1065">
        <v>17338</v>
      </c>
      <c r="B1065" t="s">
        <v>7</v>
      </c>
      <c r="C1065" t="s">
        <v>2132</v>
      </c>
      <c r="D1065" t="str">
        <f t="shared" si="41"/>
        <v/>
      </c>
      <c r="E1065" t="s">
        <v>2133</v>
      </c>
      <c r="F1065" t="s">
        <v>6960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 t="shared" si="41"/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 t="shared" si="41"/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 t="shared" si="41"/>
        <v/>
      </c>
      <c r="E1068" t="s">
        <v>2139</v>
      </c>
      <c r="F1068" t="str">
        <f>LEFT(C1068,7)</f>
        <v>4120544</v>
      </c>
    </row>
    <row r="1069" spans="1:9" x14ac:dyDescent="0.25">
      <c r="A1069">
        <v>17342</v>
      </c>
      <c r="B1069" t="s">
        <v>7</v>
      </c>
      <c r="C1069" t="s">
        <v>2140</v>
      </c>
      <c r="D1069" t="str">
        <f t="shared" si="41"/>
        <v/>
      </c>
      <c r="E1069" t="s">
        <v>2141</v>
      </c>
      <c r="F1069" t="s">
        <v>6960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 t="shared" si="41"/>
        <v/>
      </c>
      <c r="E1070" t="s">
        <v>2143</v>
      </c>
      <c r="F1070" t="str">
        <f t="shared" ref="F1070:F1101" si="43"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 t="shared" si="41"/>
        <v/>
      </c>
      <c r="E1071" t="s">
        <v>2145</v>
      </c>
      <c r="F1071" t="str">
        <f t="shared" si="43"/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 t="shared" si="41"/>
        <v/>
      </c>
      <c r="E1072" t="s">
        <v>2147</v>
      </c>
      <c r="F1072" t="str">
        <f t="shared" si="43"/>
        <v>4120778</v>
      </c>
    </row>
    <row r="1073" spans="1:8" hidden="1" x14ac:dyDescent="0.25">
      <c r="A1073">
        <v>17346</v>
      </c>
      <c r="B1073" t="s">
        <v>4</v>
      </c>
      <c r="C1073" t="s">
        <v>2148</v>
      </c>
      <c r="D1073" t="str">
        <f t="shared" si="41"/>
        <v/>
      </c>
      <c r="E1073" t="s">
        <v>2149</v>
      </c>
      <c r="F1073" t="str">
        <f t="shared" si="43"/>
        <v>8705552</v>
      </c>
    </row>
    <row r="1074" spans="1:8" hidden="1" x14ac:dyDescent="0.25">
      <c r="A1074">
        <v>17365</v>
      </c>
      <c r="B1074" t="s">
        <v>4</v>
      </c>
      <c r="C1074" t="s">
        <v>2150</v>
      </c>
      <c r="D1074" t="str">
        <f t="shared" si="41"/>
        <v/>
      </c>
      <c r="E1074" t="s">
        <v>2151</v>
      </c>
      <c r="F1074" t="str">
        <f t="shared" si="43"/>
        <v>8707026</v>
      </c>
    </row>
    <row r="1075" spans="1:8" hidden="1" x14ac:dyDescent="0.25">
      <c r="A1075">
        <v>17373</v>
      </c>
      <c r="B1075" t="s">
        <v>4</v>
      </c>
      <c r="C1075" t="s">
        <v>2152</v>
      </c>
      <c r="D1075" t="str">
        <f t="shared" si="41"/>
        <v/>
      </c>
      <c r="E1075" t="s">
        <v>2153</v>
      </c>
      <c r="F1075" t="str">
        <f t="shared" si="43"/>
        <v>7700200</v>
      </c>
    </row>
    <row r="1076" spans="1:8" hidden="1" x14ac:dyDescent="0.25">
      <c r="A1076">
        <v>17376</v>
      </c>
      <c r="B1076" t="s">
        <v>4</v>
      </c>
      <c r="C1076" t="s">
        <v>2154</v>
      </c>
      <c r="D1076" t="str">
        <f t="shared" si="41"/>
        <v/>
      </c>
      <c r="E1076" t="s">
        <v>2155</v>
      </c>
      <c r="F1076" t="str">
        <f t="shared" si="43"/>
        <v>8703157</v>
      </c>
    </row>
    <row r="1077" spans="1:8" hidden="1" x14ac:dyDescent="0.25">
      <c r="A1077">
        <v>17384</v>
      </c>
      <c r="B1077" t="s">
        <v>4</v>
      </c>
      <c r="C1077" t="s">
        <v>2156</v>
      </c>
      <c r="D1077" t="str">
        <f t="shared" ref="D1077:D1108" si="44">IF(RIGHT(LEFT(C1077,9),2)="##","",RIGHT(LEFT(C1077,10),2))</f>
        <v/>
      </c>
      <c r="E1077" t="s">
        <v>2157</v>
      </c>
      <c r="F1077" t="str">
        <f t="shared" si="43"/>
        <v>8519022</v>
      </c>
    </row>
    <row r="1078" spans="1:8" x14ac:dyDescent="0.25">
      <c r="A1078">
        <v>17390</v>
      </c>
      <c r="B1078" t="s">
        <v>7</v>
      </c>
      <c r="C1078" t="s">
        <v>2158</v>
      </c>
      <c r="D1078" t="str">
        <f t="shared" si="44"/>
        <v/>
      </c>
      <c r="E1078" t="s">
        <v>2159</v>
      </c>
      <c r="F1078" t="str">
        <f t="shared" si="43"/>
        <v>8203265</v>
      </c>
      <c r="H1078">
        <v>8</v>
      </c>
    </row>
    <row r="1079" spans="1:8" hidden="1" x14ac:dyDescent="0.25">
      <c r="A1079">
        <v>17391</v>
      </c>
      <c r="B1079" t="s">
        <v>10</v>
      </c>
      <c r="C1079" t="s">
        <v>2160</v>
      </c>
      <c r="D1079" t="str">
        <f t="shared" si="44"/>
        <v/>
      </c>
      <c r="E1079" t="s">
        <v>2161</v>
      </c>
      <c r="F1079" t="str">
        <f t="shared" si="43"/>
        <v>8203265</v>
      </c>
    </row>
    <row r="1080" spans="1:8" hidden="1" x14ac:dyDescent="0.25">
      <c r="A1080">
        <v>17392</v>
      </c>
      <c r="B1080" t="s">
        <v>10</v>
      </c>
      <c r="C1080" t="s">
        <v>2162</v>
      </c>
      <c r="D1080" t="str">
        <f t="shared" si="44"/>
        <v/>
      </c>
      <c r="E1080" t="s">
        <v>2163</v>
      </c>
      <c r="F1080" t="str">
        <f t="shared" si="43"/>
        <v>8203265</v>
      </c>
    </row>
    <row r="1081" spans="1:8" hidden="1" x14ac:dyDescent="0.25">
      <c r="A1081">
        <v>17393</v>
      </c>
      <c r="B1081" t="s">
        <v>10</v>
      </c>
      <c r="C1081" t="s">
        <v>2164</v>
      </c>
      <c r="D1081" t="str">
        <f t="shared" si="44"/>
        <v/>
      </c>
      <c r="E1081" t="s">
        <v>2165</v>
      </c>
      <c r="F1081" t="str">
        <f t="shared" si="43"/>
        <v>8203265</v>
      </c>
    </row>
    <row r="1082" spans="1:8" hidden="1" x14ac:dyDescent="0.25">
      <c r="A1082">
        <v>17394</v>
      </c>
      <c r="B1082" t="s">
        <v>10</v>
      </c>
      <c r="C1082" t="s">
        <v>2166</v>
      </c>
      <c r="D1082" t="str">
        <f t="shared" si="44"/>
        <v/>
      </c>
      <c r="E1082" t="s">
        <v>2167</v>
      </c>
      <c r="F1082" t="str">
        <f t="shared" si="43"/>
        <v>8203265</v>
      </c>
    </row>
    <row r="1083" spans="1:8" hidden="1" x14ac:dyDescent="0.25">
      <c r="A1083">
        <v>17395</v>
      </c>
      <c r="B1083" t="s">
        <v>10</v>
      </c>
      <c r="C1083" t="s">
        <v>2168</v>
      </c>
      <c r="D1083" t="str">
        <f t="shared" si="44"/>
        <v/>
      </c>
      <c r="E1083" t="s">
        <v>2169</v>
      </c>
      <c r="F1083" t="str">
        <f t="shared" si="43"/>
        <v>8203265</v>
      </c>
    </row>
    <row r="1084" spans="1:8" hidden="1" x14ac:dyDescent="0.25">
      <c r="A1084">
        <v>17396</v>
      </c>
      <c r="B1084" t="s">
        <v>10</v>
      </c>
      <c r="C1084" t="s">
        <v>2170</v>
      </c>
      <c r="D1084" t="str">
        <f t="shared" si="44"/>
        <v/>
      </c>
      <c r="E1084" t="s">
        <v>2171</v>
      </c>
      <c r="F1084" t="str">
        <f t="shared" si="43"/>
        <v>8203265</v>
      </c>
    </row>
    <row r="1085" spans="1:8" hidden="1" x14ac:dyDescent="0.25">
      <c r="A1085">
        <v>17397</v>
      </c>
      <c r="B1085" t="s">
        <v>10</v>
      </c>
      <c r="C1085" t="s">
        <v>2172</v>
      </c>
      <c r="D1085" t="str">
        <f t="shared" si="44"/>
        <v/>
      </c>
      <c r="E1085" t="s">
        <v>2173</v>
      </c>
      <c r="F1085" t="str">
        <f t="shared" si="43"/>
        <v>8203265</v>
      </c>
    </row>
    <row r="1086" spans="1:8" hidden="1" x14ac:dyDescent="0.25">
      <c r="A1086">
        <v>17401</v>
      </c>
      <c r="B1086" t="s">
        <v>4</v>
      </c>
      <c r="C1086" t="s">
        <v>2174</v>
      </c>
      <c r="D1086" t="str">
        <f t="shared" si="44"/>
        <v/>
      </c>
      <c r="E1086" t="s">
        <v>2175</v>
      </c>
      <c r="F1086" t="str">
        <f t="shared" si="43"/>
        <v>7701105</v>
      </c>
    </row>
    <row r="1087" spans="1:8" hidden="1" x14ac:dyDescent="0.25">
      <c r="A1087">
        <v>17405</v>
      </c>
      <c r="B1087" t="s">
        <v>4</v>
      </c>
      <c r="C1087" t="s">
        <v>2176</v>
      </c>
      <c r="D1087" t="str">
        <f t="shared" si="44"/>
        <v/>
      </c>
      <c r="E1087" t="s">
        <v>2177</v>
      </c>
      <c r="F1087" t="str">
        <f t="shared" si="43"/>
        <v>8520925</v>
      </c>
    </row>
    <row r="1088" spans="1:8" hidden="1" x14ac:dyDescent="0.25">
      <c r="A1088">
        <v>17411</v>
      </c>
      <c r="B1088" t="s">
        <v>4</v>
      </c>
      <c r="C1088" t="s">
        <v>2178</v>
      </c>
      <c r="D1088" t="str">
        <f t="shared" si="44"/>
        <v/>
      </c>
      <c r="E1088" t="s">
        <v>2179</v>
      </c>
      <c r="F1088" t="str">
        <f t="shared" si="43"/>
        <v>8706002</v>
      </c>
    </row>
    <row r="1089" spans="1:6" hidden="1" x14ac:dyDescent="0.25">
      <c r="A1089">
        <v>17424</v>
      </c>
      <c r="B1089" t="s">
        <v>4</v>
      </c>
      <c r="C1089" t="s">
        <v>2180</v>
      </c>
      <c r="D1089" t="str">
        <f t="shared" si="44"/>
        <v/>
      </c>
      <c r="E1089" t="s">
        <v>2181</v>
      </c>
      <c r="F1089" t="str">
        <f t="shared" si="43"/>
        <v>8520051</v>
      </c>
    </row>
    <row r="1090" spans="1:6" hidden="1" x14ac:dyDescent="0.25">
      <c r="A1090">
        <v>17432</v>
      </c>
      <c r="B1090" t="s">
        <v>4</v>
      </c>
      <c r="C1090" t="s">
        <v>2182</v>
      </c>
      <c r="D1090" t="str">
        <f t="shared" si="44"/>
        <v/>
      </c>
      <c r="E1090" t="s">
        <v>2183</v>
      </c>
      <c r="F1090" t="str">
        <f t="shared" si="43"/>
        <v>8520067</v>
      </c>
    </row>
    <row r="1091" spans="1:6" hidden="1" x14ac:dyDescent="0.25">
      <c r="A1091">
        <v>17442</v>
      </c>
      <c r="B1091" t="s">
        <v>4</v>
      </c>
      <c r="C1091" t="s">
        <v>2184</v>
      </c>
      <c r="D1091" t="str">
        <f t="shared" si="44"/>
        <v/>
      </c>
      <c r="E1091" t="s">
        <v>2185</v>
      </c>
      <c r="F1091" t="str">
        <f t="shared" si="43"/>
        <v>8520045</v>
      </c>
    </row>
    <row r="1092" spans="1:6" hidden="1" x14ac:dyDescent="0.25">
      <c r="A1092">
        <v>17450</v>
      </c>
      <c r="B1092" t="s">
        <v>4</v>
      </c>
      <c r="C1092" t="s">
        <v>2186</v>
      </c>
      <c r="D1092" t="str">
        <f t="shared" si="44"/>
        <v/>
      </c>
      <c r="E1092" t="s">
        <v>2187</v>
      </c>
      <c r="F1092" t="str">
        <f t="shared" si="43"/>
        <v>8520932</v>
      </c>
    </row>
    <row r="1093" spans="1:6" hidden="1" x14ac:dyDescent="0.25">
      <c r="A1093">
        <v>17456</v>
      </c>
      <c r="B1093" t="s">
        <v>4</v>
      </c>
      <c r="C1093" t="s">
        <v>2188</v>
      </c>
      <c r="D1093" t="str">
        <f t="shared" si="44"/>
        <v/>
      </c>
      <c r="E1093" t="s">
        <v>2189</v>
      </c>
      <c r="F1093" t="str">
        <f t="shared" si="43"/>
        <v>8520030</v>
      </c>
    </row>
    <row r="1094" spans="1:6" hidden="1" x14ac:dyDescent="0.25">
      <c r="A1094">
        <v>17465</v>
      </c>
      <c r="B1094" t="s">
        <v>4</v>
      </c>
      <c r="C1094" t="s">
        <v>2190</v>
      </c>
      <c r="D1094" t="str">
        <f t="shared" si="44"/>
        <v/>
      </c>
      <c r="E1094" t="s">
        <v>2191</v>
      </c>
      <c r="F1094" t="str">
        <f t="shared" si="43"/>
        <v>8505688</v>
      </c>
    </row>
    <row r="1095" spans="1:6" hidden="1" x14ac:dyDescent="0.25">
      <c r="A1095">
        <v>17468</v>
      </c>
      <c r="B1095" t="s">
        <v>4</v>
      </c>
      <c r="C1095" t="s">
        <v>2192</v>
      </c>
      <c r="D1095" t="str">
        <f t="shared" si="44"/>
        <v/>
      </c>
      <c r="E1095" t="s">
        <v>2193</v>
      </c>
      <c r="F1095" t="str">
        <f t="shared" si="43"/>
        <v>8505689</v>
      </c>
    </row>
    <row r="1096" spans="1:6" x14ac:dyDescent="0.25">
      <c r="A1096">
        <v>17471</v>
      </c>
      <c r="B1096" t="s">
        <v>7</v>
      </c>
      <c r="C1096" t="s">
        <v>2194</v>
      </c>
      <c r="D1096" t="str">
        <f t="shared" si="44"/>
        <v/>
      </c>
      <c r="E1096" t="s">
        <v>2195</v>
      </c>
      <c r="F1096" t="str">
        <f t="shared" si="43"/>
        <v>8305000</v>
      </c>
    </row>
    <row r="1097" spans="1:6" hidden="1" x14ac:dyDescent="0.25">
      <c r="A1097">
        <v>17472</v>
      </c>
      <c r="B1097" t="s">
        <v>10</v>
      </c>
      <c r="C1097" t="s">
        <v>2196</v>
      </c>
      <c r="D1097" t="str">
        <f t="shared" si="44"/>
        <v/>
      </c>
      <c r="E1097" t="s">
        <v>2197</v>
      </c>
      <c r="F1097" t="str">
        <f t="shared" si="43"/>
        <v>8305000</v>
      </c>
    </row>
    <row r="1098" spans="1:6" hidden="1" x14ac:dyDescent="0.25">
      <c r="A1098">
        <v>17473</v>
      </c>
      <c r="B1098" t="s">
        <v>10</v>
      </c>
      <c r="C1098" t="s">
        <v>2198</v>
      </c>
      <c r="D1098" t="str">
        <f t="shared" si="44"/>
        <v/>
      </c>
      <c r="E1098" t="s">
        <v>2199</v>
      </c>
      <c r="F1098" t="str">
        <f t="shared" si="43"/>
        <v>8305000</v>
      </c>
    </row>
    <row r="1099" spans="1:6" hidden="1" x14ac:dyDescent="0.25">
      <c r="A1099">
        <v>17474</v>
      </c>
      <c r="B1099" t="s">
        <v>10</v>
      </c>
      <c r="C1099" t="s">
        <v>2200</v>
      </c>
      <c r="D1099" t="str">
        <f t="shared" si="44"/>
        <v/>
      </c>
      <c r="E1099" t="s">
        <v>2201</v>
      </c>
      <c r="F1099" t="str">
        <f t="shared" si="43"/>
        <v>8305000</v>
      </c>
    </row>
    <row r="1100" spans="1:6" hidden="1" x14ac:dyDescent="0.25">
      <c r="A1100">
        <v>17475</v>
      </c>
      <c r="B1100" t="s">
        <v>10</v>
      </c>
      <c r="C1100" t="s">
        <v>2202</v>
      </c>
      <c r="D1100" t="str">
        <f t="shared" si="44"/>
        <v/>
      </c>
      <c r="E1100" t="s">
        <v>2203</v>
      </c>
      <c r="F1100" t="str">
        <f t="shared" si="43"/>
        <v>8305000</v>
      </c>
    </row>
    <row r="1101" spans="1:6" hidden="1" x14ac:dyDescent="0.25">
      <c r="A1101">
        <v>17476</v>
      </c>
      <c r="B1101" t="s">
        <v>10</v>
      </c>
      <c r="C1101" t="s">
        <v>2204</v>
      </c>
      <c r="D1101" t="str">
        <f t="shared" si="44"/>
        <v/>
      </c>
      <c r="E1101" t="s">
        <v>2205</v>
      </c>
      <c r="F1101" t="str">
        <f t="shared" si="43"/>
        <v>8305000</v>
      </c>
    </row>
    <row r="1102" spans="1:6" hidden="1" x14ac:dyDescent="0.25">
      <c r="A1102">
        <v>17477</v>
      </c>
      <c r="B1102" t="s">
        <v>10</v>
      </c>
      <c r="C1102" t="s">
        <v>2206</v>
      </c>
      <c r="D1102" t="str">
        <f t="shared" si="44"/>
        <v/>
      </c>
      <c r="E1102" t="s">
        <v>2207</v>
      </c>
      <c r="F1102" t="str">
        <f t="shared" ref="F1102:F1134" si="45">LEFT(C1102,7)</f>
        <v>8305000</v>
      </c>
    </row>
    <row r="1103" spans="1:6" hidden="1" x14ac:dyDescent="0.25">
      <c r="A1103">
        <v>17478</v>
      </c>
      <c r="B1103" t="s">
        <v>10</v>
      </c>
      <c r="C1103" t="s">
        <v>2208</v>
      </c>
      <c r="D1103" t="str">
        <f t="shared" si="44"/>
        <v/>
      </c>
      <c r="E1103" t="s">
        <v>2209</v>
      </c>
      <c r="F1103" t="str">
        <f t="shared" si="45"/>
        <v>8305000</v>
      </c>
    </row>
    <row r="1104" spans="1:6" hidden="1" x14ac:dyDescent="0.25">
      <c r="A1104">
        <v>17479</v>
      </c>
      <c r="B1104" t="s">
        <v>10</v>
      </c>
      <c r="C1104" t="s">
        <v>2210</v>
      </c>
      <c r="D1104" t="str">
        <f t="shared" si="44"/>
        <v/>
      </c>
      <c r="E1104" t="s">
        <v>2211</v>
      </c>
      <c r="F1104" t="str">
        <f t="shared" si="45"/>
        <v>8305000</v>
      </c>
    </row>
    <row r="1105" spans="1:6" hidden="1" x14ac:dyDescent="0.25">
      <c r="A1105">
        <v>17480</v>
      </c>
      <c r="B1105" t="s">
        <v>10</v>
      </c>
      <c r="C1105" t="s">
        <v>2212</v>
      </c>
      <c r="D1105" t="str">
        <f t="shared" si="44"/>
        <v/>
      </c>
      <c r="E1105" t="s">
        <v>2213</v>
      </c>
      <c r="F1105" t="str">
        <f t="shared" si="45"/>
        <v>8305000</v>
      </c>
    </row>
    <row r="1106" spans="1:6" hidden="1" x14ac:dyDescent="0.25">
      <c r="A1106">
        <v>17481</v>
      </c>
      <c r="B1106" t="s">
        <v>10</v>
      </c>
      <c r="C1106" t="s">
        <v>2214</v>
      </c>
      <c r="D1106" t="str">
        <f t="shared" si="44"/>
        <v/>
      </c>
      <c r="E1106" t="s">
        <v>2215</v>
      </c>
      <c r="F1106" t="str">
        <f t="shared" si="45"/>
        <v>8305000</v>
      </c>
    </row>
    <row r="1107" spans="1:6" hidden="1" x14ac:dyDescent="0.25">
      <c r="A1107">
        <v>17482</v>
      </c>
      <c r="B1107" t="s">
        <v>10</v>
      </c>
      <c r="C1107" t="s">
        <v>2216</v>
      </c>
      <c r="D1107" t="str">
        <f t="shared" si="44"/>
        <v/>
      </c>
      <c r="E1107" t="s">
        <v>2217</v>
      </c>
      <c r="F1107" t="str">
        <f t="shared" si="45"/>
        <v>8305000</v>
      </c>
    </row>
    <row r="1108" spans="1:6" x14ac:dyDescent="0.25">
      <c r="A1108">
        <v>17483</v>
      </c>
      <c r="B1108" t="s">
        <v>7</v>
      </c>
      <c r="C1108" t="s">
        <v>2218</v>
      </c>
      <c r="D1108" t="str">
        <f t="shared" si="44"/>
        <v/>
      </c>
      <c r="E1108" t="s">
        <v>2219</v>
      </c>
      <c r="F1108" t="str">
        <f t="shared" si="45"/>
        <v>8305006</v>
      </c>
    </row>
    <row r="1109" spans="1:6" hidden="1" x14ac:dyDescent="0.25">
      <c r="A1109">
        <v>17484</v>
      </c>
      <c r="B1109" t="s">
        <v>10</v>
      </c>
      <c r="C1109" t="s">
        <v>2220</v>
      </c>
      <c r="D1109" t="str">
        <f t="shared" ref="D1109:D1140" si="46">IF(RIGHT(LEFT(C1109,9),2)="##","",RIGHT(LEFT(C1109,10),2))</f>
        <v/>
      </c>
      <c r="E1109" t="s">
        <v>2221</v>
      </c>
      <c r="F1109" t="str">
        <f t="shared" si="45"/>
        <v>8305006</v>
      </c>
    </row>
    <row r="1110" spans="1:6" hidden="1" x14ac:dyDescent="0.25">
      <c r="A1110">
        <v>17485</v>
      </c>
      <c r="B1110" t="s">
        <v>10</v>
      </c>
      <c r="C1110" t="s">
        <v>2222</v>
      </c>
      <c r="D1110" t="str">
        <f t="shared" si="46"/>
        <v/>
      </c>
      <c r="E1110" t="s">
        <v>2223</v>
      </c>
      <c r="F1110" t="str">
        <f t="shared" si="45"/>
        <v>8305006</v>
      </c>
    </row>
    <row r="1111" spans="1:6" hidden="1" x14ac:dyDescent="0.25">
      <c r="A1111">
        <v>17486</v>
      </c>
      <c r="B1111" t="s">
        <v>10</v>
      </c>
      <c r="C1111" t="s">
        <v>2224</v>
      </c>
      <c r="D1111" t="str">
        <f t="shared" si="46"/>
        <v/>
      </c>
      <c r="E1111" t="s">
        <v>2225</v>
      </c>
      <c r="F1111" t="str">
        <f t="shared" si="45"/>
        <v>8305006</v>
      </c>
    </row>
    <row r="1112" spans="1:6" hidden="1" x14ac:dyDescent="0.25">
      <c r="A1112">
        <v>17487</v>
      </c>
      <c r="B1112" t="s">
        <v>10</v>
      </c>
      <c r="C1112" t="s">
        <v>2226</v>
      </c>
      <c r="D1112" t="str">
        <f t="shared" si="46"/>
        <v/>
      </c>
      <c r="E1112" t="s">
        <v>2227</v>
      </c>
      <c r="F1112" t="str">
        <f t="shared" si="45"/>
        <v>8305006</v>
      </c>
    </row>
    <row r="1113" spans="1:6" hidden="1" x14ac:dyDescent="0.25">
      <c r="A1113">
        <v>17488</v>
      </c>
      <c r="B1113" t="s">
        <v>10</v>
      </c>
      <c r="C1113" t="s">
        <v>2228</v>
      </c>
      <c r="D1113" t="str">
        <f t="shared" si="46"/>
        <v/>
      </c>
      <c r="E1113" t="s">
        <v>2229</v>
      </c>
      <c r="F1113" t="str">
        <f t="shared" si="45"/>
        <v>8305006</v>
      </c>
    </row>
    <row r="1114" spans="1:6" hidden="1" x14ac:dyDescent="0.25">
      <c r="A1114">
        <v>17489</v>
      </c>
      <c r="B1114" t="s">
        <v>10</v>
      </c>
      <c r="C1114" t="s">
        <v>2230</v>
      </c>
      <c r="D1114" t="str">
        <f t="shared" si="46"/>
        <v/>
      </c>
      <c r="E1114" t="s">
        <v>2231</v>
      </c>
      <c r="F1114" t="str">
        <f t="shared" si="45"/>
        <v>8305006</v>
      </c>
    </row>
    <row r="1115" spans="1:6" hidden="1" x14ac:dyDescent="0.25">
      <c r="A1115">
        <v>17490</v>
      </c>
      <c r="B1115" t="s">
        <v>10</v>
      </c>
      <c r="C1115" t="s">
        <v>2232</v>
      </c>
      <c r="D1115" t="str">
        <f t="shared" si="46"/>
        <v/>
      </c>
      <c r="E1115" t="s">
        <v>2233</v>
      </c>
      <c r="F1115" t="str">
        <f t="shared" si="45"/>
        <v>8305006</v>
      </c>
    </row>
    <row r="1116" spans="1:6" hidden="1" x14ac:dyDescent="0.25">
      <c r="A1116">
        <v>17491</v>
      </c>
      <c r="B1116" t="s">
        <v>10</v>
      </c>
      <c r="C1116" t="s">
        <v>2234</v>
      </c>
      <c r="D1116" t="str">
        <f t="shared" si="46"/>
        <v/>
      </c>
      <c r="E1116" t="s">
        <v>2235</v>
      </c>
      <c r="F1116" t="str">
        <f t="shared" si="45"/>
        <v>8305006</v>
      </c>
    </row>
    <row r="1117" spans="1:6" hidden="1" x14ac:dyDescent="0.25">
      <c r="A1117">
        <v>17492</v>
      </c>
      <c r="B1117" t="s">
        <v>10</v>
      </c>
      <c r="C1117" t="s">
        <v>2236</v>
      </c>
      <c r="D1117" t="str">
        <f t="shared" si="46"/>
        <v/>
      </c>
      <c r="E1117" t="s">
        <v>2237</v>
      </c>
      <c r="F1117" t="str">
        <f t="shared" si="45"/>
        <v>8305006</v>
      </c>
    </row>
    <row r="1118" spans="1:6" hidden="1" x14ac:dyDescent="0.25">
      <c r="A1118">
        <v>17493</v>
      </c>
      <c r="B1118" t="s">
        <v>10</v>
      </c>
      <c r="C1118" t="s">
        <v>2238</v>
      </c>
      <c r="D1118" t="str">
        <f t="shared" si="46"/>
        <v/>
      </c>
      <c r="E1118" t="s">
        <v>2239</v>
      </c>
      <c r="F1118" t="str">
        <f t="shared" si="45"/>
        <v>8305006</v>
      </c>
    </row>
    <row r="1119" spans="1:6" hidden="1" x14ac:dyDescent="0.25">
      <c r="A1119">
        <v>17494</v>
      </c>
      <c r="B1119" t="s">
        <v>10</v>
      </c>
      <c r="C1119" t="s">
        <v>2240</v>
      </c>
      <c r="D1119" t="str">
        <f t="shared" si="46"/>
        <v/>
      </c>
      <c r="E1119" t="s">
        <v>2241</v>
      </c>
      <c r="F1119" t="str">
        <f t="shared" si="45"/>
        <v>8305006</v>
      </c>
    </row>
    <row r="1120" spans="1:6" hidden="1" x14ac:dyDescent="0.25">
      <c r="A1120">
        <v>17495</v>
      </c>
      <c r="B1120" t="s">
        <v>4</v>
      </c>
      <c r="C1120" t="s">
        <v>2242</v>
      </c>
      <c r="D1120" t="str">
        <f t="shared" si="46"/>
        <v/>
      </c>
      <c r="E1120" t="s">
        <v>2243</v>
      </c>
      <c r="F1120" t="str">
        <f t="shared" si="45"/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 t="shared" si="46"/>
        <v/>
      </c>
      <c r="E1121" t="s">
        <v>2245</v>
      </c>
      <c r="F1121" t="str">
        <f t="shared" si="45"/>
        <v>8520004</v>
      </c>
    </row>
    <row r="1122" spans="1:9" x14ac:dyDescent="0.25">
      <c r="A1122">
        <v>17504</v>
      </c>
      <c r="B1122" t="s">
        <v>7</v>
      </c>
      <c r="C1122" t="s">
        <v>2246</v>
      </c>
      <c r="D1122" t="str">
        <f t="shared" si="46"/>
        <v/>
      </c>
      <c r="E1122" t="s">
        <v>2247</v>
      </c>
      <c r="F1122" t="str">
        <f t="shared" si="45"/>
        <v>8701090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 t="shared" si="46"/>
        <v/>
      </c>
      <c r="E1123" t="s">
        <v>2249</v>
      </c>
      <c r="F1123" t="str">
        <f t="shared" si="45"/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 t="shared" si="46"/>
        <v/>
      </c>
      <c r="E1124" t="s">
        <v>2251</v>
      </c>
      <c r="F1124" t="str">
        <f t="shared" si="45"/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 t="shared" si="46"/>
        <v/>
      </c>
      <c r="E1125" t="s">
        <v>2253</v>
      </c>
      <c r="F1125" t="str">
        <f t="shared" si="45"/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 t="shared" si="46"/>
        <v/>
      </c>
      <c r="E1126" t="s">
        <v>2255</v>
      </c>
      <c r="F1126" t="str">
        <f t="shared" si="45"/>
        <v>8701090</v>
      </c>
    </row>
    <row r="1127" spans="1:9" x14ac:dyDescent="0.25">
      <c r="A1127">
        <v>17510</v>
      </c>
      <c r="B1127" t="s">
        <v>7</v>
      </c>
      <c r="C1127" t="s">
        <v>2256</v>
      </c>
      <c r="D1127" t="str">
        <f t="shared" si="46"/>
        <v/>
      </c>
      <c r="E1127" t="s">
        <v>2257</v>
      </c>
      <c r="F1127" t="str">
        <f t="shared" si="45"/>
        <v>8701092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 t="shared" si="46"/>
        <v/>
      </c>
      <c r="E1128" t="s">
        <v>2259</v>
      </c>
      <c r="F1128" t="str">
        <f t="shared" si="45"/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 t="shared" si="46"/>
        <v/>
      </c>
      <c r="E1129" t="s">
        <v>2261</v>
      </c>
      <c r="F1129" t="str">
        <f t="shared" si="45"/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 t="shared" si="46"/>
        <v/>
      </c>
      <c r="E1130" t="s">
        <v>2263</v>
      </c>
      <c r="F1130" t="str">
        <f t="shared" si="45"/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 t="shared" si="46"/>
        <v/>
      </c>
      <c r="E1131" t="s">
        <v>2265</v>
      </c>
      <c r="F1131" t="str">
        <f t="shared" si="45"/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 t="shared" si="46"/>
        <v/>
      </c>
      <c r="E1132" t="s">
        <v>2267</v>
      </c>
      <c r="F1132" t="str">
        <f t="shared" si="45"/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 t="shared" si="46"/>
        <v/>
      </c>
      <c r="E1133" t="s">
        <v>2269</v>
      </c>
      <c r="F1133" t="str">
        <f t="shared" si="45"/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 t="shared" si="46"/>
        <v/>
      </c>
      <c r="E1134" t="s">
        <v>2271</v>
      </c>
      <c r="F1134" t="str">
        <f t="shared" si="45"/>
        <v>8503202</v>
      </c>
    </row>
    <row r="1135" spans="1:9" x14ac:dyDescent="0.25">
      <c r="A1135">
        <v>17526</v>
      </c>
      <c r="B1135" t="s">
        <v>7</v>
      </c>
      <c r="C1135" t="s">
        <v>2272</v>
      </c>
      <c r="D1135" t="str">
        <f t="shared" si="46"/>
        <v/>
      </c>
      <c r="E1135" t="s">
        <v>2273</v>
      </c>
      <c r="F1135" t="s">
        <v>6915</v>
      </c>
      <c r="H1135">
        <v>4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 t="shared" si="46"/>
        <v/>
      </c>
      <c r="E1136" t="s">
        <v>2275</v>
      </c>
      <c r="F1136" t="str">
        <f t="shared" ref="F1136:F1146" si="47"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 t="shared" si="46"/>
        <v/>
      </c>
      <c r="E1137" t="s">
        <v>2277</v>
      </c>
      <c r="F1137" t="str">
        <f t="shared" si="47"/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 t="shared" si="46"/>
        <v/>
      </c>
      <c r="E1138" t="s">
        <v>2279</v>
      </c>
      <c r="F1138" t="str">
        <f t="shared" si="47"/>
        <v>1120862</v>
      </c>
    </row>
    <row r="1139" spans="1:9" x14ac:dyDescent="0.25">
      <c r="A1139">
        <v>17530</v>
      </c>
      <c r="B1139" t="s">
        <v>7</v>
      </c>
      <c r="C1139" t="s">
        <v>2280</v>
      </c>
      <c r="D1139" t="str">
        <f t="shared" si="46"/>
        <v/>
      </c>
      <c r="E1139" t="s">
        <v>2281</v>
      </c>
      <c r="F1139" t="str">
        <f t="shared" si="47"/>
        <v>5101125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 t="shared" si="46"/>
        <v/>
      </c>
      <c r="E1140" t="s">
        <v>2283</v>
      </c>
      <c r="F1140" t="str">
        <f t="shared" si="47"/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 t="shared" ref="D1141:D1172" si="48">IF(RIGHT(LEFT(C1141,9),2)="##","",RIGHT(LEFT(C1141,10),2))</f>
        <v/>
      </c>
      <c r="E1141" t="s">
        <v>2285</v>
      </c>
      <c r="F1141" t="str">
        <f t="shared" si="47"/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 t="shared" si="48"/>
        <v/>
      </c>
      <c r="E1142" t="s">
        <v>2287</v>
      </c>
      <c r="F1142" t="str">
        <f t="shared" si="47"/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 t="shared" si="48"/>
        <v/>
      </c>
      <c r="E1143" t="s">
        <v>2289</v>
      </c>
      <c r="F1143" t="str">
        <f t="shared" si="47"/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 t="shared" si="48"/>
        <v/>
      </c>
      <c r="E1144" t="s">
        <v>2291</v>
      </c>
      <c r="F1144" t="str">
        <f t="shared" si="47"/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 t="shared" si="48"/>
        <v/>
      </c>
      <c r="E1145" t="s">
        <v>2293</v>
      </c>
      <c r="F1145" t="str">
        <f t="shared" si="47"/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 t="shared" si="48"/>
        <v/>
      </c>
      <c r="E1146" t="s">
        <v>2295</v>
      </c>
      <c r="F1146" t="str">
        <f t="shared" si="47"/>
        <v>5101125</v>
      </c>
    </row>
    <row r="1147" spans="1:9" x14ac:dyDescent="0.25">
      <c r="A1147">
        <v>17543</v>
      </c>
      <c r="B1147" t="s">
        <v>7</v>
      </c>
      <c r="C1147" t="s">
        <v>2296</v>
      </c>
      <c r="D1147" t="str">
        <f t="shared" si="48"/>
        <v/>
      </c>
      <c r="E1147" t="s">
        <v>2297</v>
      </c>
      <c r="F1147" t="s">
        <v>6924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 t="shared" si="48"/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 t="shared" si="48"/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 t="shared" si="48"/>
        <v/>
      </c>
      <c r="E1150" t="s">
        <v>2303</v>
      </c>
      <c r="F1150" t="str">
        <f>LEFT(C1150,7)</f>
        <v>1120667</v>
      </c>
    </row>
    <row r="1151" spans="1:9" x14ac:dyDescent="0.25">
      <c r="A1151">
        <v>17547</v>
      </c>
      <c r="B1151" t="s">
        <v>7</v>
      </c>
      <c r="C1151" t="s">
        <v>2304</v>
      </c>
      <c r="D1151" t="str">
        <f t="shared" si="48"/>
        <v/>
      </c>
      <c r="E1151" t="s">
        <v>2305</v>
      </c>
      <c r="F1151" t="s">
        <v>6924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 t="shared" si="48"/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 t="shared" si="48"/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 t="shared" si="48"/>
        <v/>
      </c>
      <c r="E1154" t="s">
        <v>2311</v>
      </c>
      <c r="F1154" t="str">
        <f>LEFT(C1154,7)</f>
        <v>1120668</v>
      </c>
    </row>
    <row r="1155" spans="1:9" x14ac:dyDescent="0.25">
      <c r="A1155">
        <v>17551</v>
      </c>
      <c r="B1155" t="s">
        <v>7</v>
      </c>
      <c r="C1155" t="s">
        <v>2312</v>
      </c>
      <c r="D1155" t="str">
        <f t="shared" si="48"/>
        <v/>
      </c>
      <c r="E1155" t="s">
        <v>2313</v>
      </c>
      <c r="F1155" t="s">
        <v>6924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 t="shared" si="48"/>
        <v/>
      </c>
      <c r="E1156" t="s">
        <v>2315</v>
      </c>
      <c r="F1156" t="str">
        <f t="shared" ref="F1156:F1171" si="49"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 t="shared" si="48"/>
        <v/>
      </c>
      <c r="E1157" t="s">
        <v>2317</v>
      </c>
      <c r="F1157" t="str">
        <f t="shared" si="49"/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 t="shared" si="48"/>
        <v/>
      </c>
      <c r="E1158" t="s">
        <v>2319</v>
      </c>
      <c r="F1158" t="str">
        <f t="shared" si="49"/>
        <v>1120669</v>
      </c>
    </row>
    <row r="1159" spans="1:9" x14ac:dyDescent="0.25">
      <c r="A1159">
        <v>17555</v>
      </c>
      <c r="B1159" t="s">
        <v>7</v>
      </c>
      <c r="C1159" t="s">
        <v>2320</v>
      </c>
      <c r="D1159" t="str">
        <f t="shared" si="48"/>
        <v/>
      </c>
      <c r="E1159" t="s">
        <v>2321</v>
      </c>
      <c r="F1159" t="str">
        <f t="shared" si="49"/>
        <v>5101924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 t="shared" si="48"/>
        <v/>
      </c>
      <c r="E1160" t="s">
        <v>2323</v>
      </c>
      <c r="F1160" t="str">
        <f t="shared" si="49"/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 t="shared" si="48"/>
        <v/>
      </c>
      <c r="E1161" t="s">
        <v>2325</v>
      </c>
      <c r="F1161" t="str">
        <f t="shared" si="49"/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 t="shared" si="48"/>
        <v/>
      </c>
      <c r="E1162" t="s">
        <v>2327</v>
      </c>
      <c r="F1162" t="str">
        <f t="shared" si="49"/>
        <v>8303114</v>
      </c>
    </row>
    <row r="1163" spans="1:9" x14ac:dyDescent="0.25">
      <c r="A1163">
        <v>17565</v>
      </c>
      <c r="B1163" t="s">
        <v>7</v>
      </c>
      <c r="C1163" t="s">
        <v>2328</v>
      </c>
      <c r="D1163" t="str">
        <f t="shared" si="48"/>
        <v/>
      </c>
      <c r="E1163" t="s">
        <v>2329</v>
      </c>
      <c r="F1163" t="str">
        <f t="shared" si="49"/>
        <v>1120504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 t="shared" si="48"/>
        <v/>
      </c>
      <c r="E1164" t="s">
        <v>2331</v>
      </c>
      <c r="F1164" t="str">
        <f t="shared" si="49"/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 t="shared" si="48"/>
        <v/>
      </c>
      <c r="E1165" t="s">
        <v>2333</v>
      </c>
      <c r="F1165" t="str">
        <f t="shared" si="49"/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 t="shared" si="48"/>
        <v/>
      </c>
      <c r="E1166" t="s">
        <v>2335</v>
      </c>
      <c r="F1166" t="str">
        <f t="shared" si="49"/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 t="shared" si="48"/>
        <v/>
      </c>
      <c r="E1167" t="s">
        <v>2337</v>
      </c>
      <c r="F1167" t="str">
        <f t="shared" si="49"/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 t="shared" si="48"/>
        <v/>
      </c>
      <c r="E1168" t="s">
        <v>2339</v>
      </c>
      <c r="F1168" t="str">
        <f t="shared" si="49"/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 t="shared" si="48"/>
        <v/>
      </c>
      <c r="E1169" t="s">
        <v>2341</v>
      </c>
      <c r="F1169" t="str">
        <f t="shared" si="49"/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 t="shared" si="48"/>
        <v/>
      </c>
      <c r="E1170" t="s">
        <v>2343</v>
      </c>
      <c r="F1170" t="str">
        <f t="shared" si="49"/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 t="shared" si="48"/>
        <v/>
      </c>
      <c r="E1171" t="s">
        <v>2345</v>
      </c>
      <c r="F1171" t="str">
        <f t="shared" si="49"/>
        <v>1120504</v>
      </c>
    </row>
    <row r="1172" spans="1:9" x14ac:dyDescent="0.25">
      <c r="A1172">
        <v>17578</v>
      </c>
      <c r="B1172" t="s">
        <v>7</v>
      </c>
      <c r="C1172" t="s">
        <v>2346</v>
      </c>
      <c r="D1172" t="str">
        <f t="shared" si="48"/>
        <v/>
      </c>
      <c r="E1172" t="s">
        <v>2347</v>
      </c>
      <c r="F1172" t="s">
        <v>6942</v>
      </c>
      <c r="H1172">
        <v>6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 t="shared" ref="D1173:D1204" si="50"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 t="shared" si="50"/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 t="shared" si="50"/>
        <v/>
      </c>
      <c r="E1175" t="s">
        <v>2353</v>
      </c>
      <c r="F1175" t="str">
        <f>LEFT(C1175,7)</f>
        <v>1120505</v>
      </c>
    </row>
    <row r="1176" spans="1:9" x14ac:dyDescent="0.25">
      <c r="A1176">
        <v>17582</v>
      </c>
      <c r="B1176" t="s">
        <v>7</v>
      </c>
      <c r="C1176" t="s">
        <v>2354</v>
      </c>
      <c r="D1176" t="str">
        <f t="shared" si="50"/>
        <v/>
      </c>
      <c r="E1176" t="s">
        <v>2355</v>
      </c>
      <c r="F1176" t="s">
        <v>6940</v>
      </c>
      <c r="H1176">
        <v>6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 t="shared" si="50"/>
        <v/>
      </c>
      <c r="E1177" t="s">
        <v>2357</v>
      </c>
      <c r="F1177" t="str">
        <f t="shared" ref="F1177:F1196" si="51"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 t="shared" si="50"/>
        <v/>
      </c>
      <c r="E1178" t="s">
        <v>2359</v>
      </c>
      <c r="F1178" t="str">
        <f t="shared" si="51"/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 t="shared" si="50"/>
        <v/>
      </c>
      <c r="E1179" t="s">
        <v>2361</v>
      </c>
      <c r="F1179" t="str">
        <f t="shared" si="51"/>
        <v>1120501</v>
      </c>
    </row>
    <row r="1180" spans="1:9" x14ac:dyDescent="0.25">
      <c r="A1180">
        <v>17586</v>
      </c>
      <c r="B1180" t="s">
        <v>7</v>
      </c>
      <c r="C1180" t="s">
        <v>2362</v>
      </c>
      <c r="D1180" t="str">
        <f t="shared" si="50"/>
        <v/>
      </c>
      <c r="E1180" t="s">
        <v>2363</v>
      </c>
      <c r="F1180" t="str">
        <f t="shared" si="51"/>
        <v>5101105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 t="shared" si="50"/>
        <v/>
      </c>
      <c r="E1181" t="s">
        <v>2365</v>
      </c>
      <c r="F1181" t="str">
        <f t="shared" si="51"/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 t="shared" si="50"/>
        <v/>
      </c>
      <c r="E1182" t="s">
        <v>2367</v>
      </c>
      <c r="F1182" t="str">
        <f t="shared" si="51"/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 t="shared" si="50"/>
        <v/>
      </c>
      <c r="E1183" t="s">
        <v>2369</v>
      </c>
      <c r="F1183" t="str">
        <f t="shared" si="51"/>
        <v>5101105</v>
      </c>
    </row>
    <row r="1184" spans="1:9" x14ac:dyDescent="0.25">
      <c r="A1184">
        <v>17596</v>
      </c>
      <c r="B1184" t="s">
        <v>7</v>
      </c>
      <c r="C1184" t="s">
        <v>2370</v>
      </c>
      <c r="D1184" t="str">
        <f t="shared" si="50"/>
        <v/>
      </c>
      <c r="E1184" t="s">
        <v>2371</v>
      </c>
      <c r="F1184" t="str">
        <f t="shared" si="51"/>
        <v>4120024</v>
      </c>
      <c r="I1184">
        <v>1</v>
      </c>
    </row>
    <row r="1185" spans="1:8" hidden="1" x14ac:dyDescent="0.25">
      <c r="A1185">
        <v>17597</v>
      </c>
      <c r="B1185" t="s">
        <v>10</v>
      </c>
      <c r="C1185" t="s">
        <v>2372</v>
      </c>
      <c r="D1185" t="str">
        <f t="shared" si="50"/>
        <v/>
      </c>
      <c r="E1185" t="s">
        <v>2373</v>
      </c>
      <c r="F1185" t="str">
        <f t="shared" si="51"/>
        <v>4120024</v>
      </c>
    </row>
    <row r="1186" spans="1:8" hidden="1" x14ac:dyDescent="0.25">
      <c r="A1186">
        <v>17600</v>
      </c>
      <c r="B1186" t="s">
        <v>10</v>
      </c>
      <c r="C1186" t="s">
        <v>2374</v>
      </c>
      <c r="D1186" t="str">
        <f t="shared" si="50"/>
        <v/>
      </c>
      <c r="E1186" t="s">
        <v>2375</v>
      </c>
      <c r="F1186" t="str">
        <f t="shared" si="51"/>
        <v>4120024</v>
      </c>
    </row>
    <row r="1187" spans="1:8" hidden="1" x14ac:dyDescent="0.25">
      <c r="A1187">
        <v>17601</v>
      </c>
      <c r="B1187" t="s">
        <v>10</v>
      </c>
      <c r="C1187" t="s">
        <v>2376</v>
      </c>
      <c r="D1187" t="str">
        <f t="shared" si="50"/>
        <v/>
      </c>
      <c r="E1187" t="s">
        <v>2377</v>
      </c>
      <c r="F1187" t="str">
        <f t="shared" si="51"/>
        <v>4120024</v>
      </c>
    </row>
    <row r="1188" spans="1:8" hidden="1" x14ac:dyDescent="0.25">
      <c r="A1188">
        <v>17602</v>
      </c>
      <c r="B1188" t="s">
        <v>10</v>
      </c>
      <c r="C1188" t="s">
        <v>2378</v>
      </c>
      <c r="D1188" t="str">
        <f t="shared" si="50"/>
        <v/>
      </c>
      <c r="E1188" t="s">
        <v>2379</v>
      </c>
      <c r="F1188" t="str">
        <f t="shared" si="51"/>
        <v>4120024</v>
      </c>
    </row>
    <row r="1189" spans="1:8" x14ac:dyDescent="0.25">
      <c r="A1189">
        <v>17603</v>
      </c>
      <c r="B1189" t="s">
        <v>7</v>
      </c>
      <c r="C1189" t="s">
        <v>2380</v>
      </c>
      <c r="D1189" t="str">
        <f t="shared" si="50"/>
        <v/>
      </c>
      <c r="E1189" t="s">
        <v>2381</v>
      </c>
      <c r="F1189" t="str">
        <f t="shared" si="51"/>
        <v>5101192</v>
      </c>
      <c r="H1189">
        <v>6</v>
      </c>
    </row>
    <row r="1190" spans="1:8" hidden="1" x14ac:dyDescent="0.25">
      <c r="A1190">
        <v>17604</v>
      </c>
      <c r="B1190" t="s">
        <v>10</v>
      </c>
      <c r="C1190" t="s">
        <v>2382</v>
      </c>
      <c r="D1190" t="str">
        <f t="shared" si="50"/>
        <v/>
      </c>
      <c r="E1190" t="s">
        <v>2383</v>
      </c>
      <c r="F1190" t="str">
        <f t="shared" si="51"/>
        <v>5101192</v>
      </c>
    </row>
    <row r="1191" spans="1:8" hidden="1" x14ac:dyDescent="0.25">
      <c r="A1191">
        <v>17608</v>
      </c>
      <c r="B1191" t="s">
        <v>10</v>
      </c>
      <c r="C1191" t="s">
        <v>2384</v>
      </c>
      <c r="D1191" t="str">
        <f t="shared" si="50"/>
        <v/>
      </c>
      <c r="E1191" t="s">
        <v>2385</v>
      </c>
      <c r="F1191" t="str">
        <f t="shared" si="51"/>
        <v>5101192</v>
      </c>
    </row>
    <row r="1192" spans="1:8" hidden="1" x14ac:dyDescent="0.25">
      <c r="A1192">
        <v>17609</v>
      </c>
      <c r="B1192" t="s">
        <v>10</v>
      </c>
      <c r="C1192" t="s">
        <v>2386</v>
      </c>
      <c r="D1192" t="str">
        <f t="shared" si="50"/>
        <v/>
      </c>
      <c r="E1192" t="s">
        <v>2387</v>
      </c>
      <c r="F1192" t="str">
        <f t="shared" si="51"/>
        <v>5101192</v>
      </c>
    </row>
    <row r="1193" spans="1:8" hidden="1" x14ac:dyDescent="0.25">
      <c r="A1193">
        <v>17610</v>
      </c>
      <c r="B1193" t="s">
        <v>10</v>
      </c>
      <c r="C1193" t="s">
        <v>2388</v>
      </c>
      <c r="D1193" t="str">
        <f t="shared" si="50"/>
        <v/>
      </c>
      <c r="E1193" t="s">
        <v>2389</v>
      </c>
      <c r="F1193" t="str">
        <f t="shared" si="51"/>
        <v>5101192</v>
      </c>
    </row>
    <row r="1194" spans="1:8" hidden="1" x14ac:dyDescent="0.25">
      <c r="A1194">
        <v>17611</v>
      </c>
      <c r="B1194" t="s">
        <v>10</v>
      </c>
      <c r="C1194" t="s">
        <v>2390</v>
      </c>
      <c r="D1194" t="str">
        <f t="shared" si="50"/>
        <v/>
      </c>
      <c r="E1194" t="s">
        <v>2391</v>
      </c>
      <c r="F1194" t="str">
        <f t="shared" si="51"/>
        <v>5101192</v>
      </c>
    </row>
    <row r="1195" spans="1:8" hidden="1" x14ac:dyDescent="0.25">
      <c r="A1195">
        <v>17615</v>
      </c>
      <c r="B1195" t="s">
        <v>10</v>
      </c>
      <c r="C1195" t="s">
        <v>2392</v>
      </c>
      <c r="D1195" t="str">
        <f t="shared" si="50"/>
        <v/>
      </c>
      <c r="E1195" t="s">
        <v>2393</v>
      </c>
      <c r="F1195" t="str">
        <f t="shared" si="51"/>
        <v>5101192</v>
      </c>
    </row>
    <row r="1196" spans="1:8" hidden="1" x14ac:dyDescent="0.25">
      <c r="A1196">
        <v>17616</v>
      </c>
      <c r="B1196" t="s">
        <v>10</v>
      </c>
      <c r="C1196" t="s">
        <v>2394</v>
      </c>
      <c r="D1196" t="str">
        <f t="shared" si="50"/>
        <v/>
      </c>
      <c r="E1196" t="s">
        <v>2395</v>
      </c>
      <c r="F1196" t="str">
        <f t="shared" si="51"/>
        <v>5101192</v>
      </c>
    </row>
    <row r="1197" spans="1:8" x14ac:dyDescent="0.25">
      <c r="A1197">
        <v>17620</v>
      </c>
      <c r="B1197" t="s">
        <v>7</v>
      </c>
      <c r="C1197" t="s">
        <v>2396</v>
      </c>
      <c r="D1197" t="str">
        <f t="shared" si="50"/>
        <v/>
      </c>
      <c r="E1197" t="s">
        <v>2397</v>
      </c>
      <c r="F1197" t="s">
        <v>6979</v>
      </c>
      <c r="H1197">
        <v>6</v>
      </c>
    </row>
    <row r="1198" spans="1:8" hidden="1" x14ac:dyDescent="0.25">
      <c r="A1198">
        <v>17621</v>
      </c>
      <c r="B1198" t="s">
        <v>10</v>
      </c>
      <c r="C1198" t="s">
        <v>2398</v>
      </c>
      <c r="D1198" t="str">
        <f t="shared" si="50"/>
        <v/>
      </c>
      <c r="E1198" t="s">
        <v>2399</v>
      </c>
      <c r="F1198" t="str">
        <f t="shared" ref="F1198:F1207" si="52">LEFT(C1198,7)</f>
        <v>5101193</v>
      </c>
    </row>
    <row r="1199" spans="1:8" hidden="1" x14ac:dyDescent="0.25">
      <c r="A1199">
        <v>17622</v>
      </c>
      <c r="B1199" t="s">
        <v>10</v>
      </c>
      <c r="C1199" t="s">
        <v>2400</v>
      </c>
      <c r="D1199" t="str">
        <f t="shared" si="50"/>
        <v/>
      </c>
      <c r="E1199" t="s">
        <v>2401</v>
      </c>
      <c r="F1199" t="str">
        <f t="shared" si="52"/>
        <v>5101193</v>
      </c>
    </row>
    <row r="1200" spans="1:8" x14ac:dyDescent="0.25">
      <c r="A1200">
        <v>17623</v>
      </c>
      <c r="B1200" t="s">
        <v>7</v>
      </c>
      <c r="C1200" t="s">
        <v>2402</v>
      </c>
      <c r="D1200" t="str">
        <f t="shared" si="50"/>
        <v/>
      </c>
      <c r="E1200" t="s">
        <v>2403</v>
      </c>
      <c r="F1200" t="str">
        <f t="shared" si="52"/>
        <v>5101187</v>
      </c>
      <c r="H1200">
        <v>6</v>
      </c>
    </row>
    <row r="1201" spans="1:8" hidden="1" x14ac:dyDescent="0.25">
      <c r="A1201">
        <v>17624</v>
      </c>
      <c r="B1201" t="s">
        <v>10</v>
      </c>
      <c r="C1201" t="s">
        <v>2404</v>
      </c>
      <c r="D1201" t="str">
        <f t="shared" si="50"/>
        <v/>
      </c>
      <c r="E1201" t="s">
        <v>2405</v>
      </c>
      <c r="F1201" t="str">
        <f t="shared" si="52"/>
        <v>5101187</v>
      </c>
    </row>
    <row r="1202" spans="1:8" hidden="1" x14ac:dyDescent="0.25">
      <c r="A1202">
        <v>17625</v>
      </c>
      <c r="B1202" t="s">
        <v>10</v>
      </c>
      <c r="C1202" t="s">
        <v>2406</v>
      </c>
      <c r="D1202" t="str">
        <f t="shared" si="50"/>
        <v/>
      </c>
      <c r="E1202" t="s">
        <v>2407</v>
      </c>
      <c r="F1202" t="str">
        <f t="shared" si="52"/>
        <v>5101187</v>
      </c>
    </row>
    <row r="1203" spans="1:8" hidden="1" x14ac:dyDescent="0.25">
      <c r="A1203">
        <v>17626</v>
      </c>
      <c r="B1203" t="s">
        <v>10</v>
      </c>
      <c r="C1203" t="s">
        <v>2408</v>
      </c>
      <c r="D1203" t="str">
        <f t="shared" si="50"/>
        <v/>
      </c>
      <c r="E1203" t="s">
        <v>2409</v>
      </c>
      <c r="F1203" t="str">
        <f t="shared" si="52"/>
        <v>5101187</v>
      </c>
    </row>
    <row r="1204" spans="1:8" hidden="1" x14ac:dyDescent="0.25">
      <c r="A1204">
        <v>17627</v>
      </c>
      <c r="B1204" t="s">
        <v>10</v>
      </c>
      <c r="C1204" t="s">
        <v>2410</v>
      </c>
      <c r="D1204" t="str">
        <f t="shared" si="50"/>
        <v/>
      </c>
      <c r="E1204" t="s">
        <v>2411</v>
      </c>
      <c r="F1204" t="str">
        <f t="shared" si="52"/>
        <v>5101187</v>
      </c>
    </row>
    <row r="1205" spans="1:8" hidden="1" x14ac:dyDescent="0.25">
      <c r="A1205">
        <v>17628</v>
      </c>
      <c r="B1205" t="s">
        <v>10</v>
      </c>
      <c r="C1205" t="s">
        <v>2412</v>
      </c>
      <c r="D1205" t="str">
        <f t="shared" ref="D1205:D1210" si="53">IF(RIGHT(LEFT(C1205,9),2)="##","",RIGHT(LEFT(C1205,10),2))</f>
        <v/>
      </c>
      <c r="E1205" t="s">
        <v>2413</v>
      </c>
      <c r="F1205" t="str">
        <f t="shared" si="52"/>
        <v>5101187</v>
      </c>
    </row>
    <row r="1206" spans="1:8" hidden="1" x14ac:dyDescent="0.25">
      <c r="A1206">
        <v>17632</v>
      </c>
      <c r="B1206" t="s">
        <v>10</v>
      </c>
      <c r="C1206" t="s">
        <v>2414</v>
      </c>
      <c r="D1206" t="str">
        <f t="shared" si="53"/>
        <v/>
      </c>
      <c r="E1206" t="s">
        <v>2415</v>
      </c>
      <c r="F1206" t="str">
        <f t="shared" si="52"/>
        <v>5101187</v>
      </c>
    </row>
    <row r="1207" spans="1:8" hidden="1" x14ac:dyDescent="0.25">
      <c r="A1207">
        <v>17633</v>
      </c>
      <c r="B1207" t="s">
        <v>10</v>
      </c>
      <c r="C1207" t="s">
        <v>2416</v>
      </c>
      <c r="D1207" t="str">
        <f t="shared" si="53"/>
        <v/>
      </c>
      <c r="E1207" t="s">
        <v>2417</v>
      </c>
      <c r="F1207" t="str">
        <f t="shared" si="52"/>
        <v>5101187</v>
      </c>
    </row>
    <row r="1208" spans="1:8" x14ac:dyDescent="0.25">
      <c r="A1208">
        <v>17634</v>
      </c>
      <c r="B1208" t="s">
        <v>7</v>
      </c>
      <c r="C1208" t="s">
        <v>2418</v>
      </c>
      <c r="D1208" t="str">
        <f t="shared" si="53"/>
        <v/>
      </c>
      <c r="E1208" t="s">
        <v>2419</v>
      </c>
      <c r="F1208" t="s">
        <v>6980</v>
      </c>
      <c r="H1208">
        <v>6</v>
      </c>
    </row>
    <row r="1209" spans="1:8" hidden="1" x14ac:dyDescent="0.25">
      <c r="A1209">
        <v>17635</v>
      </c>
      <c r="B1209" t="s">
        <v>10</v>
      </c>
      <c r="C1209" t="s">
        <v>2420</v>
      </c>
      <c r="D1209" t="str">
        <f t="shared" si="53"/>
        <v/>
      </c>
      <c r="E1209" t="s">
        <v>2421</v>
      </c>
      <c r="F1209" t="str">
        <f t="shared" ref="F1209:F1217" si="54">LEFT(C1209,7)</f>
        <v>5101188</v>
      </c>
    </row>
    <row r="1210" spans="1:8" hidden="1" x14ac:dyDescent="0.25">
      <c r="A1210">
        <v>17636</v>
      </c>
      <c r="B1210" t="s">
        <v>10</v>
      </c>
      <c r="C1210" t="s">
        <v>2422</v>
      </c>
      <c r="D1210" t="str">
        <f t="shared" si="53"/>
        <v/>
      </c>
      <c r="E1210" t="s">
        <v>2423</v>
      </c>
      <c r="F1210" t="str">
        <f t="shared" si="54"/>
        <v>5101188</v>
      </c>
    </row>
    <row r="1211" spans="1:8" hidden="1" x14ac:dyDescent="0.25">
      <c r="A1211">
        <v>17637</v>
      </c>
      <c r="B1211" t="s">
        <v>7</v>
      </c>
      <c r="C1211" t="s">
        <v>2424</v>
      </c>
      <c r="D1211" t="s">
        <v>6906</v>
      </c>
      <c r="E1211" t="s">
        <v>2425</v>
      </c>
      <c r="F1211" t="str">
        <f t="shared" si="54"/>
        <v>8708227</v>
      </c>
      <c r="H1211">
        <f>SUBTOTAL(9,H1212:H1216)</f>
        <v>0</v>
      </c>
    </row>
    <row r="1212" spans="1:8" hidden="1" x14ac:dyDescent="0.25">
      <c r="A1212">
        <v>17638</v>
      </c>
      <c r="B1212" t="s">
        <v>10</v>
      </c>
      <c r="C1212" t="s">
        <v>2426</v>
      </c>
      <c r="D1212" t="str">
        <f t="shared" ref="D1212:D1275" si="55">IF(RIGHT(LEFT(C1212,9),2)="##","",RIGHT(LEFT(C1212,10),2))</f>
        <v>04</v>
      </c>
      <c r="E1212" t="s">
        <v>2427</v>
      </c>
      <c r="F1212" t="str">
        <f t="shared" si="54"/>
        <v>8708227</v>
      </c>
      <c r="H1212">
        <v>1</v>
      </c>
    </row>
    <row r="1213" spans="1:8" hidden="1" x14ac:dyDescent="0.25">
      <c r="A1213">
        <v>17648</v>
      </c>
      <c r="B1213" t="s">
        <v>10</v>
      </c>
      <c r="C1213" t="s">
        <v>2428</v>
      </c>
      <c r="D1213" t="str">
        <f t="shared" si="55"/>
        <v>06</v>
      </c>
      <c r="E1213" t="s">
        <v>2429</v>
      </c>
      <c r="F1213" t="str">
        <f t="shared" si="54"/>
        <v>8708227</v>
      </c>
      <c r="H1213">
        <v>1</v>
      </c>
    </row>
    <row r="1214" spans="1:8" hidden="1" x14ac:dyDescent="0.25">
      <c r="A1214">
        <v>17649</v>
      </c>
      <c r="B1214" t="s">
        <v>10</v>
      </c>
      <c r="C1214" t="s">
        <v>2430</v>
      </c>
      <c r="D1214" t="str">
        <f t="shared" si="55"/>
        <v>09</v>
      </c>
      <c r="E1214" t="s">
        <v>2431</v>
      </c>
      <c r="F1214" t="str">
        <f t="shared" si="54"/>
        <v>8708227</v>
      </c>
      <c r="H1214">
        <v>1</v>
      </c>
    </row>
    <row r="1215" spans="1:8" hidden="1" x14ac:dyDescent="0.25">
      <c r="A1215">
        <v>17650</v>
      </c>
      <c r="B1215" t="s">
        <v>10</v>
      </c>
      <c r="C1215" t="s">
        <v>2432</v>
      </c>
      <c r="D1215" t="str">
        <f t="shared" si="55"/>
        <v>13</v>
      </c>
      <c r="E1215" t="s">
        <v>2433</v>
      </c>
      <c r="F1215" t="str">
        <f t="shared" si="54"/>
        <v>8708227</v>
      </c>
      <c r="H1215">
        <v>1</v>
      </c>
    </row>
    <row r="1216" spans="1:8" hidden="1" x14ac:dyDescent="0.25">
      <c r="A1216">
        <v>17651</v>
      </c>
      <c r="B1216" t="s">
        <v>10</v>
      </c>
      <c r="C1216" t="s">
        <v>2434</v>
      </c>
      <c r="D1216" t="str">
        <f t="shared" si="55"/>
        <v>18</v>
      </c>
      <c r="E1216" t="s">
        <v>2435</v>
      </c>
      <c r="F1216" t="str">
        <f t="shared" si="54"/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 t="shared" si="55"/>
        <v/>
      </c>
      <c r="E1217" t="s">
        <v>2437</v>
      </c>
      <c r="F1217" t="str">
        <f t="shared" si="54"/>
        <v>8708888</v>
      </c>
    </row>
    <row r="1218" spans="1:9" x14ac:dyDescent="0.25">
      <c r="A1218">
        <v>17658</v>
      </c>
      <c r="B1218" t="s">
        <v>7</v>
      </c>
      <c r="C1218" t="s">
        <v>2438</v>
      </c>
      <c r="D1218" t="str">
        <f t="shared" si="55"/>
        <v/>
      </c>
      <c r="E1218" t="s">
        <v>2439</v>
      </c>
      <c r="F1218" t="s">
        <v>6970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 t="shared" si="55"/>
        <v/>
      </c>
      <c r="E1219" t="s">
        <v>2441</v>
      </c>
      <c r="F1219" t="str">
        <f t="shared" ref="F1219:F1250" si="56"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 t="shared" si="55"/>
        <v/>
      </c>
      <c r="E1220" t="s">
        <v>2443</v>
      </c>
      <c r="F1220" t="str">
        <f t="shared" si="56"/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 t="shared" si="55"/>
        <v/>
      </c>
      <c r="E1221" t="s">
        <v>2445</v>
      </c>
      <c r="F1221" t="str">
        <f t="shared" si="56"/>
        <v>4120025</v>
      </c>
    </row>
    <row r="1222" spans="1:9" x14ac:dyDescent="0.25">
      <c r="A1222">
        <v>17662</v>
      </c>
      <c r="B1222" t="s">
        <v>7</v>
      </c>
      <c r="C1222" t="s">
        <v>2446</v>
      </c>
      <c r="D1222" t="str">
        <f t="shared" si="55"/>
        <v/>
      </c>
      <c r="E1222" t="s">
        <v>2447</v>
      </c>
      <c r="F1222" t="str">
        <f t="shared" si="56"/>
        <v>2220100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 t="shared" si="55"/>
        <v/>
      </c>
      <c r="E1223" t="s">
        <v>2449</v>
      </c>
      <c r="F1223" t="str">
        <f t="shared" si="56"/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 t="shared" si="55"/>
        <v/>
      </c>
      <c r="E1224" t="s">
        <v>2451</v>
      </c>
      <c r="F1224" t="str">
        <f t="shared" si="56"/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 t="shared" si="55"/>
        <v/>
      </c>
      <c r="E1225" t="s">
        <v>2453</v>
      </c>
      <c r="F1225" t="str">
        <f t="shared" si="56"/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 t="shared" si="55"/>
        <v/>
      </c>
      <c r="E1226" t="s">
        <v>2455</v>
      </c>
      <c r="F1226" t="str">
        <f t="shared" si="56"/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 t="shared" si="55"/>
        <v/>
      </c>
      <c r="E1227" t="s">
        <v>2457</v>
      </c>
      <c r="F1227" t="str">
        <f t="shared" si="56"/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 t="shared" si="55"/>
        <v/>
      </c>
      <c r="E1228" t="s">
        <v>2459</v>
      </c>
      <c r="F1228" t="str">
        <f t="shared" si="56"/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 t="shared" si="55"/>
        <v/>
      </c>
      <c r="E1229" t="s">
        <v>2461</v>
      </c>
      <c r="F1229" t="str">
        <f t="shared" si="56"/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 t="shared" si="55"/>
        <v/>
      </c>
      <c r="E1230" t="s">
        <v>2463</v>
      </c>
      <c r="F1230" t="str">
        <f t="shared" si="56"/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 t="shared" si="55"/>
        <v/>
      </c>
      <c r="E1231" t="s">
        <v>2465</v>
      </c>
      <c r="F1231" t="str">
        <f t="shared" si="56"/>
        <v>8505789</v>
      </c>
    </row>
    <row r="1232" spans="1:9" x14ac:dyDescent="0.25">
      <c r="A1232">
        <v>17678</v>
      </c>
      <c r="B1232" t="s">
        <v>7</v>
      </c>
      <c r="C1232" t="s">
        <v>2466</v>
      </c>
      <c r="D1232" t="str">
        <f t="shared" si="55"/>
        <v/>
      </c>
      <c r="E1232" t="s">
        <v>2467</v>
      </c>
      <c r="F1232" t="str">
        <f t="shared" si="56"/>
        <v>2101900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 t="shared" si="55"/>
        <v/>
      </c>
      <c r="E1233" t="s">
        <v>2469</v>
      </c>
      <c r="F1233" t="str">
        <f t="shared" si="56"/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 t="shared" si="55"/>
        <v/>
      </c>
      <c r="E1234" t="s">
        <v>2471</v>
      </c>
      <c r="F1234" t="str">
        <f t="shared" si="56"/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 t="shared" si="55"/>
        <v/>
      </c>
      <c r="E1235" t="s">
        <v>2473</v>
      </c>
      <c r="F1235" t="str">
        <f t="shared" si="56"/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 t="shared" si="55"/>
        <v/>
      </c>
      <c r="E1236" t="s">
        <v>2475</v>
      </c>
      <c r="F1236" t="str">
        <f t="shared" si="56"/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 t="shared" si="55"/>
        <v/>
      </c>
      <c r="E1237" t="s">
        <v>2477</v>
      </c>
      <c r="F1237" t="str">
        <f t="shared" si="56"/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 t="shared" si="55"/>
        <v/>
      </c>
      <c r="E1238" t="s">
        <v>2479</v>
      </c>
      <c r="F1238" t="str">
        <f t="shared" si="56"/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 t="shared" si="55"/>
        <v/>
      </c>
      <c r="E1239" t="s">
        <v>2481</v>
      </c>
      <c r="F1239" t="str">
        <f t="shared" si="56"/>
        <v>2101900</v>
      </c>
    </row>
    <row r="1240" spans="1:9" x14ac:dyDescent="0.25">
      <c r="A1240">
        <v>17686</v>
      </c>
      <c r="B1240" t="s">
        <v>7</v>
      </c>
      <c r="C1240" t="s">
        <v>2482</v>
      </c>
      <c r="D1240" t="str">
        <f t="shared" si="55"/>
        <v/>
      </c>
      <c r="E1240" t="s">
        <v>2483</v>
      </c>
      <c r="F1240" t="str">
        <f t="shared" si="56"/>
        <v>2101750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 t="shared" si="55"/>
        <v/>
      </c>
      <c r="E1241" t="s">
        <v>2485</v>
      </c>
      <c r="F1241" t="str">
        <f t="shared" si="56"/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 t="shared" si="55"/>
        <v/>
      </c>
      <c r="E1242" t="s">
        <v>2487</v>
      </c>
      <c r="F1242" t="str">
        <f t="shared" si="56"/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 t="shared" si="55"/>
        <v/>
      </c>
      <c r="E1243" t="s">
        <v>2489</v>
      </c>
      <c r="F1243" t="str">
        <f t="shared" si="56"/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 t="shared" si="55"/>
        <v/>
      </c>
      <c r="E1244" t="s">
        <v>2491</v>
      </c>
      <c r="F1244" t="str">
        <f t="shared" si="56"/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 t="shared" si="55"/>
        <v/>
      </c>
      <c r="E1245" t="s">
        <v>2493</v>
      </c>
      <c r="F1245" t="str">
        <f t="shared" si="56"/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 t="shared" si="55"/>
        <v/>
      </c>
      <c r="E1246" t="s">
        <v>2495</v>
      </c>
      <c r="F1246" t="str">
        <f t="shared" si="56"/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 t="shared" si="55"/>
        <v/>
      </c>
      <c r="E1247" t="s">
        <v>2497</v>
      </c>
      <c r="F1247" t="str">
        <f t="shared" si="56"/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 t="shared" si="55"/>
        <v/>
      </c>
      <c r="E1248" t="s">
        <v>2499</v>
      </c>
      <c r="F1248" t="str">
        <f t="shared" si="56"/>
        <v>2101750</v>
      </c>
    </row>
    <row r="1249" spans="1:9" x14ac:dyDescent="0.25">
      <c r="A1249">
        <v>17695</v>
      </c>
      <c r="B1249" t="s">
        <v>7</v>
      </c>
      <c r="C1249" t="s">
        <v>2500</v>
      </c>
      <c r="D1249" t="str">
        <f t="shared" si="55"/>
        <v/>
      </c>
      <c r="E1249" t="s">
        <v>2501</v>
      </c>
      <c r="F1249" t="str">
        <f t="shared" si="56"/>
        <v>2101877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 t="shared" si="55"/>
        <v/>
      </c>
      <c r="E1250" t="s">
        <v>2503</v>
      </c>
      <c r="F1250" t="str">
        <f t="shared" si="56"/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 t="shared" si="55"/>
        <v/>
      </c>
      <c r="E1251" t="s">
        <v>2505</v>
      </c>
      <c r="F1251" t="str">
        <f t="shared" ref="F1251:F1277" si="57"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 t="shared" si="55"/>
        <v/>
      </c>
      <c r="E1252" t="s">
        <v>2507</v>
      </c>
      <c r="F1252" t="str">
        <f t="shared" si="57"/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 t="shared" si="55"/>
        <v/>
      </c>
      <c r="E1253" t="s">
        <v>2509</v>
      </c>
      <c r="F1253" t="str">
        <f t="shared" si="57"/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 t="shared" si="55"/>
        <v/>
      </c>
      <c r="E1254" t="s">
        <v>2511</v>
      </c>
      <c r="F1254" t="str">
        <f t="shared" si="57"/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 t="shared" si="55"/>
        <v/>
      </c>
      <c r="E1255" t="s">
        <v>2513</v>
      </c>
      <c r="F1255" t="str">
        <f t="shared" si="57"/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 t="shared" si="55"/>
        <v/>
      </c>
      <c r="E1256" t="s">
        <v>2515</v>
      </c>
      <c r="F1256" t="str">
        <f t="shared" si="57"/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 t="shared" si="55"/>
        <v/>
      </c>
      <c r="E1257" t="s">
        <v>2517</v>
      </c>
      <c r="F1257" t="str">
        <f t="shared" si="57"/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 t="shared" si="55"/>
        <v/>
      </c>
      <c r="E1258" t="s">
        <v>2519</v>
      </c>
      <c r="F1258" t="str">
        <f t="shared" si="57"/>
        <v>5101185</v>
      </c>
    </row>
    <row r="1259" spans="1:9" x14ac:dyDescent="0.25">
      <c r="A1259">
        <v>17708</v>
      </c>
      <c r="B1259" t="s">
        <v>7</v>
      </c>
      <c r="C1259" t="s">
        <v>2520</v>
      </c>
      <c r="D1259" t="str">
        <f t="shared" si="55"/>
        <v/>
      </c>
      <c r="E1259" t="s">
        <v>2521</v>
      </c>
      <c r="F1259" t="str">
        <f t="shared" si="57"/>
        <v>5101195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 t="shared" si="55"/>
        <v/>
      </c>
      <c r="E1260" t="s">
        <v>2523</v>
      </c>
      <c r="F1260" t="str">
        <f t="shared" si="57"/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 t="shared" si="55"/>
        <v/>
      </c>
      <c r="E1261" t="s">
        <v>2525</v>
      </c>
      <c r="F1261" t="str">
        <f t="shared" si="57"/>
        <v>5101195</v>
      </c>
    </row>
    <row r="1262" spans="1:9" x14ac:dyDescent="0.25">
      <c r="A1262">
        <v>17711</v>
      </c>
      <c r="B1262" t="s">
        <v>7</v>
      </c>
      <c r="C1262" t="s">
        <v>2526</v>
      </c>
      <c r="D1262" t="str">
        <f t="shared" si="55"/>
        <v/>
      </c>
      <c r="E1262" t="s">
        <v>2527</v>
      </c>
      <c r="F1262" t="str">
        <f t="shared" si="57"/>
        <v>5101191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 t="shared" si="55"/>
        <v/>
      </c>
      <c r="E1263" t="s">
        <v>2529</v>
      </c>
      <c r="F1263" t="str">
        <f t="shared" si="57"/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 t="shared" si="55"/>
        <v/>
      </c>
      <c r="E1264" t="s">
        <v>2531</v>
      </c>
      <c r="F1264" t="str">
        <f t="shared" si="57"/>
        <v>5101191</v>
      </c>
    </row>
    <row r="1265" spans="1:9" x14ac:dyDescent="0.25">
      <c r="A1265">
        <v>17714</v>
      </c>
      <c r="B1265" t="s">
        <v>7</v>
      </c>
      <c r="C1265" t="s">
        <v>2532</v>
      </c>
      <c r="D1265" t="str">
        <f t="shared" si="55"/>
        <v/>
      </c>
      <c r="E1265" t="s">
        <v>2533</v>
      </c>
      <c r="F1265" t="str">
        <f t="shared" si="57"/>
        <v>5101186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 t="shared" si="55"/>
        <v/>
      </c>
      <c r="E1266" t="s">
        <v>2535</v>
      </c>
      <c r="F1266" t="str">
        <f t="shared" si="57"/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 t="shared" si="55"/>
        <v/>
      </c>
      <c r="E1267" t="s">
        <v>2537</v>
      </c>
      <c r="F1267" t="str">
        <f t="shared" si="57"/>
        <v>5101186</v>
      </c>
    </row>
    <row r="1268" spans="1:9" x14ac:dyDescent="0.25">
      <c r="A1268">
        <v>17717</v>
      </c>
      <c r="B1268" t="s">
        <v>7</v>
      </c>
      <c r="C1268" t="s">
        <v>2538</v>
      </c>
      <c r="D1268" t="str">
        <f t="shared" si="55"/>
        <v/>
      </c>
      <c r="E1268" t="s">
        <v>2539</v>
      </c>
      <c r="F1268" t="str">
        <f t="shared" si="57"/>
        <v>5101196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 t="shared" si="55"/>
        <v/>
      </c>
      <c r="E1269" t="s">
        <v>2541</v>
      </c>
      <c r="F1269" t="str">
        <f t="shared" si="57"/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 t="shared" si="55"/>
        <v/>
      </c>
      <c r="E1270" t="s">
        <v>2543</v>
      </c>
      <c r="F1270" t="str">
        <f t="shared" si="57"/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 t="shared" si="55"/>
        <v/>
      </c>
      <c r="E1271" t="s">
        <v>2545</v>
      </c>
      <c r="F1271" t="str">
        <f t="shared" si="57"/>
        <v>5101101</v>
      </c>
    </row>
    <row r="1272" spans="1:9" x14ac:dyDescent="0.25">
      <c r="A1272">
        <v>17726</v>
      </c>
      <c r="B1272" t="s">
        <v>7</v>
      </c>
      <c r="C1272" t="s">
        <v>2546</v>
      </c>
      <c r="D1272" t="str">
        <f t="shared" si="55"/>
        <v/>
      </c>
      <c r="E1272" t="s">
        <v>2547</v>
      </c>
      <c r="F1272" t="str">
        <f t="shared" si="57"/>
        <v>5101106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 t="shared" si="55"/>
        <v/>
      </c>
      <c r="E1273" t="s">
        <v>2549</v>
      </c>
      <c r="F1273" t="str">
        <f t="shared" si="57"/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 t="shared" si="55"/>
        <v/>
      </c>
      <c r="E1274" t="s">
        <v>2551</v>
      </c>
      <c r="F1274" t="str">
        <f t="shared" si="57"/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 t="shared" si="55"/>
        <v/>
      </c>
      <c r="E1275" t="s">
        <v>2553</v>
      </c>
      <c r="F1275" t="str">
        <f t="shared" si="57"/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 t="shared" ref="D1276:D1339" si="58">IF(RIGHT(LEFT(C1276,9),2)="##","",RIGHT(LEFT(C1276,10),2))</f>
        <v/>
      </c>
      <c r="E1276" t="s">
        <v>2555</v>
      </c>
      <c r="F1276" t="str">
        <f t="shared" si="57"/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 t="shared" si="58"/>
        <v/>
      </c>
      <c r="E1277" t="s">
        <v>2557</v>
      </c>
      <c r="F1277" t="str">
        <f t="shared" si="57"/>
        <v>5101106</v>
      </c>
    </row>
    <row r="1278" spans="1:9" x14ac:dyDescent="0.25">
      <c r="A1278">
        <v>17741</v>
      </c>
      <c r="B1278" t="s">
        <v>7</v>
      </c>
      <c r="C1278" t="s">
        <v>2558</v>
      </c>
      <c r="D1278" t="str">
        <f t="shared" si="58"/>
        <v/>
      </c>
      <c r="E1278" t="s">
        <v>2559</v>
      </c>
      <c r="F1278" t="s">
        <v>6942</v>
      </c>
      <c r="H1278">
        <v>6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 t="shared" si="58"/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 t="shared" si="58"/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 t="shared" si="58"/>
        <v/>
      </c>
      <c r="E1281" t="s">
        <v>2565</v>
      </c>
      <c r="F1281" t="str">
        <f>LEFT(C1281,7)</f>
        <v>1120506</v>
      </c>
    </row>
    <row r="1282" spans="1:9" x14ac:dyDescent="0.25">
      <c r="A1282">
        <v>17745</v>
      </c>
      <c r="B1282" t="s">
        <v>7</v>
      </c>
      <c r="C1282" t="s">
        <v>2566</v>
      </c>
      <c r="D1282" t="str">
        <f t="shared" si="58"/>
        <v/>
      </c>
      <c r="E1282" t="s">
        <v>2567</v>
      </c>
      <c r="F1282" t="s">
        <v>6939</v>
      </c>
      <c r="H1282">
        <v>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 t="shared" si="58"/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 t="shared" si="58"/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 t="shared" si="58"/>
        <v/>
      </c>
      <c r="E1285" t="s">
        <v>2573</v>
      </c>
      <c r="F1285" t="str">
        <f>LEFT(C1285,7)</f>
        <v>1120192</v>
      </c>
    </row>
    <row r="1286" spans="1:9" x14ac:dyDescent="0.25">
      <c r="A1286">
        <v>17749</v>
      </c>
      <c r="B1286" t="s">
        <v>7</v>
      </c>
      <c r="C1286" t="s">
        <v>2574</v>
      </c>
      <c r="D1286" t="str">
        <f t="shared" si="58"/>
        <v/>
      </c>
      <c r="E1286" t="s">
        <v>2575</v>
      </c>
      <c r="F1286" t="s">
        <v>6939</v>
      </c>
      <c r="H1286">
        <v>5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 t="shared" si="58"/>
        <v/>
      </c>
      <c r="E1287" t="s">
        <v>2577</v>
      </c>
      <c r="F1287" t="str">
        <f t="shared" ref="F1287:F1307" si="59"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 t="shared" si="58"/>
        <v/>
      </c>
      <c r="E1288" t="s">
        <v>2579</v>
      </c>
      <c r="F1288" t="str">
        <f t="shared" si="59"/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 t="shared" si="58"/>
        <v/>
      </c>
      <c r="E1289" t="s">
        <v>2581</v>
      </c>
      <c r="F1289" t="str">
        <f t="shared" si="59"/>
        <v>1120193</v>
      </c>
    </row>
    <row r="1290" spans="1:9" x14ac:dyDescent="0.25">
      <c r="A1290">
        <v>17753</v>
      </c>
      <c r="B1290" t="s">
        <v>7</v>
      </c>
      <c r="C1290" t="s">
        <v>2582</v>
      </c>
      <c r="D1290" t="str">
        <f t="shared" si="58"/>
        <v/>
      </c>
      <c r="E1290" t="s">
        <v>2583</v>
      </c>
      <c r="F1290" t="str">
        <f t="shared" si="59"/>
        <v>5101170</v>
      </c>
      <c r="H1290">
        <v>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 t="shared" si="58"/>
        <v/>
      </c>
      <c r="E1291" t="s">
        <v>2585</v>
      </c>
      <c r="F1291" t="str">
        <f t="shared" si="59"/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 t="shared" si="58"/>
        <v/>
      </c>
      <c r="E1292" t="s">
        <v>2587</v>
      </c>
      <c r="F1292" t="str">
        <f t="shared" si="59"/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 t="shared" si="58"/>
        <v/>
      </c>
      <c r="E1293" t="s">
        <v>2589</v>
      </c>
      <c r="F1293" t="str">
        <f t="shared" si="59"/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 t="shared" si="58"/>
        <v/>
      </c>
      <c r="E1294" t="s">
        <v>2591</v>
      </c>
      <c r="F1294" t="str">
        <f t="shared" si="59"/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 t="shared" si="58"/>
        <v/>
      </c>
      <c r="E1295" t="s">
        <v>2593</v>
      </c>
      <c r="F1295" t="str">
        <f t="shared" si="59"/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 t="shared" si="58"/>
        <v/>
      </c>
      <c r="E1296" t="s">
        <v>2595</v>
      </c>
      <c r="F1296" t="str">
        <f t="shared" si="59"/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 t="shared" si="58"/>
        <v/>
      </c>
      <c r="E1297" t="s">
        <v>2597</v>
      </c>
      <c r="F1297" t="str">
        <f t="shared" si="59"/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 t="shared" si="58"/>
        <v/>
      </c>
      <c r="E1298" t="s">
        <v>2599</v>
      </c>
      <c r="F1298" t="str">
        <f t="shared" si="59"/>
        <v>5101170</v>
      </c>
    </row>
    <row r="1299" spans="1:9" x14ac:dyDescent="0.25">
      <c r="A1299">
        <v>17762</v>
      </c>
      <c r="B1299" t="s">
        <v>7</v>
      </c>
      <c r="C1299" t="s">
        <v>2600</v>
      </c>
      <c r="D1299" t="str">
        <f t="shared" si="58"/>
        <v/>
      </c>
      <c r="E1299" t="s">
        <v>2601</v>
      </c>
      <c r="F1299" t="str">
        <f t="shared" si="59"/>
        <v>5101850</v>
      </c>
      <c r="H1299">
        <v>6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 t="shared" si="58"/>
        <v/>
      </c>
      <c r="E1300" t="s">
        <v>2603</v>
      </c>
      <c r="F1300" t="str">
        <f t="shared" si="59"/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 t="shared" si="58"/>
        <v/>
      </c>
      <c r="E1301" t="s">
        <v>2605</v>
      </c>
      <c r="F1301" t="str">
        <f t="shared" si="59"/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 t="shared" si="58"/>
        <v/>
      </c>
      <c r="E1302" t="s">
        <v>2607</v>
      </c>
      <c r="F1302" t="str">
        <f t="shared" si="59"/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 t="shared" si="58"/>
        <v/>
      </c>
      <c r="E1303" t="s">
        <v>2609</v>
      </c>
      <c r="F1303" t="str">
        <f t="shared" si="59"/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 t="shared" si="58"/>
        <v/>
      </c>
      <c r="E1304" t="s">
        <v>2611</v>
      </c>
      <c r="F1304" t="str">
        <f t="shared" si="59"/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 t="shared" si="58"/>
        <v/>
      </c>
      <c r="E1305" t="s">
        <v>2613</v>
      </c>
      <c r="F1305" t="str">
        <f t="shared" si="59"/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 t="shared" si="58"/>
        <v/>
      </c>
      <c r="E1306" t="s">
        <v>2615</v>
      </c>
      <c r="F1306" t="str">
        <f t="shared" si="59"/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 t="shared" si="58"/>
        <v/>
      </c>
      <c r="E1307" t="s">
        <v>2617</v>
      </c>
      <c r="F1307" t="str">
        <f t="shared" si="59"/>
        <v>5101850</v>
      </c>
    </row>
    <row r="1308" spans="1:9" x14ac:dyDescent="0.25">
      <c r="A1308">
        <v>17771</v>
      </c>
      <c r="B1308" t="s">
        <v>7</v>
      </c>
      <c r="C1308" t="s">
        <v>2618</v>
      </c>
      <c r="D1308" t="str">
        <f t="shared" si="58"/>
        <v/>
      </c>
      <c r="E1308" t="s">
        <v>2619</v>
      </c>
      <c r="F1308" t="s">
        <v>6935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 t="shared" si="58"/>
        <v/>
      </c>
      <c r="E1309" t="s">
        <v>2621</v>
      </c>
      <c r="F1309" t="str">
        <f t="shared" ref="F1309:F1350" si="60"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 t="shared" si="58"/>
        <v/>
      </c>
      <c r="E1310" t="s">
        <v>2623</v>
      </c>
      <c r="F1310" t="str">
        <f t="shared" si="60"/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 t="shared" si="58"/>
        <v/>
      </c>
      <c r="E1311" t="s">
        <v>2625</v>
      </c>
      <c r="F1311" t="str">
        <f t="shared" si="60"/>
        <v>1120264</v>
      </c>
    </row>
    <row r="1312" spans="1:9" x14ac:dyDescent="0.25">
      <c r="A1312">
        <v>17775</v>
      </c>
      <c r="B1312" t="s">
        <v>7</v>
      </c>
      <c r="C1312" t="s">
        <v>2626</v>
      </c>
      <c r="D1312" t="str">
        <f t="shared" si="58"/>
        <v/>
      </c>
      <c r="E1312" t="s">
        <v>2627</v>
      </c>
      <c r="F1312" t="str">
        <f t="shared" si="60"/>
        <v>2601004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 t="shared" si="58"/>
        <v/>
      </c>
      <c r="E1313" t="s">
        <v>2629</v>
      </c>
      <c r="F1313" t="str">
        <f t="shared" si="60"/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 t="shared" si="58"/>
        <v/>
      </c>
      <c r="E1314" t="s">
        <v>2631</v>
      </c>
      <c r="F1314" t="str">
        <f t="shared" si="60"/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 t="shared" si="58"/>
        <v/>
      </c>
      <c r="E1315" t="s">
        <v>2633</v>
      </c>
      <c r="F1315" t="str">
        <f t="shared" si="60"/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 t="shared" si="58"/>
        <v/>
      </c>
      <c r="E1316" t="s">
        <v>2635</v>
      </c>
      <c r="F1316" t="str">
        <f t="shared" si="60"/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 t="shared" si="58"/>
        <v/>
      </c>
      <c r="E1317" t="s">
        <v>2637</v>
      </c>
      <c r="F1317" t="str">
        <f t="shared" si="60"/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 t="shared" si="58"/>
        <v/>
      </c>
      <c r="E1318" t="s">
        <v>2639</v>
      </c>
      <c r="F1318" t="str">
        <f t="shared" si="60"/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 t="shared" si="58"/>
        <v/>
      </c>
      <c r="E1319" t="s">
        <v>2641</v>
      </c>
      <c r="F1319" t="str">
        <f t="shared" si="60"/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 t="shared" si="58"/>
        <v/>
      </c>
      <c r="E1320" t="s">
        <v>2643</v>
      </c>
      <c r="F1320" t="str">
        <f t="shared" si="60"/>
        <v>2601004</v>
      </c>
    </row>
    <row r="1321" spans="1:9" x14ac:dyDescent="0.25">
      <c r="A1321">
        <v>17787</v>
      </c>
      <c r="B1321" t="s">
        <v>7</v>
      </c>
      <c r="C1321" t="s">
        <v>2644</v>
      </c>
      <c r="D1321" t="str">
        <f t="shared" si="58"/>
        <v/>
      </c>
      <c r="E1321" t="s">
        <v>2645</v>
      </c>
      <c r="F1321" t="str">
        <f t="shared" si="60"/>
        <v>2601750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 t="shared" si="58"/>
        <v/>
      </c>
      <c r="E1322" t="s">
        <v>2647</v>
      </c>
      <c r="F1322" t="str">
        <f t="shared" si="60"/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 t="shared" si="58"/>
        <v/>
      </c>
      <c r="E1323" t="s">
        <v>2649</v>
      </c>
      <c r="F1323" t="str">
        <f t="shared" si="60"/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 t="shared" si="58"/>
        <v/>
      </c>
      <c r="E1324" t="s">
        <v>2651</v>
      </c>
      <c r="F1324" t="str">
        <f t="shared" si="60"/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 t="shared" si="58"/>
        <v/>
      </c>
      <c r="E1325" t="s">
        <v>2653</v>
      </c>
      <c r="F1325" t="str">
        <f t="shared" si="60"/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 t="shared" si="58"/>
        <v/>
      </c>
      <c r="E1326" t="s">
        <v>2655</v>
      </c>
      <c r="F1326" t="str">
        <f t="shared" si="60"/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 t="shared" si="58"/>
        <v/>
      </c>
      <c r="E1327" t="s">
        <v>2657</v>
      </c>
      <c r="F1327" t="str">
        <f t="shared" si="60"/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 t="shared" si="58"/>
        <v/>
      </c>
      <c r="E1328" t="s">
        <v>2659</v>
      </c>
      <c r="F1328" t="str">
        <f t="shared" si="60"/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 t="shared" si="58"/>
        <v/>
      </c>
      <c r="E1329" t="s">
        <v>2661</v>
      </c>
      <c r="F1329" t="str">
        <f t="shared" si="60"/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 t="shared" si="58"/>
        <v/>
      </c>
      <c r="E1330" t="s">
        <v>2663</v>
      </c>
      <c r="F1330" t="str">
        <f t="shared" si="60"/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 t="shared" si="58"/>
        <v/>
      </c>
      <c r="E1331" t="s">
        <v>2665</v>
      </c>
      <c r="F1331" t="str">
        <f t="shared" si="60"/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 t="shared" si="58"/>
        <v/>
      </c>
      <c r="E1332" t="s">
        <v>2667</v>
      </c>
      <c r="F1332" t="str">
        <f t="shared" si="60"/>
        <v>7707285</v>
      </c>
    </row>
    <row r="1333" spans="1:9" x14ac:dyDescent="0.25">
      <c r="A1333">
        <v>17808</v>
      </c>
      <c r="B1333" t="s">
        <v>7</v>
      </c>
      <c r="C1333" t="s">
        <v>2668</v>
      </c>
      <c r="D1333" t="str">
        <f t="shared" si="58"/>
        <v/>
      </c>
      <c r="E1333" t="s">
        <v>2669</v>
      </c>
      <c r="F1333" t="str">
        <f t="shared" si="60"/>
        <v>1120764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 t="shared" si="58"/>
        <v/>
      </c>
      <c r="E1334" t="s">
        <v>2671</v>
      </c>
      <c r="F1334" t="str">
        <f t="shared" si="60"/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 t="shared" si="58"/>
        <v/>
      </c>
      <c r="E1335" t="s">
        <v>2673</v>
      </c>
      <c r="F1335" t="str">
        <f t="shared" si="60"/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 t="shared" si="58"/>
        <v/>
      </c>
      <c r="E1336" t="s">
        <v>2675</v>
      </c>
      <c r="F1336" t="str">
        <f t="shared" si="60"/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 t="shared" si="58"/>
        <v/>
      </c>
      <c r="E1337" t="s">
        <v>2677</v>
      </c>
      <c r="F1337" t="str">
        <f t="shared" si="60"/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 t="shared" si="58"/>
        <v/>
      </c>
      <c r="E1338" t="s">
        <v>2679</v>
      </c>
      <c r="F1338" t="str">
        <f t="shared" si="60"/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 t="shared" si="58"/>
        <v/>
      </c>
      <c r="E1339" t="s">
        <v>2681</v>
      </c>
      <c r="F1339" t="str">
        <f t="shared" si="60"/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 t="shared" ref="D1340:D1403" si="61">IF(RIGHT(LEFT(C1340,9),2)="##","",RIGHT(LEFT(C1340,10),2))</f>
        <v/>
      </c>
      <c r="E1340" t="s">
        <v>2683</v>
      </c>
      <c r="F1340" t="str">
        <f t="shared" si="60"/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 t="shared" si="61"/>
        <v/>
      </c>
      <c r="E1341" t="s">
        <v>2685</v>
      </c>
      <c r="F1341" t="str">
        <f t="shared" si="60"/>
        <v>1120764</v>
      </c>
    </row>
    <row r="1342" spans="1:9" x14ac:dyDescent="0.25">
      <c r="A1342">
        <v>17820</v>
      </c>
      <c r="B1342" t="s">
        <v>7</v>
      </c>
      <c r="C1342" t="s">
        <v>2686</v>
      </c>
      <c r="D1342" t="str">
        <f t="shared" si="61"/>
        <v/>
      </c>
      <c r="E1342" t="s">
        <v>2687</v>
      </c>
      <c r="F1342" t="str">
        <f t="shared" si="60"/>
        <v>1120840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 t="shared" si="61"/>
        <v/>
      </c>
      <c r="E1343" t="s">
        <v>2689</v>
      </c>
      <c r="F1343" t="str">
        <f t="shared" si="60"/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 t="shared" si="61"/>
        <v/>
      </c>
      <c r="E1344" t="s">
        <v>2691</v>
      </c>
      <c r="F1344" t="str">
        <f t="shared" si="60"/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 t="shared" si="61"/>
        <v/>
      </c>
      <c r="E1345" t="s">
        <v>2693</v>
      </c>
      <c r="F1345" t="str">
        <f t="shared" si="60"/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 t="shared" si="61"/>
        <v/>
      </c>
      <c r="E1346" t="s">
        <v>2695</v>
      </c>
      <c r="F1346" t="str">
        <f t="shared" si="60"/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 t="shared" si="61"/>
        <v/>
      </c>
      <c r="E1347" t="s">
        <v>2697</v>
      </c>
      <c r="F1347" t="str">
        <f t="shared" si="60"/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 t="shared" si="61"/>
        <v/>
      </c>
      <c r="E1348" t="s">
        <v>2699</v>
      </c>
      <c r="F1348" t="str">
        <f t="shared" si="60"/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 t="shared" si="61"/>
        <v/>
      </c>
      <c r="E1349" t="s">
        <v>2701</v>
      </c>
      <c r="F1349" t="str">
        <f t="shared" si="60"/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 t="shared" si="61"/>
        <v/>
      </c>
      <c r="E1350" t="s">
        <v>2703</v>
      </c>
      <c r="F1350" t="str">
        <f t="shared" si="60"/>
        <v>1120840</v>
      </c>
    </row>
    <row r="1351" spans="1:9" x14ac:dyDescent="0.25">
      <c r="A1351">
        <v>17829</v>
      </c>
      <c r="B1351" t="s">
        <v>7</v>
      </c>
      <c r="C1351" t="s">
        <v>2704</v>
      </c>
      <c r="D1351" t="str">
        <f t="shared" si="61"/>
        <v/>
      </c>
      <c r="E1351" t="s">
        <v>2705</v>
      </c>
      <c r="F1351" t="s">
        <v>7004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 t="shared" si="61"/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 t="shared" si="61"/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 t="shared" si="61"/>
        <v/>
      </c>
      <c r="E1354" t="s">
        <v>2711</v>
      </c>
      <c r="F1354" t="str">
        <f>LEFT(C1354,7)</f>
        <v>1120485</v>
      </c>
    </row>
    <row r="1355" spans="1:9" x14ac:dyDescent="0.25">
      <c r="A1355">
        <v>17836</v>
      </c>
      <c r="B1355" t="s">
        <v>7</v>
      </c>
      <c r="C1355" t="s">
        <v>2712</v>
      </c>
      <c r="D1355" t="str">
        <f t="shared" si="61"/>
        <v/>
      </c>
      <c r="E1355" t="s">
        <v>2713</v>
      </c>
      <c r="F1355" t="s">
        <v>7002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 t="shared" si="61"/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 t="shared" si="61"/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 t="shared" si="61"/>
        <v/>
      </c>
      <c r="E1358" t="s">
        <v>2719</v>
      </c>
      <c r="F1358" t="str">
        <f>LEFT(C1358,7)</f>
        <v>1120772</v>
      </c>
    </row>
    <row r="1359" spans="1:9" x14ac:dyDescent="0.25">
      <c r="A1359">
        <v>17843</v>
      </c>
      <c r="B1359" t="s">
        <v>7</v>
      </c>
      <c r="C1359" t="s">
        <v>2720</v>
      </c>
      <c r="D1359" t="str">
        <f t="shared" si="61"/>
        <v/>
      </c>
      <c r="E1359" t="s">
        <v>2721</v>
      </c>
      <c r="F1359" t="s">
        <v>7002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 t="shared" si="61"/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 t="shared" si="61"/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 t="shared" si="61"/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 t="shared" si="61"/>
        <v/>
      </c>
      <c r="E1363" t="s">
        <v>2729</v>
      </c>
      <c r="F1363" t="str">
        <f>LEFT(C1363,7)</f>
        <v>1120771</v>
      </c>
    </row>
    <row r="1364" spans="1:9" x14ac:dyDescent="0.25">
      <c r="A1364">
        <v>17849</v>
      </c>
      <c r="B1364" t="s">
        <v>7</v>
      </c>
      <c r="C1364" t="s">
        <v>2730</v>
      </c>
      <c r="D1364" t="str">
        <f t="shared" si="61"/>
        <v/>
      </c>
      <c r="E1364" t="s">
        <v>2731</v>
      </c>
      <c r="F1364" t="s">
        <v>7003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 t="shared" si="61"/>
        <v/>
      </c>
      <c r="E1365" t="s">
        <v>2733</v>
      </c>
      <c r="F1365" t="str">
        <f t="shared" ref="F1365:F1376" si="62"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 t="shared" si="61"/>
        <v/>
      </c>
      <c r="E1366" t="s">
        <v>2735</v>
      </c>
      <c r="F1366" t="str">
        <f t="shared" si="62"/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 t="shared" si="61"/>
        <v/>
      </c>
      <c r="E1367" t="s">
        <v>2737</v>
      </c>
      <c r="F1367" t="str">
        <f t="shared" si="62"/>
        <v>1120841</v>
      </c>
    </row>
    <row r="1368" spans="1:9" x14ac:dyDescent="0.25">
      <c r="A1368">
        <v>17853</v>
      </c>
      <c r="B1368" t="s">
        <v>7</v>
      </c>
      <c r="C1368" t="s">
        <v>2738</v>
      </c>
      <c r="D1368" t="str">
        <f t="shared" si="61"/>
        <v/>
      </c>
      <c r="E1368" t="s">
        <v>2739</v>
      </c>
      <c r="F1368" t="str">
        <f t="shared" si="62"/>
        <v>1120856</v>
      </c>
      <c r="H1368">
        <v>4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 t="shared" si="61"/>
        <v/>
      </c>
      <c r="E1369" t="s">
        <v>2741</v>
      </c>
      <c r="F1369" t="str">
        <f t="shared" si="62"/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 t="shared" si="61"/>
        <v/>
      </c>
      <c r="E1370" t="s">
        <v>2743</v>
      </c>
      <c r="F1370" t="str">
        <f t="shared" si="62"/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 t="shared" si="61"/>
        <v/>
      </c>
      <c r="E1371" t="s">
        <v>2745</v>
      </c>
      <c r="F1371" t="str">
        <f t="shared" si="62"/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 t="shared" si="61"/>
        <v/>
      </c>
      <c r="E1372" t="s">
        <v>2747</v>
      </c>
      <c r="F1372" t="str">
        <f t="shared" si="62"/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 t="shared" si="61"/>
        <v/>
      </c>
      <c r="E1373" t="s">
        <v>2749</v>
      </c>
      <c r="F1373" t="str">
        <f t="shared" si="62"/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 t="shared" si="61"/>
        <v/>
      </c>
      <c r="E1374" t="s">
        <v>2751</v>
      </c>
      <c r="F1374" t="str">
        <f t="shared" si="62"/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 t="shared" si="61"/>
        <v/>
      </c>
      <c r="E1375" t="s">
        <v>2753</v>
      </c>
      <c r="F1375" t="str">
        <f t="shared" si="62"/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 t="shared" si="61"/>
        <v/>
      </c>
      <c r="E1376" t="s">
        <v>2755</v>
      </c>
      <c r="F1376" t="str">
        <f t="shared" si="62"/>
        <v>1120856</v>
      </c>
    </row>
    <row r="1377" spans="1:9" x14ac:dyDescent="0.25">
      <c r="A1377">
        <v>17866</v>
      </c>
      <c r="B1377" t="s">
        <v>7</v>
      </c>
      <c r="C1377" t="s">
        <v>2756</v>
      </c>
      <c r="D1377" t="str">
        <f t="shared" si="61"/>
        <v/>
      </c>
      <c r="E1377" t="s">
        <v>2757</v>
      </c>
      <c r="F1377" t="s">
        <v>6911</v>
      </c>
      <c r="H1377">
        <v>4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 t="shared" si="61"/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 t="shared" si="61"/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 t="shared" si="61"/>
        <v/>
      </c>
      <c r="E1380" t="s">
        <v>2763</v>
      </c>
      <c r="F1380" t="str">
        <f>LEFT(C1380,7)</f>
        <v>1120857</v>
      </c>
    </row>
    <row r="1381" spans="1:9" x14ac:dyDescent="0.25">
      <c r="A1381">
        <v>17870</v>
      </c>
      <c r="B1381" t="s">
        <v>7</v>
      </c>
      <c r="C1381" t="s">
        <v>2764</v>
      </c>
      <c r="D1381" t="str">
        <f t="shared" si="61"/>
        <v/>
      </c>
      <c r="E1381" t="s">
        <v>2765</v>
      </c>
      <c r="F1381" t="s">
        <v>6911</v>
      </c>
      <c r="H1381">
        <v>4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 t="shared" si="61"/>
        <v/>
      </c>
      <c r="E1382" t="s">
        <v>2767</v>
      </c>
      <c r="F1382" t="str">
        <f t="shared" ref="F1382:F1424" si="63"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 t="shared" si="61"/>
        <v/>
      </c>
      <c r="E1383" t="s">
        <v>2769</v>
      </c>
      <c r="F1383" t="str">
        <f t="shared" si="63"/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 t="shared" si="61"/>
        <v/>
      </c>
      <c r="E1384" t="s">
        <v>2771</v>
      </c>
      <c r="F1384" t="str">
        <f t="shared" si="63"/>
        <v>1120860</v>
      </c>
    </row>
    <row r="1385" spans="1:9" x14ac:dyDescent="0.25">
      <c r="A1385">
        <v>17874</v>
      </c>
      <c r="B1385" t="s">
        <v>7</v>
      </c>
      <c r="C1385" t="s">
        <v>2772</v>
      </c>
      <c r="D1385" t="str">
        <f t="shared" si="61"/>
        <v/>
      </c>
      <c r="E1385" t="s">
        <v>2773</v>
      </c>
      <c r="F1385" t="str">
        <f t="shared" si="63"/>
        <v>5101654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 t="shared" si="61"/>
        <v/>
      </c>
      <c r="E1386" t="s">
        <v>2775</v>
      </c>
      <c r="F1386" t="str">
        <f t="shared" si="63"/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 t="shared" si="61"/>
        <v/>
      </c>
      <c r="E1387" t="s">
        <v>2777</v>
      </c>
      <c r="F1387" t="str">
        <f t="shared" si="63"/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 t="shared" si="61"/>
        <v/>
      </c>
      <c r="E1388" t="s">
        <v>2779</v>
      </c>
      <c r="F1388" t="str">
        <f t="shared" si="63"/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 t="shared" si="61"/>
        <v/>
      </c>
      <c r="E1389" t="s">
        <v>2781</v>
      </c>
      <c r="F1389" t="str">
        <f t="shared" si="63"/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 t="shared" si="61"/>
        <v/>
      </c>
      <c r="E1390" t="s">
        <v>2783</v>
      </c>
      <c r="F1390" t="str">
        <f t="shared" si="63"/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 t="shared" si="61"/>
        <v/>
      </c>
      <c r="E1391" t="s">
        <v>2785</v>
      </c>
      <c r="F1391" t="str">
        <f t="shared" si="63"/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 t="shared" si="61"/>
        <v/>
      </c>
      <c r="E1392" t="s">
        <v>2787</v>
      </c>
      <c r="F1392" t="str">
        <f t="shared" si="63"/>
        <v>5101654</v>
      </c>
    </row>
    <row r="1393" spans="1:9" x14ac:dyDescent="0.25">
      <c r="A1393">
        <v>17882</v>
      </c>
      <c r="B1393" t="s">
        <v>7</v>
      </c>
      <c r="C1393" t="s">
        <v>2788</v>
      </c>
      <c r="D1393" t="str">
        <f t="shared" si="61"/>
        <v/>
      </c>
      <c r="E1393" t="s">
        <v>2789</v>
      </c>
      <c r="F1393" t="str">
        <f t="shared" si="63"/>
        <v>5101863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 t="shared" si="61"/>
        <v/>
      </c>
      <c r="E1394" t="s">
        <v>2791</v>
      </c>
      <c r="F1394" t="str">
        <f t="shared" si="63"/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 t="shared" si="61"/>
        <v/>
      </c>
      <c r="E1395" t="s">
        <v>2793</v>
      </c>
      <c r="F1395" t="str">
        <f t="shared" si="63"/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 t="shared" si="61"/>
        <v/>
      </c>
      <c r="E1396" t="s">
        <v>2795</v>
      </c>
      <c r="F1396" t="str">
        <f t="shared" si="63"/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 t="shared" si="61"/>
        <v/>
      </c>
      <c r="E1397" t="s">
        <v>2797</v>
      </c>
      <c r="F1397" t="str">
        <f t="shared" si="63"/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 t="shared" si="61"/>
        <v/>
      </c>
      <c r="E1398" t="s">
        <v>2799</v>
      </c>
      <c r="F1398" t="str">
        <f t="shared" si="63"/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 t="shared" si="61"/>
        <v/>
      </c>
      <c r="E1399" t="s">
        <v>2801</v>
      </c>
      <c r="F1399" t="str">
        <f t="shared" si="63"/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 t="shared" si="61"/>
        <v/>
      </c>
      <c r="E1400" t="s">
        <v>2803</v>
      </c>
      <c r="F1400" t="str">
        <f t="shared" si="63"/>
        <v>5101863</v>
      </c>
    </row>
    <row r="1401" spans="1:9" x14ac:dyDescent="0.25">
      <c r="A1401">
        <v>17890</v>
      </c>
      <c r="B1401" t="s">
        <v>7</v>
      </c>
      <c r="C1401" t="s">
        <v>2804</v>
      </c>
      <c r="D1401" t="str">
        <f t="shared" si="61"/>
        <v/>
      </c>
      <c r="E1401" t="s">
        <v>2805</v>
      </c>
      <c r="F1401" t="str">
        <f t="shared" si="63"/>
        <v>5101855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 t="shared" si="61"/>
        <v/>
      </c>
      <c r="E1402" t="s">
        <v>2807</v>
      </c>
      <c r="F1402" t="str">
        <f t="shared" si="63"/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 t="shared" si="61"/>
        <v/>
      </c>
      <c r="E1403" t="s">
        <v>2809</v>
      </c>
      <c r="F1403" t="str">
        <f t="shared" si="63"/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 t="shared" ref="D1404:D1467" si="64">IF(RIGHT(LEFT(C1404,9),2)="##","",RIGHT(LEFT(C1404,10),2))</f>
        <v/>
      </c>
      <c r="E1404" t="s">
        <v>2811</v>
      </c>
      <c r="F1404" t="str">
        <f t="shared" si="63"/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 t="shared" si="64"/>
        <v/>
      </c>
      <c r="E1405" t="s">
        <v>2813</v>
      </c>
      <c r="F1405" t="str">
        <f t="shared" si="63"/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 t="shared" si="64"/>
        <v/>
      </c>
      <c r="E1406" t="s">
        <v>2815</v>
      </c>
      <c r="F1406" t="str">
        <f t="shared" si="63"/>
        <v>5101855</v>
      </c>
    </row>
    <row r="1407" spans="1:9" x14ac:dyDescent="0.25">
      <c r="A1407">
        <v>17900</v>
      </c>
      <c r="B1407" t="s">
        <v>7</v>
      </c>
      <c r="C1407" t="s">
        <v>2816</v>
      </c>
      <c r="D1407" t="str">
        <f t="shared" si="64"/>
        <v/>
      </c>
      <c r="E1407" t="s">
        <v>2817</v>
      </c>
      <c r="F1407" t="str">
        <f t="shared" si="63"/>
        <v>1120003</v>
      </c>
      <c r="H1407">
        <v>9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 t="shared" si="64"/>
        <v/>
      </c>
      <c r="E1408" t="s">
        <v>2819</v>
      </c>
      <c r="F1408" t="str">
        <f t="shared" si="63"/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 t="shared" si="64"/>
        <v/>
      </c>
      <c r="E1409" t="s">
        <v>2821</v>
      </c>
      <c r="F1409" t="str">
        <f t="shared" si="63"/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 t="shared" si="64"/>
        <v/>
      </c>
      <c r="E1410" t="s">
        <v>2823</v>
      </c>
      <c r="F1410" t="str">
        <f t="shared" si="63"/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 t="shared" si="64"/>
        <v/>
      </c>
      <c r="E1411" t="s">
        <v>2825</v>
      </c>
      <c r="F1411" t="str">
        <f t="shared" si="63"/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 t="shared" si="64"/>
        <v/>
      </c>
      <c r="E1412" t="s">
        <v>2827</v>
      </c>
      <c r="F1412" t="str">
        <f t="shared" si="63"/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 t="shared" si="64"/>
        <v/>
      </c>
      <c r="E1413" t="s">
        <v>2829</v>
      </c>
      <c r="F1413" t="str">
        <f t="shared" si="63"/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 t="shared" si="64"/>
        <v/>
      </c>
      <c r="E1414" t="s">
        <v>2831</v>
      </c>
      <c r="F1414" t="str">
        <f t="shared" si="63"/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 t="shared" si="64"/>
        <v/>
      </c>
      <c r="E1415" t="s">
        <v>2833</v>
      </c>
      <c r="F1415" t="str">
        <f t="shared" si="63"/>
        <v>1120003</v>
      </c>
    </row>
    <row r="1416" spans="1:9" x14ac:dyDescent="0.25">
      <c r="A1416">
        <v>17913</v>
      </c>
      <c r="B1416" t="s">
        <v>7</v>
      </c>
      <c r="C1416" t="s">
        <v>2834</v>
      </c>
      <c r="D1416" t="str">
        <f t="shared" si="64"/>
        <v/>
      </c>
      <c r="E1416" t="s">
        <v>2835</v>
      </c>
      <c r="F1416" t="str">
        <f t="shared" si="63"/>
        <v>1120206</v>
      </c>
      <c r="H1416">
        <v>9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 t="shared" si="64"/>
        <v/>
      </c>
      <c r="E1417" t="s">
        <v>2837</v>
      </c>
      <c r="F1417" t="str">
        <f t="shared" si="63"/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 t="shared" si="64"/>
        <v/>
      </c>
      <c r="E1418" t="s">
        <v>2839</v>
      </c>
      <c r="F1418" t="str">
        <f t="shared" si="63"/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 t="shared" si="64"/>
        <v/>
      </c>
      <c r="E1419" t="s">
        <v>2841</v>
      </c>
      <c r="F1419" t="str">
        <f t="shared" si="63"/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 t="shared" si="64"/>
        <v/>
      </c>
      <c r="E1420" t="s">
        <v>2843</v>
      </c>
      <c r="F1420" t="str">
        <f t="shared" si="63"/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 t="shared" si="64"/>
        <v/>
      </c>
      <c r="E1421" t="s">
        <v>2845</v>
      </c>
      <c r="F1421" t="str">
        <f t="shared" si="63"/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 t="shared" si="64"/>
        <v/>
      </c>
      <c r="E1422" t="s">
        <v>2847</v>
      </c>
      <c r="F1422" t="str">
        <f t="shared" si="63"/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 t="shared" si="64"/>
        <v/>
      </c>
      <c r="E1423" t="s">
        <v>2849</v>
      </c>
      <c r="F1423" t="str">
        <f t="shared" si="63"/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 t="shared" si="64"/>
        <v/>
      </c>
      <c r="E1424" t="s">
        <v>2851</v>
      </c>
      <c r="F1424" t="str">
        <f t="shared" si="63"/>
        <v>1120206</v>
      </c>
    </row>
    <row r="1425" spans="1:9" x14ac:dyDescent="0.25">
      <c r="A1425">
        <v>17926</v>
      </c>
      <c r="B1425" t="s">
        <v>7</v>
      </c>
      <c r="C1425" t="s">
        <v>2852</v>
      </c>
      <c r="D1425" t="str">
        <f t="shared" si="64"/>
        <v/>
      </c>
      <c r="E1425" t="s">
        <v>2853</v>
      </c>
      <c r="F1425" t="s">
        <v>6908</v>
      </c>
      <c r="H1425">
        <v>9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 t="shared" si="64"/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 t="shared" si="64"/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 t="shared" si="64"/>
        <v/>
      </c>
      <c r="E1428" t="s">
        <v>2859</v>
      </c>
      <c r="F1428" t="str">
        <f>LEFT(C1428,7)</f>
        <v>1120107</v>
      </c>
    </row>
    <row r="1429" spans="1:9" x14ac:dyDescent="0.25">
      <c r="A1429">
        <v>17930</v>
      </c>
      <c r="B1429" t="s">
        <v>7</v>
      </c>
      <c r="C1429" t="s">
        <v>2860</v>
      </c>
      <c r="D1429" t="str">
        <f t="shared" si="64"/>
        <v/>
      </c>
      <c r="E1429" t="s">
        <v>2861</v>
      </c>
      <c r="F1429" t="s">
        <v>6908</v>
      </c>
      <c r="H1429">
        <v>9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 t="shared" si="64"/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 t="shared" si="64"/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 t="shared" si="64"/>
        <v/>
      </c>
      <c r="E1432" t="s">
        <v>2867</v>
      </c>
      <c r="F1432" t="str">
        <f>LEFT(C1432,7)</f>
        <v>1120110</v>
      </c>
    </row>
    <row r="1433" spans="1:9" x14ac:dyDescent="0.25">
      <c r="A1433">
        <v>17934</v>
      </c>
      <c r="B1433" t="s">
        <v>7</v>
      </c>
      <c r="C1433" t="s">
        <v>2868</v>
      </c>
      <c r="D1433" t="str">
        <f t="shared" si="64"/>
        <v/>
      </c>
      <c r="E1433" t="s">
        <v>2869</v>
      </c>
      <c r="F1433" t="s">
        <v>6909</v>
      </c>
      <c r="H1433">
        <v>9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 t="shared" si="64"/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 t="shared" si="64"/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 t="shared" si="64"/>
        <v/>
      </c>
      <c r="E1436" t="s">
        <v>2875</v>
      </c>
      <c r="F1436" t="str">
        <f>LEFT(C1436,7)</f>
        <v>1120207</v>
      </c>
    </row>
    <row r="1437" spans="1:9" x14ac:dyDescent="0.25">
      <c r="A1437">
        <v>17938</v>
      </c>
      <c r="B1437" t="s">
        <v>7</v>
      </c>
      <c r="C1437" t="s">
        <v>2876</v>
      </c>
      <c r="D1437" t="str">
        <f t="shared" si="64"/>
        <v/>
      </c>
      <c r="E1437" t="s">
        <v>2877</v>
      </c>
      <c r="F1437" t="s">
        <v>6909</v>
      </c>
      <c r="H1437">
        <v>9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 t="shared" si="64"/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 t="shared" si="64"/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 t="shared" si="64"/>
        <v/>
      </c>
      <c r="E1440" t="s">
        <v>2883</v>
      </c>
      <c r="F1440" t="str">
        <f>LEFT(C1440,7)</f>
        <v>1120208</v>
      </c>
    </row>
    <row r="1441" spans="1:9" x14ac:dyDescent="0.25">
      <c r="A1441">
        <v>17942</v>
      </c>
      <c r="B1441" t="s">
        <v>7</v>
      </c>
      <c r="C1441" t="s">
        <v>2884</v>
      </c>
      <c r="D1441" t="str">
        <f t="shared" si="64"/>
        <v/>
      </c>
      <c r="E1441" t="s">
        <v>2885</v>
      </c>
      <c r="F1441" t="s">
        <v>6907</v>
      </c>
      <c r="H1441">
        <v>9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 t="shared" si="64"/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 t="shared" si="64"/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 t="shared" si="64"/>
        <v/>
      </c>
      <c r="E1444" t="s">
        <v>2891</v>
      </c>
      <c r="F1444" t="str">
        <f>LEFT(C1444,7)</f>
        <v>1120004</v>
      </c>
    </row>
    <row r="1445" spans="1:9" x14ac:dyDescent="0.25">
      <c r="A1445">
        <v>17946</v>
      </c>
      <c r="B1445" t="s">
        <v>7</v>
      </c>
      <c r="C1445" t="s">
        <v>2892</v>
      </c>
      <c r="D1445" t="str">
        <f t="shared" si="64"/>
        <v/>
      </c>
      <c r="E1445" t="s">
        <v>2893</v>
      </c>
      <c r="F1445" t="s">
        <v>6907</v>
      </c>
      <c r="H1445">
        <v>9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 t="shared" si="64"/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 t="shared" si="64"/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 t="shared" si="64"/>
        <v/>
      </c>
      <c r="E1448" t="s">
        <v>2899</v>
      </c>
      <c r="F1448" t="str">
        <f>LEFT(C1448,7)</f>
        <v>1120005</v>
      </c>
    </row>
    <row r="1449" spans="1:9" x14ac:dyDescent="0.25">
      <c r="A1449">
        <v>17950</v>
      </c>
      <c r="B1449" t="s">
        <v>7</v>
      </c>
      <c r="C1449" t="s">
        <v>2900</v>
      </c>
      <c r="D1449" t="str">
        <f t="shared" si="64"/>
        <v/>
      </c>
      <c r="E1449" t="s">
        <v>2901</v>
      </c>
      <c r="F1449" t="s">
        <v>6907</v>
      </c>
      <c r="H1449">
        <v>9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 t="shared" si="64"/>
        <v/>
      </c>
      <c r="E1450" t="s">
        <v>2903</v>
      </c>
      <c r="F1450" t="str">
        <f t="shared" ref="F1450:F1470" si="65"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 t="shared" si="64"/>
        <v/>
      </c>
      <c r="E1451" t="s">
        <v>2905</v>
      </c>
      <c r="F1451" t="str">
        <f t="shared" si="65"/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 t="shared" si="64"/>
        <v/>
      </c>
      <c r="E1452" t="s">
        <v>2907</v>
      </c>
      <c r="F1452" t="str">
        <f t="shared" si="65"/>
        <v>1120006</v>
      </c>
    </row>
    <row r="1453" spans="1:9" x14ac:dyDescent="0.25">
      <c r="A1453">
        <v>17954</v>
      </c>
      <c r="B1453" t="s">
        <v>7</v>
      </c>
      <c r="C1453" t="s">
        <v>2908</v>
      </c>
      <c r="D1453" t="str">
        <f t="shared" si="64"/>
        <v/>
      </c>
      <c r="E1453" t="s">
        <v>2909</v>
      </c>
      <c r="F1453" t="str">
        <f t="shared" si="65"/>
        <v>5101888</v>
      </c>
      <c r="H1453">
        <v>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 t="shared" si="64"/>
        <v/>
      </c>
      <c r="E1454" t="s">
        <v>2911</v>
      </c>
      <c r="F1454" t="str">
        <f t="shared" si="65"/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 t="shared" si="64"/>
        <v/>
      </c>
      <c r="E1455" t="s">
        <v>2913</v>
      </c>
      <c r="F1455" t="str">
        <f t="shared" si="65"/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 t="shared" si="64"/>
        <v/>
      </c>
      <c r="E1456" t="s">
        <v>2915</v>
      </c>
      <c r="F1456" t="str">
        <f t="shared" si="65"/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 t="shared" si="64"/>
        <v/>
      </c>
      <c r="E1457" t="s">
        <v>2917</v>
      </c>
      <c r="F1457" t="str">
        <f t="shared" si="65"/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 t="shared" si="64"/>
        <v/>
      </c>
      <c r="E1458" t="s">
        <v>2919</v>
      </c>
      <c r="F1458" t="str">
        <f t="shared" si="65"/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 t="shared" si="64"/>
        <v/>
      </c>
      <c r="E1459" t="s">
        <v>2921</v>
      </c>
      <c r="F1459" t="str">
        <f t="shared" si="65"/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 t="shared" si="64"/>
        <v/>
      </c>
      <c r="E1460" t="s">
        <v>2923</v>
      </c>
      <c r="F1460" t="str">
        <f t="shared" si="65"/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 t="shared" si="64"/>
        <v/>
      </c>
      <c r="E1461" t="s">
        <v>2925</v>
      </c>
      <c r="F1461" t="str">
        <f t="shared" si="65"/>
        <v>5101888</v>
      </c>
    </row>
    <row r="1462" spans="1:9" x14ac:dyDescent="0.25">
      <c r="A1462">
        <v>17970</v>
      </c>
      <c r="B1462" t="s">
        <v>7</v>
      </c>
      <c r="C1462" t="s">
        <v>2926</v>
      </c>
      <c r="D1462" t="str">
        <f t="shared" si="64"/>
        <v/>
      </c>
      <c r="E1462" t="s">
        <v>2927</v>
      </c>
      <c r="F1462" t="str">
        <f t="shared" si="65"/>
        <v>5101777</v>
      </c>
      <c r="H1462">
        <v>8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 t="shared" si="64"/>
        <v/>
      </c>
      <c r="E1463" t="s">
        <v>2929</v>
      </c>
      <c r="F1463" t="str">
        <f t="shared" si="65"/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 t="shared" si="64"/>
        <v/>
      </c>
      <c r="E1464" t="s">
        <v>2931</v>
      </c>
      <c r="F1464" t="str">
        <f t="shared" si="65"/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 t="shared" si="64"/>
        <v/>
      </c>
      <c r="E1465" t="s">
        <v>2933</v>
      </c>
      <c r="F1465" t="str">
        <f t="shared" si="65"/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 t="shared" si="64"/>
        <v/>
      </c>
      <c r="E1466" t="s">
        <v>2935</v>
      </c>
      <c r="F1466" t="str">
        <f t="shared" si="65"/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 t="shared" si="64"/>
        <v/>
      </c>
      <c r="E1467" t="s">
        <v>2937</v>
      </c>
      <c r="F1467" t="str">
        <f t="shared" si="65"/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 t="shared" ref="D1468:D1531" si="66">IF(RIGHT(LEFT(C1468,9),2)="##","",RIGHT(LEFT(C1468,10),2))</f>
        <v/>
      </c>
      <c r="E1468" t="s">
        <v>2939</v>
      </c>
      <c r="F1468" t="str">
        <f t="shared" si="65"/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 t="shared" si="66"/>
        <v/>
      </c>
      <c r="E1469" t="s">
        <v>2941</v>
      </c>
      <c r="F1469" t="str">
        <f t="shared" si="65"/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 t="shared" si="66"/>
        <v/>
      </c>
      <c r="E1470" t="s">
        <v>2943</v>
      </c>
      <c r="F1470" t="str">
        <f t="shared" si="65"/>
        <v>5101777</v>
      </c>
    </row>
    <row r="1471" spans="1:9" x14ac:dyDescent="0.25">
      <c r="A1471">
        <v>17979</v>
      </c>
      <c r="B1471" t="s">
        <v>7</v>
      </c>
      <c r="C1471" t="s">
        <v>2944</v>
      </c>
      <c r="D1471" t="str">
        <f t="shared" si="66"/>
        <v/>
      </c>
      <c r="E1471" t="s">
        <v>2945</v>
      </c>
      <c r="F1471" t="s">
        <v>6976</v>
      </c>
      <c r="H1471">
        <v>9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 t="shared" si="66"/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 t="shared" si="66"/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 t="shared" si="66"/>
        <v/>
      </c>
      <c r="E1474" t="s">
        <v>2951</v>
      </c>
      <c r="F1474" t="str">
        <f>LEFT(C1474,7)</f>
        <v>5101889</v>
      </c>
    </row>
    <row r="1475" spans="1:9" x14ac:dyDescent="0.25">
      <c r="A1475">
        <v>17983</v>
      </c>
      <c r="B1475" t="s">
        <v>7</v>
      </c>
      <c r="C1475" t="s">
        <v>2952</v>
      </c>
      <c r="D1475" t="str">
        <f t="shared" si="66"/>
        <v/>
      </c>
      <c r="E1475" t="s">
        <v>2953</v>
      </c>
      <c r="F1475" t="s">
        <v>6975</v>
      </c>
      <c r="H1475">
        <v>8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 t="shared" si="66"/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 t="shared" si="66"/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 t="shared" si="66"/>
        <v/>
      </c>
      <c r="E1478" t="s">
        <v>2959</v>
      </c>
      <c r="F1478" t="str">
        <f>LEFT(C1478,7)</f>
        <v>5101778</v>
      </c>
    </row>
    <row r="1479" spans="1:9" x14ac:dyDescent="0.25">
      <c r="A1479">
        <v>17987</v>
      </c>
      <c r="B1479" t="s">
        <v>7</v>
      </c>
      <c r="C1479" t="s">
        <v>2960</v>
      </c>
      <c r="D1479" t="str">
        <f t="shared" si="66"/>
        <v/>
      </c>
      <c r="E1479" t="s">
        <v>2961</v>
      </c>
      <c r="F1479" t="s">
        <v>7005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 t="shared" si="66"/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 t="shared" si="66"/>
        <v/>
      </c>
      <c r="E1481" t="s">
        <v>2965</v>
      </c>
      <c r="F1481" t="str">
        <f>LEFT(C1481,7)</f>
        <v>2101499</v>
      </c>
    </row>
    <row r="1482" spans="1:9" x14ac:dyDescent="0.25">
      <c r="A1482">
        <v>17990</v>
      </c>
      <c r="B1482" t="s">
        <v>7</v>
      </c>
      <c r="C1482" t="s">
        <v>2966</v>
      </c>
      <c r="D1482" t="str">
        <f t="shared" si="66"/>
        <v/>
      </c>
      <c r="E1482" t="s">
        <v>2967</v>
      </c>
      <c r="F1482" t="s">
        <v>7009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 t="shared" si="66"/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 t="shared" si="66"/>
        <v/>
      </c>
      <c r="E1484" t="s">
        <v>2971</v>
      </c>
      <c r="F1484" t="str">
        <f>LEFT(C1484,7)</f>
        <v>2101999</v>
      </c>
    </row>
    <row r="1485" spans="1:9" x14ac:dyDescent="0.25">
      <c r="A1485">
        <v>17993</v>
      </c>
      <c r="B1485" t="s">
        <v>7</v>
      </c>
      <c r="C1485" t="s">
        <v>2972</v>
      </c>
      <c r="D1485" t="str">
        <f t="shared" si="66"/>
        <v/>
      </c>
      <c r="E1485" t="s">
        <v>2973</v>
      </c>
      <c r="F1485" t="s">
        <v>7008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 t="shared" si="66"/>
        <v/>
      </c>
      <c r="E1486" t="s">
        <v>2975</v>
      </c>
      <c r="F1486" t="str">
        <f t="shared" ref="F1486:F1500" si="67"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 t="shared" si="66"/>
        <v/>
      </c>
      <c r="E1487" t="s">
        <v>2977</v>
      </c>
      <c r="F1487" t="str">
        <f t="shared" si="67"/>
        <v>2101799</v>
      </c>
    </row>
    <row r="1488" spans="1:9" x14ac:dyDescent="0.25">
      <c r="A1488">
        <v>17996</v>
      </c>
      <c r="B1488" t="s">
        <v>7</v>
      </c>
      <c r="C1488" t="s">
        <v>2978</v>
      </c>
      <c r="D1488" t="str">
        <f t="shared" si="66"/>
        <v/>
      </c>
      <c r="E1488" t="s">
        <v>2979</v>
      </c>
      <c r="F1488" t="str">
        <f t="shared" si="67"/>
        <v>8703925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 t="shared" si="66"/>
        <v/>
      </c>
      <c r="E1489" t="s">
        <v>2981</v>
      </c>
      <c r="F1489" t="str">
        <f t="shared" si="67"/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 t="shared" si="66"/>
        <v/>
      </c>
      <c r="E1490" t="s">
        <v>2983</v>
      </c>
      <c r="F1490" t="str">
        <f t="shared" si="67"/>
        <v>8703925</v>
      </c>
    </row>
    <row r="1491" spans="1:9" x14ac:dyDescent="0.25">
      <c r="A1491">
        <v>18004</v>
      </c>
      <c r="B1491" t="s">
        <v>7</v>
      </c>
      <c r="C1491" t="s">
        <v>2984</v>
      </c>
      <c r="D1491" t="str">
        <f t="shared" si="66"/>
        <v/>
      </c>
      <c r="E1491" t="s">
        <v>2985</v>
      </c>
      <c r="F1491" t="str">
        <f t="shared" si="67"/>
        <v>8703926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 t="shared" si="66"/>
        <v/>
      </c>
      <c r="E1492" t="s">
        <v>2987</v>
      </c>
      <c r="F1492" t="str">
        <f t="shared" si="67"/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 t="shared" si="66"/>
        <v/>
      </c>
      <c r="E1493" t="s">
        <v>2989</v>
      </c>
      <c r="F1493" t="str">
        <f t="shared" si="67"/>
        <v>8703926</v>
      </c>
    </row>
    <row r="1494" spans="1:9" x14ac:dyDescent="0.25">
      <c r="A1494">
        <v>18012</v>
      </c>
      <c r="B1494" t="s">
        <v>7</v>
      </c>
      <c r="C1494" t="s">
        <v>2990</v>
      </c>
      <c r="D1494" t="str">
        <f t="shared" si="66"/>
        <v/>
      </c>
      <c r="E1494" t="s">
        <v>2991</v>
      </c>
      <c r="F1494" t="str">
        <f t="shared" si="67"/>
        <v>4120854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 t="shared" si="66"/>
        <v/>
      </c>
      <c r="E1495" t="s">
        <v>2993</v>
      </c>
      <c r="F1495" t="str">
        <f t="shared" si="67"/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 t="shared" si="66"/>
        <v/>
      </c>
      <c r="E1496" t="s">
        <v>2995</v>
      </c>
      <c r="F1496" t="str">
        <f t="shared" si="67"/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 t="shared" si="66"/>
        <v/>
      </c>
      <c r="E1497" t="s">
        <v>2997</v>
      </c>
      <c r="F1497" t="str">
        <f t="shared" si="67"/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 t="shared" si="66"/>
        <v/>
      </c>
      <c r="E1498" t="s">
        <v>2999</v>
      </c>
      <c r="F1498" t="str">
        <f t="shared" si="67"/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 t="shared" si="66"/>
        <v/>
      </c>
      <c r="E1499" t="s">
        <v>3001</v>
      </c>
      <c r="F1499" t="str">
        <f t="shared" si="67"/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 t="shared" si="66"/>
        <v/>
      </c>
      <c r="E1500" t="s">
        <v>3003</v>
      </c>
      <c r="F1500" t="str">
        <f t="shared" si="67"/>
        <v>4120854</v>
      </c>
    </row>
    <row r="1501" spans="1:9" x14ac:dyDescent="0.25">
      <c r="A1501">
        <v>18021</v>
      </c>
      <c r="B1501" t="s">
        <v>7</v>
      </c>
      <c r="C1501" t="s">
        <v>3004</v>
      </c>
      <c r="D1501" t="str">
        <f t="shared" si="66"/>
        <v/>
      </c>
      <c r="E1501" t="s">
        <v>3005</v>
      </c>
      <c r="F1501" t="s">
        <v>6957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 t="shared" si="66"/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 t="shared" si="66"/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 t="shared" si="66"/>
        <v/>
      </c>
      <c r="E1504" t="s">
        <v>3011</v>
      </c>
      <c r="F1504" t="str">
        <f>LEFT(C1504,7)</f>
        <v>4120334</v>
      </c>
    </row>
    <row r="1505" spans="1:9" x14ac:dyDescent="0.25">
      <c r="A1505">
        <v>18025</v>
      </c>
      <c r="B1505" t="s">
        <v>7</v>
      </c>
      <c r="C1505" t="s">
        <v>3012</v>
      </c>
      <c r="D1505" t="str">
        <f t="shared" si="66"/>
        <v/>
      </c>
      <c r="E1505" t="s">
        <v>3013</v>
      </c>
      <c r="F1505" t="s">
        <v>6957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 t="shared" si="66"/>
        <v/>
      </c>
      <c r="E1506" t="s">
        <v>3015</v>
      </c>
      <c r="F1506" t="str">
        <f t="shared" ref="F1506:F1516" si="68"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 t="shared" si="66"/>
        <v/>
      </c>
      <c r="E1507" t="s">
        <v>3017</v>
      </c>
      <c r="F1507" t="str">
        <f t="shared" si="68"/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 t="shared" si="66"/>
        <v/>
      </c>
      <c r="E1508" t="s">
        <v>3019</v>
      </c>
      <c r="F1508" t="str">
        <f t="shared" si="68"/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 t="shared" si="66"/>
        <v/>
      </c>
      <c r="E1509" t="s">
        <v>3021</v>
      </c>
      <c r="F1509" t="str">
        <f t="shared" si="68"/>
        <v>8520064</v>
      </c>
    </row>
    <row r="1510" spans="1:9" x14ac:dyDescent="0.25">
      <c r="A1510">
        <v>18036</v>
      </c>
      <c r="B1510" t="s">
        <v>7</v>
      </c>
      <c r="C1510" t="s">
        <v>3022</v>
      </c>
      <c r="D1510" t="str">
        <f t="shared" si="66"/>
        <v/>
      </c>
      <c r="E1510" t="s">
        <v>3023</v>
      </c>
      <c r="F1510" t="str">
        <f t="shared" si="68"/>
        <v>4120982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 t="shared" si="66"/>
        <v/>
      </c>
      <c r="E1511" t="s">
        <v>3025</v>
      </c>
      <c r="F1511" t="str">
        <f t="shared" si="68"/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 t="shared" si="66"/>
        <v/>
      </c>
      <c r="E1512" t="s">
        <v>3027</v>
      </c>
      <c r="F1512" t="str">
        <f t="shared" si="68"/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 t="shared" si="66"/>
        <v/>
      </c>
      <c r="E1513" t="s">
        <v>3029</v>
      </c>
      <c r="F1513" t="str">
        <f t="shared" si="68"/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 t="shared" si="66"/>
        <v/>
      </c>
      <c r="E1514" t="s">
        <v>3031</v>
      </c>
      <c r="F1514" t="str">
        <f t="shared" si="68"/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 t="shared" si="66"/>
        <v/>
      </c>
      <c r="E1515" t="s">
        <v>3033</v>
      </c>
      <c r="F1515" t="str">
        <f t="shared" si="68"/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 t="shared" si="66"/>
        <v/>
      </c>
      <c r="E1516" t="s">
        <v>3035</v>
      </c>
      <c r="F1516" t="str">
        <f t="shared" si="68"/>
        <v>4120982</v>
      </c>
    </row>
    <row r="1517" spans="1:9" x14ac:dyDescent="0.25">
      <c r="A1517">
        <v>18043</v>
      </c>
      <c r="B1517" t="s">
        <v>7</v>
      </c>
      <c r="C1517" t="s">
        <v>3036</v>
      </c>
      <c r="D1517" t="str">
        <f t="shared" si="66"/>
        <v/>
      </c>
      <c r="E1517" t="s">
        <v>3037</v>
      </c>
      <c r="F1517" t="s">
        <v>6962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 t="shared" si="66"/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 t="shared" si="66"/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 t="shared" si="66"/>
        <v/>
      </c>
      <c r="E1520" t="s">
        <v>3043</v>
      </c>
      <c r="F1520" t="str">
        <f>LEFT(C1520,7)</f>
        <v>4120625</v>
      </c>
    </row>
    <row r="1521" spans="1:9" x14ac:dyDescent="0.25">
      <c r="A1521">
        <v>18047</v>
      </c>
      <c r="B1521" t="s">
        <v>7</v>
      </c>
      <c r="C1521" t="s">
        <v>3044</v>
      </c>
      <c r="D1521" t="str">
        <f t="shared" si="66"/>
        <v/>
      </c>
      <c r="E1521" t="s">
        <v>3045</v>
      </c>
      <c r="F1521" t="s">
        <v>6962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 t="shared" si="66"/>
        <v/>
      </c>
      <c r="E1522" t="s">
        <v>3047</v>
      </c>
      <c r="F1522" t="str">
        <f t="shared" ref="F1522:F1531" si="69"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 t="shared" si="66"/>
        <v/>
      </c>
      <c r="E1523" t="s">
        <v>3049</v>
      </c>
      <c r="F1523" t="str">
        <f t="shared" si="69"/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 t="shared" si="66"/>
        <v/>
      </c>
      <c r="E1524" t="s">
        <v>3051</v>
      </c>
      <c r="F1524" t="str">
        <f t="shared" si="69"/>
        <v>4120627</v>
      </c>
    </row>
    <row r="1525" spans="1:9" x14ac:dyDescent="0.25">
      <c r="A1525">
        <v>18051</v>
      </c>
      <c r="B1525" t="s">
        <v>7</v>
      </c>
      <c r="C1525" t="s">
        <v>3052</v>
      </c>
      <c r="D1525" t="str">
        <f t="shared" si="66"/>
        <v/>
      </c>
      <c r="E1525" t="s">
        <v>3053</v>
      </c>
      <c r="F1525" t="str">
        <f t="shared" si="69"/>
        <v>4120567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 t="shared" si="66"/>
        <v/>
      </c>
      <c r="E1526" t="s">
        <v>3055</v>
      </c>
      <c r="F1526" t="str">
        <f t="shared" si="69"/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 t="shared" si="66"/>
        <v/>
      </c>
      <c r="E1527" t="s">
        <v>3057</v>
      </c>
      <c r="F1527" t="str">
        <f t="shared" si="69"/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 t="shared" si="66"/>
        <v/>
      </c>
      <c r="E1528" t="s">
        <v>3059</v>
      </c>
      <c r="F1528" t="str">
        <f t="shared" si="69"/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 t="shared" si="66"/>
        <v/>
      </c>
      <c r="E1529" t="s">
        <v>3061</v>
      </c>
      <c r="F1529" t="str">
        <f t="shared" si="69"/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 t="shared" si="66"/>
        <v/>
      </c>
      <c r="E1530" t="s">
        <v>3063</v>
      </c>
      <c r="F1530" t="str">
        <f t="shared" si="69"/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 t="shared" si="66"/>
        <v/>
      </c>
      <c r="E1531" t="s">
        <v>3065</v>
      </c>
      <c r="F1531" t="str">
        <f t="shared" si="69"/>
        <v>4120567</v>
      </c>
    </row>
    <row r="1532" spans="1:9" x14ac:dyDescent="0.25">
      <c r="A1532">
        <v>18060</v>
      </c>
      <c r="B1532" t="s">
        <v>7</v>
      </c>
      <c r="C1532" t="s">
        <v>3066</v>
      </c>
      <c r="D1532" t="str">
        <f t="shared" ref="D1532:D1595" si="70">IF(RIGHT(LEFT(C1532,9),2)="##","",RIGHT(LEFT(C1532,10),2))</f>
        <v/>
      </c>
      <c r="E1532" t="s">
        <v>3067</v>
      </c>
      <c r="F1532" t="s">
        <v>6961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 t="shared" si="70"/>
        <v/>
      </c>
      <c r="E1533" t="s">
        <v>3069</v>
      </c>
      <c r="F1533" t="str">
        <f t="shared" ref="F1533:F1543" si="71"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 t="shared" si="70"/>
        <v/>
      </c>
      <c r="E1534" t="s">
        <v>3071</v>
      </c>
      <c r="F1534" t="str">
        <f t="shared" si="71"/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 t="shared" si="70"/>
        <v/>
      </c>
      <c r="E1535" t="s">
        <v>3073</v>
      </c>
      <c r="F1535" t="str">
        <f t="shared" si="71"/>
        <v>4120568</v>
      </c>
    </row>
    <row r="1536" spans="1:9" x14ac:dyDescent="0.25">
      <c r="A1536">
        <v>18064</v>
      </c>
      <c r="B1536" t="s">
        <v>7</v>
      </c>
      <c r="C1536" t="s">
        <v>3074</v>
      </c>
      <c r="D1536" t="str">
        <f t="shared" si="70"/>
        <v/>
      </c>
      <c r="E1536" t="s">
        <v>3075</v>
      </c>
      <c r="F1536" t="str">
        <f t="shared" si="71"/>
        <v>4120110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 t="shared" si="70"/>
        <v/>
      </c>
      <c r="E1537" t="s">
        <v>3077</v>
      </c>
      <c r="F1537" t="str">
        <f t="shared" si="71"/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 t="shared" si="70"/>
        <v/>
      </c>
      <c r="E1538" t="s">
        <v>3079</v>
      </c>
      <c r="F1538" t="str">
        <f t="shared" si="71"/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 t="shared" si="70"/>
        <v/>
      </c>
      <c r="E1539" t="s">
        <v>3081</v>
      </c>
      <c r="F1539" t="str">
        <f t="shared" si="71"/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 t="shared" si="70"/>
        <v/>
      </c>
      <c r="E1540" t="s">
        <v>3083</v>
      </c>
      <c r="F1540" t="str">
        <f t="shared" si="71"/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 t="shared" si="70"/>
        <v/>
      </c>
      <c r="E1541" t="s">
        <v>3085</v>
      </c>
      <c r="F1541" t="str">
        <f t="shared" si="71"/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 t="shared" si="70"/>
        <v/>
      </c>
      <c r="E1542" t="s">
        <v>3087</v>
      </c>
      <c r="F1542" t="str">
        <f t="shared" si="71"/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 t="shared" si="70"/>
        <v/>
      </c>
      <c r="E1543" t="s">
        <v>3089</v>
      </c>
      <c r="F1543" t="str">
        <f t="shared" si="71"/>
        <v>4120110</v>
      </c>
    </row>
    <row r="1544" spans="1:9" x14ac:dyDescent="0.25">
      <c r="A1544">
        <v>18072</v>
      </c>
      <c r="B1544" t="s">
        <v>7</v>
      </c>
      <c r="C1544" t="s">
        <v>3090</v>
      </c>
      <c r="D1544" t="str">
        <f t="shared" si="70"/>
        <v/>
      </c>
      <c r="E1544" t="s">
        <v>3091</v>
      </c>
      <c r="F1544" t="s">
        <v>6959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 t="shared" si="70"/>
        <v/>
      </c>
      <c r="E1545" t="s">
        <v>3093</v>
      </c>
      <c r="F1545" t="str">
        <f t="shared" ref="F1545:F1554" si="72"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 t="shared" si="70"/>
        <v/>
      </c>
      <c r="E1546" t="s">
        <v>3095</v>
      </c>
      <c r="F1546" t="str">
        <f t="shared" si="72"/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 t="shared" si="70"/>
        <v/>
      </c>
      <c r="E1547" t="s">
        <v>3097</v>
      </c>
      <c r="F1547" t="str">
        <f t="shared" si="72"/>
        <v>4120115</v>
      </c>
    </row>
    <row r="1548" spans="1:9" x14ac:dyDescent="0.25">
      <c r="A1548">
        <v>18076</v>
      </c>
      <c r="B1548" t="s">
        <v>7</v>
      </c>
      <c r="C1548" t="s">
        <v>3098</v>
      </c>
      <c r="D1548" t="str">
        <f t="shared" si="70"/>
        <v/>
      </c>
      <c r="E1548" t="s">
        <v>3099</v>
      </c>
      <c r="F1548" t="str">
        <f t="shared" si="72"/>
        <v>4130777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 t="shared" si="70"/>
        <v/>
      </c>
      <c r="E1549" t="s">
        <v>3101</v>
      </c>
      <c r="F1549" t="str">
        <f t="shared" si="72"/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 t="shared" si="70"/>
        <v/>
      </c>
      <c r="E1550" t="s">
        <v>3103</v>
      </c>
      <c r="F1550" t="str">
        <f t="shared" si="72"/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 t="shared" si="70"/>
        <v/>
      </c>
      <c r="E1551" t="s">
        <v>3105</v>
      </c>
      <c r="F1551" t="str">
        <f t="shared" si="72"/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 t="shared" si="70"/>
        <v/>
      </c>
      <c r="E1552" t="s">
        <v>3107</v>
      </c>
      <c r="F1552" t="str">
        <f t="shared" si="72"/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 t="shared" si="70"/>
        <v/>
      </c>
      <c r="E1553" t="s">
        <v>3109</v>
      </c>
      <c r="F1553" t="str">
        <f t="shared" si="72"/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 t="shared" si="70"/>
        <v/>
      </c>
      <c r="E1554" t="s">
        <v>3111</v>
      </c>
      <c r="F1554" t="str">
        <f t="shared" si="72"/>
        <v>4130777</v>
      </c>
    </row>
    <row r="1555" spans="1:9" x14ac:dyDescent="0.25">
      <c r="A1555">
        <v>18085</v>
      </c>
      <c r="B1555" t="s">
        <v>7</v>
      </c>
      <c r="C1555" t="s">
        <v>3112</v>
      </c>
      <c r="D1555" t="str">
        <f t="shared" si="70"/>
        <v/>
      </c>
      <c r="E1555" t="s">
        <v>3113</v>
      </c>
      <c r="F1555" t="s">
        <v>6958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 t="shared" si="70"/>
        <v/>
      </c>
      <c r="E1556" t="s">
        <v>3115</v>
      </c>
      <c r="F1556" t="str">
        <f t="shared" ref="F1556:F1565" si="73"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 t="shared" si="70"/>
        <v/>
      </c>
      <c r="E1557" t="s">
        <v>3117</v>
      </c>
      <c r="F1557" t="str">
        <f t="shared" si="73"/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 t="shared" si="70"/>
        <v/>
      </c>
      <c r="E1558" t="s">
        <v>3119</v>
      </c>
      <c r="F1558" t="str">
        <f t="shared" si="73"/>
        <v>4130150</v>
      </c>
    </row>
    <row r="1559" spans="1:9" x14ac:dyDescent="0.25">
      <c r="A1559">
        <v>18089</v>
      </c>
      <c r="B1559" t="s">
        <v>7</v>
      </c>
      <c r="C1559" t="s">
        <v>3120</v>
      </c>
      <c r="D1559" t="str">
        <f t="shared" si="70"/>
        <v/>
      </c>
      <c r="E1559" t="s">
        <v>3121</v>
      </c>
      <c r="F1559" t="str">
        <f t="shared" si="73"/>
        <v>4120850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 t="shared" si="70"/>
        <v/>
      </c>
      <c r="E1560" t="s">
        <v>3123</v>
      </c>
      <c r="F1560" t="str">
        <f t="shared" si="73"/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 t="shared" si="70"/>
        <v/>
      </c>
      <c r="E1561" t="s">
        <v>3125</v>
      </c>
      <c r="F1561" t="str">
        <f t="shared" si="73"/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 t="shared" si="70"/>
        <v/>
      </c>
      <c r="E1562" t="s">
        <v>3127</v>
      </c>
      <c r="F1562" t="str">
        <f t="shared" si="73"/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 t="shared" si="70"/>
        <v/>
      </c>
      <c r="E1563" t="s">
        <v>3129</v>
      </c>
      <c r="F1563" t="str">
        <f t="shared" si="73"/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 t="shared" si="70"/>
        <v/>
      </c>
      <c r="E1564" t="s">
        <v>3131</v>
      </c>
      <c r="F1564" t="str">
        <f t="shared" si="73"/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 t="shared" si="70"/>
        <v/>
      </c>
      <c r="E1565" t="s">
        <v>3133</v>
      </c>
      <c r="F1565" t="str">
        <f t="shared" si="73"/>
        <v>4120850</v>
      </c>
    </row>
    <row r="1566" spans="1:9" x14ac:dyDescent="0.25">
      <c r="A1566">
        <v>18098</v>
      </c>
      <c r="B1566" t="s">
        <v>7</v>
      </c>
      <c r="C1566" t="s">
        <v>3134</v>
      </c>
      <c r="D1566" t="str">
        <f t="shared" si="70"/>
        <v/>
      </c>
      <c r="E1566" t="s">
        <v>3135</v>
      </c>
      <c r="F1566" t="s">
        <v>6969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 t="shared" si="70"/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 t="shared" si="70"/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 t="shared" si="70"/>
        <v/>
      </c>
      <c r="E1569" t="s">
        <v>3141</v>
      </c>
      <c r="F1569" t="str">
        <f>LEFT(C1569,7)</f>
        <v>4120852</v>
      </c>
    </row>
    <row r="1570" spans="1:9" x14ac:dyDescent="0.25">
      <c r="A1570">
        <v>18102</v>
      </c>
      <c r="B1570" t="s">
        <v>7</v>
      </c>
      <c r="C1570" t="s">
        <v>3142</v>
      </c>
      <c r="D1570" t="str">
        <f t="shared" si="70"/>
        <v/>
      </c>
      <c r="E1570" t="s">
        <v>3143</v>
      </c>
      <c r="F1570" t="s">
        <v>6969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 t="shared" si="70"/>
        <v/>
      </c>
      <c r="E1571" t="s">
        <v>3145</v>
      </c>
      <c r="F1571" t="str">
        <f t="shared" ref="F1571:F1580" si="74"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 t="shared" si="70"/>
        <v/>
      </c>
      <c r="E1572" t="s">
        <v>3147</v>
      </c>
      <c r="F1572" t="str">
        <f t="shared" si="74"/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 t="shared" si="70"/>
        <v/>
      </c>
      <c r="E1573" t="s">
        <v>3149</v>
      </c>
      <c r="F1573" t="str">
        <f t="shared" si="74"/>
        <v>4120753</v>
      </c>
    </row>
    <row r="1574" spans="1:9" x14ac:dyDescent="0.25">
      <c r="A1574">
        <v>18106</v>
      </c>
      <c r="B1574" t="s">
        <v>7</v>
      </c>
      <c r="C1574" t="s">
        <v>3150</v>
      </c>
      <c r="D1574" t="str">
        <f t="shared" si="70"/>
        <v/>
      </c>
      <c r="E1574" t="s">
        <v>3151</v>
      </c>
      <c r="F1574" t="str">
        <f t="shared" si="74"/>
        <v>4120900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 t="shared" si="70"/>
        <v/>
      </c>
      <c r="E1575" t="s">
        <v>3153</v>
      </c>
      <c r="F1575" t="str">
        <f t="shared" si="74"/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 t="shared" si="70"/>
        <v/>
      </c>
      <c r="E1576" t="s">
        <v>3155</v>
      </c>
      <c r="F1576" t="str">
        <f t="shared" si="74"/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 t="shared" si="70"/>
        <v/>
      </c>
      <c r="E1577" t="s">
        <v>3157</v>
      </c>
      <c r="F1577" t="str">
        <f t="shared" si="74"/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 t="shared" si="70"/>
        <v/>
      </c>
      <c r="E1578" t="s">
        <v>3159</v>
      </c>
      <c r="F1578" t="str">
        <f t="shared" si="74"/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 t="shared" si="70"/>
        <v/>
      </c>
      <c r="E1579" t="s">
        <v>3161</v>
      </c>
      <c r="F1579" t="str">
        <f t="shared" si="74"/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 t="shared" si="70"/>
        <v/>
      </c>
      <c r="E1580" t="s">
        <v>3163</v>
      </c>
      <c r="F1580" t="str">
        <f t="shared" si="74"/>
        <v>4120900</v>
      </c>
    </row>
    <row r="1581" spans="1:9" x14ac:dyDescent="0.25">
      <c r="A1581">
        <v>18115</v>
      </c>
      <c r="B1581" t="s">
        <v>7</v>
      </c>
      <c r="C1581" t="s">
        <v>3164</v>
      </c>
      <c r="D1581" t="str">
        <f t="shared" si="70"/>
        <v/>
      </c>
      <c r="E1581" t="s">
        <v>3165</v>
      </c>
      <c r="F1581" t="s">
        <v>6972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 t="shared" si="70"/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 t="shared" si="70"/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 t="shared" si="70"/>
        <v/>
      </c>
      <c r="E1584" t="s">
        <v>3171</v>
      </c>
      <c r="F1584" t="str">
        <f>LEFT(C1584,7)</f>
        <v>4120901</v>
      </c>
    </row>
    <row r="1585" spans="1:9" x14ac:dyDescent="0.25">
      <c r="A1585">
        <v>18119</v>
      </c>
      <c r="B1585" t="s">
        <v>7</v>
      </c>
      <c r="C1585" t="s">
        <v>3172</v>
      </c>
      <c r="D1585" t="str">
        <f t="shared" si="70"/>
        <v/>
      </c>
      <c r="E1585" t="s">
        <v>3173</v>
      </c>
      <c r="F1585" t="s">
        <v>6972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 t="shared" si="70"/>
        <v/>
      </c>
      <c r="E1586" t="s">
        <v>3175</v>
      </c>
      <c r="F1586" t="str">
        <f t="shared" ref="F1586:F1595" si="75"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 t="shared" si="70"/>
        <v/>
      </c>
      <c r="E1587" t="s">
        <v>3177</v>
      </c>
      <c r="F1587" t="str">
        <f t="shared" si="75"/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 t="shared" si="70"/>
        <v/>
      </c>
      <c r="E1588" t="s">
        <v>3179</v>
      </c>
      <c r="F1588" t="str">
        <f t="shared" si="75"/>
        <v>4120902</v>
      </c>
    </row>
    <row r="1589" spans="1:9" x14ac:dyDescent="0.25">
      <c r="A1589">
        <v>18123</v>
      </c>
      <c r="B1589" t="s">
        <v>7</v>
      </c>
      <c r="C1589" t="s">
        <v>3180</v>
      </c>
      <c r="D1589" t="str">
        <f t="shared" si="70"/>
        <v/>
      </c>
      <c r="E1589" t="s">
        <v>6964</v>
      </c>
      <c r="F1589" t="str">
        <f t="shared" si="75"/>
        <v>4120853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 t="shared" si="70"/>
        <v/>
      </c>
      <c r="E1590" t="s">
        <v>3182</v>
      </c>
      <c r="F1590" t="str">
        <f t="shared" si="75"/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 t="shared" si="70"/>
        <v/>
      </c>
      <c r="E1591" t="s">
        <v>3184</v>
      </c>
      <c r="F1591" t="str">
        <f t="shared" si="75"/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 t="shared" si="70"/>
        <v/>
      </c>
      <c r="E1592" t="s">
        <v>3186</v>
      </c>
      <c r="F1592" t="str">
        <f t="shared" si="75"/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 t="shared" si="70"/>
        <v/>
      </c>
      <c r="E1593" t="s">
        <v>3188</v>
      </c>
      <c r="F1593" t="str">
        <f t="shared" si="75"/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 t="shared" si="70"/>
        <v/>
      </c>
      <c r="E1594" t="s">
        <v>3190</v>
      </c>
      <c r="F1594" t="str">
        <f t="shared" si="75"/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 t="shared" si="70"/>
        <v/>
      </c>
      <c r="E1595" t="s">
        <v>3192</v>
      </c>
      <c r="F1595" t="str">
        <f t="shared" si="75"/>
        <v>4120853</v>
      </c>
    </row>
    <row r="1596" spans="1:9" x14ac:dyDescent="0.25">
      <c r="A1596">
        <v>18132</v>
      </c>
      <c r="B1596" t="s">
        <v>7</v>
      </c>
      <c r="C1596" t="s">
        <v>3193</v>
      </c>
      <c r="D1596" t="str">
        <f t="shared" ref="D1596:D1659" si="76">IF(RIGHT(LEFT(C1596,9),2)="##","",RIGHT(LEFT(C1596,10),2))</f>
        <v/>
      </c>
      <c r="E1596" t="s">
        <v>6992</v>
      </c>
      <c r="F1596" t="s">
        <v>6993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 t="shared" si="76"/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 t="shared" si="76"/>
        <v/>
      </c>
      <c r="E1598" t="s">
        <v>3197</v>
      </c>
      <c r="F1598" t="str">
        <f>LEFT(C1598,7)</f>
        <v>5101864</v>
      </c>
    </row>
    <row r="1599" spans="1:9" x14ac:dyDescent="0.25">
      <c r="A1599">
        <v>18139</v>
      </c>
      <c r="B1599" t="s">
        <v>7</v>
      </c>
      <c r="C1599" t="s">
        <v>3198</v>
      </c>
      <c r="D1599" t="str">
        <f t="shared" si="76"/>
        <v/>
      </c>
      <c r="E1599" t="s">
        <v>3199</v>
      </c>
      <c r="F1599" t="s">
        <v>6963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 t="shared" si="76"/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 t="shared" si="76"/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 t="shared" si="76"/>
        <v/>
      </c>
      <c r="E1602" t="s">
        <v>3205</v>
      </c>
      <c r="F1602" t="str">
        <f>LEFT(C1602,7)</f>
        <v>4120855</v>
      </c>
    </row>
    <row r="1603" spans="1:9" x14ac:dyDescent="0.25">
      <c r="A1603">
        <v>18143</v>
      </c>
      <c r="B1603" t="s">
        <v>7</v>
      </c>
      <c r="C1603" t="s">
        <v>3206</v>
      </c>
      <c r="D1603" t="str">
        <f t="shared" si="76"/>
        <v/>
      </c>
      <c r="E1603" t="s">
        <v>6965</v>
      </c>
      <c r="F1603" t="s">
        <v>6963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 t="shared" si="76"/>
        <v/>
      </c>
      <c r="E1604" t="s">
        <v>3208</v>
      </c>
      <c r="F1604" t="str">
        <f t="shared" ref="F1604:F1635" si="77"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 t="shared" si="76"/>
        <v/>
      </c>
      <c r="E1605" t="s">
        <v>3210</v>
      </c>
      <c r="F1605" t="str">
        <f t="shared" si="77"/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 t="shared" si="76"/>
        <v/>
      </c>
      <c r="E1606" t="s">
        <v>3212</v>
      </c>
      <c r="F1606" t="str">
        <f t="shared" si="77"/>
        <v>4120857</v>
      </c>
    </row>
    <row r="1607" spans="1:9" x14ac:dyDescent="0.25">
      <c r="A1607">
        <v>18147</v>
      </c>
      <c r="B1607" t="s">
        <v>7</v>
      </c>
      <c r="C1607" t="s">
        <v>3213</v>
      </c>
      <c r="D1607" t="str">
        <f t="shared" si="76"/>
        <v/>
      </c>
      <c r="E1607" t="s">
        <v>3214</v>
      </c>
      <c r="F1607" t="str">
        <f t="shared" si="77"/>
        <v>4130771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 t="shared" si="76"/>
        <v/>
      </c>
      <c r="E1608" t="s">
        <v>3216</v>
      </c>
      <c r="F1608" t="str">
        <f t="shared" si="77"/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 t="shared" si="76"/>
        <v/>
      </c>
      <c r="E1609" t="s">
        <v>3218</v>
      </c>
      <c r="F1609" t="str">
        <f t="shared" si="77"/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 t="shared" si="76"/>
        <v/>
      </c>
      <c r="E1610" t="s">
        <v>3220</v>
      </c>
      <c r="F1610" t="str">
        <f t="shared" si="77"/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 t="shared" si="76"/>
        <v/>
      </c>
      <c r="E1611" t="s">
        <v>3222</v>
      </c>
      <c r="F1611" t="str">
        <f t="shared" si="77"/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 t="shared" si="76"/>
        <v/>
      </c>
      <c r="E1612" t="s">
        <v>3224</v>
      </c>
      <c r="F1612" t="str">
        <f t="shared" si="77"/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 t="shared" si="76"/>
        <v/>
      </c>
      <c r="E1613" t="s">
        <v>3226</v>
      </c>
      <c r="F1613" t="str">
        <f t="shared" si="77"/>
        <v>4130771</v>
      </c>
    </row>
    <row r="1614" spans="1:9" x14ac:dyDescent="0.25">
      <c r="A1614">
        <v>18156</v>
      </c>
      <c r="B1614" t="s">
        <v>7</v>
      </c>
      <c r="C1614" t="s">
        <v>3227</v>
      </c>
      <c r="D1614" t="str">
        <f t="shared" si="76"/>
        <v/>
      </c>
      <c r="E1614" t="s">
        <v>3228</v>
      </c>
      <c r="F1614" t="str">
        <f t="shared" si="77"/>
        <v>2301777</v>
      </c>
      <c r="H1614">
        <v>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 t="shared" si="76"/>
        <v/>
      </c>
      <c r="E1615" t="s">
        <v>3230</v>
      </c>
      <c r="F1615" t="str">
        <f t="shared" si="77"/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 t="shared" si="76"/>
        <v/>
      </c>
      <c r="E1616" t="s">
        <v>3232</v>
      </c>
      <c r="F1616" t="str">
        <f t="shared" si="77"/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 t="shared" si="76"/>
        <v/>
      </c>
      <c r="E1617" t="s">
        <v>3234</v>
      </c>
      <c r="F1617" t="str">
        <f t="shared" si="77"/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 t="shared" si="76"/>
        <v/>
      </c>
      <c r="E1618" t="s">
        <v>3236</v>
      </c>
      <c r="F1618" t="str">
        <f t="shared" si="77"/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 t="shared" si="76"/>
        <v/>
      </c>
      <c r="E1619" t="s">
        <v>3238</v>
      </c>
      <c r="F1619" t="str">
        <f t="shared" si="77"/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 t="shared" si="76"/>
        <v/>
      </c>
      <c r="E1620" t="s">
        <v>3240</v>
      </c>
      <c r="F1620" t="str">
        <f t="shared" si="77"/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 t="shared" si="76"/>
        <v/>
      </c>
      <c r="E1621" t="s">
        <v>3242</v>
      </c>
      <c r="F1621" t="str">
        <f t="shared" si="77"/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 t="shared" si="76"/>
        <v/>
      </c>
      <c r="E1622" t="s">
        <v>3244</v>
      </c>
      <c r="F1622" t="str">
        <f t="shared" si="77"/>
        <v>2301777</v>
      </c>
    </row>
    <row r="1623" spans="1:9" x14ac:dyDescent="0.25">
      <c r="A1623">
        <v>18167</v>
      </c>
      <c r="B1623" t="s">
        <v>7</v>
      </c>
      <c r="C1623" t="s">
        <v>3245</v>
      </c>
      <c r="D1623" t="str">
        <f t="shared" si="76"/>
        <v/>
      </c>
      <c r="E1623" t="s">
        <v>3246</v>
      </c>
      <c r="F1623" t="str">
        <f t="shared" si="77"/>
        <v>2301333</v>
      </c>
      <c r="H1623">
        <v>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 t="shared" si="76"/>
        <v/>
      </c>
      <c r="E1624" t="s">
        <v>3248</v>
      </c>
      <c r="F1624" t="str">
        <f t="shared" si="77"/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 t="shared" si="76"/>
        <v/>
      </c>
      <c r="E1625" t="s">
        <v>3250</v>
      </c>
      <c r="F1625" t="str">
        <f t="shared" si="77"/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 t="shared" si="76"/>
        <v/>
      </c>
      <c r="E1626" t="s">
        <v>3252</v>
      </c>
      <c r="F1626" t="str">
        <f t="shared" si="77"/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 t="shared" si="76"/>
        <v/>
      </c>
      <c r="E1627" t="s">
        <v>3254</v>
      </c>
      <c r="F1627" t="str">
        <f t="shared" si="77"/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 t="shared" si="76"/>
        <v/>
      </c>
      <c r="E1628" t="s">
        <v>3256</v>
      </c>
      <c r="F1628" t="str">
        <f t="shared" si="77"/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 t="shared" si="76"/>
        <v/>
      </c>
      <c r="E1629" t="s">
        <v>3258</v>
      </c>
      <c r="F1629" t="str">
        <f t="shared" si="77"/>
        <v>2301333</v>
      </c>
    </row>
    <row r="1630" spans="1:9" x14ac:dyDescent="0.25">
      <c r="A1630">
        <v>18176</v>
      </c>
      <c r="B1630" t="s">
        <v>7</v>
      </c>
      <c r="C1630" t="s">
        <v>3259</v>
      </c>
      <c r="D1630" t="str">
        <f t="shared" si="76"/>
        <v/>
      </c>
      <c r="E1630" t="s">
        <v>3260</v>
      </c>
      <c r="F1630" t="str">
        <f t="shared" si="77"/>
        <v>2301888</v>
      </c>
      <c r="H1630">
        <v>8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 t="shared" si="76"/>
        <v/>
      </c>
      <c r="E1631" t="s">
        <v>3262</v>
      </c>
      <c r="F1631" t="str">
        <f t="shared" si="77"/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 t="shared" si="76"/>
        <v/>
      </c>
      <c r="E1632" t="s">
        <v>3264</v>
      </c>
      <c r="F1632" t="str">
        <f t="shared" si="77"/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 t="shared" si="76"/>
        <v/>
      </c>
      <c r="E1633" t="s">
        <v>3266</v>
      </c>
      <c r="F1633" t="str">
        <f t="shared" si="77"/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 t="shared" si="76"/>
        <v/>
      </c>
      <c r="E1634" t="s">
        <v>3268</v>
      </c>
      <c r="F1634" t="str">
        <f t="shared" si="77"/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 t="shared" si="76"/>
        <v/>
      </c>
      <c r="E1635" t="s">
        <v>3270</v>
      </c>
      <c r="F1635" t="str">
        <f t="shared" si="77"/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 t="shared" si="76"/>
        <v/>
      </c>
      <c r="E1636" t="s">
        <v>3272</v>
      </c>
      <c r="F1636" t="str">
        <f t="shared" ref="F1636:F1667" si="78"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 t="shared" si="76"/>
        <v/>
      </c>
      <c r="E1637" t="s">
        <v>3274</v>
      </c>
      <c r="F1637" t="str">
        <f t="shared" si="78"/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 t="shared" si="76"/>
        <v/>
      </c>
      <c r="E1638" t="s">
        <v>3276</v>
      </c>
      <c r="F1638" t="str">
        <f t="shared" si="78"/>
        <v>2301888</v>
      </c>
    </row>
    <row r="1639" spans="1:9" x14ac:dyDescent="0.25">
      <c r="A1639">
        <v>18188</v>
      </c>
      <c r="B1639" t="s">
        <v>7</v>
      </c>
      <c r="C1639" t="s">
        <v>3277</v>
      </c>
      <c r="D1639" t="str">
        <f t="shared" si="76"/>
        <v/>
      </c>
      <c r="E1639" t="s">
        <v>3278</v>
      </c>
      <c r="F1639" t="str">
        <f t="shared" si="78"/>
        <v>2301300</v>
      </c>
      <c r="H1639">
        <v>7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 t="shared" si="76"/>
        <v/>
      </c>
      <c r="E1640" t="s">
        <v>3280</v>
      </c>
      <c r="F1640" t="str">
        <f t="shared" si="78"/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 t="shared" si="76"/>
        <v/>
      </c>
      <c r="E1641" t="s">
        <v>3282</v>
      </c>
      <c r="F1641" t="str">
        <f t="shared" si="78"/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 t="shared" si="76"/>
        <v/>
      </c>
      <c r="E1642" t="s">
        <v>3284</v>
      </c>
      <c r="F1642" t="str">
        <f t="shared" si="78"/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 t="shared" si="76"/>
        <v/>
      </c>
      <c r="E1643" t="s">
        <v>3286</v>
      </c>
      <c r="F1643" t="str">
        <f t="shared" si="78"/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 t="shared" si="76"/>
        <v/>
      </c>
      <c r="E1644" t="s">
        <v>3288</v>
      </c>
      <c r="F1644" t="str">
        <f t="shared" si="78"/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 t="shared" si="76"/>
        <v/>
      </c>
      <c r="E1645" t="s">
        <v>3290</v>
      </c>
      <c r="F1645" t="str">
        <f t="shared" si="78"/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 t="shared" si="76"/>
        <v/>
      </c>
      <c r="E1646" t="s">
        <v>3292</v>
      </c>
      <c r="F1646" t="str">
        <f t="shared" si="78"/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 t="shared" si="76"/>
        <v/>
      </c>
      <c r="E1647" t="s">
        <v>3294</v>
      </c>
      <c r="F1647" t="str">
        <f t="shared" si="78"/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 t="shared" si="76"/>
        <v/>
      </c>
      <c r="E1648" t="s">
        <v>3296</v>
      </c>
      <c r="F1648" t="str">
        <f t="shared" si="78"/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 t="shared" si="76"/>
        <v/>
      </c>
      <c r="E1649" t="s">
        <v>3298</v>
      </c>
      <c r="F1649" t="str">
        <f t="shared" si="78"/>
        <v>2301300</v>
      </c>
    </row>
    <row r="1650" spans="1:9" x14ac:dyDescent="0.25">
      <c r="A1650">
        <v>18202</v>
      </c>
      <c r="B1650" t="s">
        <v>7</v>
      </c>
      <c r="C1650" t="s">
        <v>3299</v>
      </c>
      <c r="D1650" t="str">
        <f t="shared" si="76"/>
        <v/>
      </c>
      <c r="E1650" t="s">
        <v>3300</v>
      </c>
      <c r="F1650" t="str">
        <f t="shared" si="78"/>
        <v>8301000</v>
      </c>
      <c r="H1650">
        <v>2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 t="shared" si="76"/>
        <v/>
      </c>
      <c r="E1651" t="s">
        <v>3302</v>
      </c>
      <c r="F1651" t="str">
        <f t="shared" si="78"/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 t="shared" si="76"/>
        <v/>
      </c>
      <c r="E1652" t="s">
        <v>3304</v>
      </c>
      <c r="F1652" t="str">
        <f t="shared" si="78"/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 t="shared" si="76"/>
        <v/>
      </c>
      <c r="E1653" t="s">
        <v>3306</v>
      </c>
      <c r="F1653" t="str">
        <f t="shared" si="78"/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 t="shared" si="76"/>
        <v/>
      </c>
      <c r="E1654" t="s">
        <v>3308</v>
      </c>
      <c r="F1654" t="str">
        <f t="shared" si="78"/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 t="shared" si="76"/>
        <v/>
      </c>
      <c r="E1655" t="s">
        <v>3310</v>
      </c>
      <c r="F1655" t="str">
        <f t="shared" si="78"/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 t="shared" si="76"/>
        <v/>
      </c>
      <c r="E1656" t="s">
        <v>3312</v>
      </c>
      <c r="F1656" t="str">
        <f t="shared" si="78"/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 t="shared" si="76"/>
        <v/>
      </c>
      <c r="E1657" t="s">
        <v>3314</v>
      </c>
      <c r="F1657" t="str">
        <f t="shared" si="78"/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 t="shared" si="76"/>
        <v/>
      </c>
      <c r="E1658" t="s">
        <v>3316</v>
      </c>
      <c r="F1658" t="str">
        <f t="shared" si="78"/>
        <v>8301000</v>
      </c>
    </row>
    <row r="1659" spans="1:9" x14ac:dyDescent="0.25">
      <c r="A1659">
        <v>18214</v>
      </c>
      <c r="B1659" t="s">
        <v>7</v>
      </c>
      <c r="C1659" t="s">
        <v>3317</v>
      </c>
      <c r="D1659" t="str">
        <f t="shared" si="76"/>
        <v/>
      </c>
      <c r="E1659" t="s">
        <v>3318</v>
      </c>
      <c r="F1659" t="str">
        <f t="shared" si="78"/>
        <v>1120285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 t="shared" ref="D1660:D1723" si="79">IF(RIGHT(LEFT(C1660,9),2)="##","",RIGHT(LEFT(C1660,10),2))</f>
        <v/>
      </c>
      <c r="E1660" t="s">
        <v>3320</v>
      </c>
      <c r="F1660" t="str">
        <f t="shared" si="78"/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 t="shared" si="79"/>
        <v/>
      </c>
      <c r="E1661" t="s">
        <v>3322</v>
      </c>
      <c r="F1661" t="str">
        <f t="shared" si="78"/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 t="shared" si="79"/>
        <v/>
      </c>
      <c r="E1662" t="s">
        <v>3324</v>
      </c>
      <c r="F1662" t="str">
        <f t="shared" si="78"/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 t="shared" si="79"/>
        <v/>
      </c>
      <c r="E1663" t="s">
        <v>3326</v>
      </c>
      <c r="F1663" t="str">
        <f t="shared" si="78"/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 t="shared" si="79"/>
        <v/>
      </c>
      <c r="E1664" t="s">
        <v>3328</v>
      </c>
      <c r="F1664" t="str">
        <f t="shared" si="78"/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 t="shared" si="79"/>
        <v/>
      </c>
      <c r="E1665" t="s">
        <v>3330</v>
      </c>
      <c r="F1665" t="str">
        <f t="shared" si="78"/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 t="shared" si="79"/>
        <v/>
      </c>
      <c r="E1666" t="s">
        <v>3332</v>
      </c>
      <c r="F1666" t="str">
        <f t="shared" si="78"/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 t="shared" si="79"/>
        <v/>
      </c>
      <c r="E1667" t="s">
        <v>3334</v>
      </c>
      <c r="F1667" t="str">
        <f t="shared" si="78"/>
        <v>1120285</v>
      </c>
    </row>
    <row r="1668" spans="1:9" x14ac:dyDescent="0.25">
      <c r="A1668">
        <v>18227</v>
      </c>
      <c r="B1668" t="s">
        <v>7</v>
      </c>
      <c r="C1668" t="s">
        <v>3335</v>
      </c>
      <c r="D1668" t="str">
        <f t="shared" si="79"/>
        <v/>
      </c>
      <c r="E1668" t="s">
        <v>3336</v>
      </c>
      <c r="F1668" t="s">
        <v>6917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 t="shared" si="79"/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 t="shared" si="79"/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 t="shared" si="79"/>
        <v/>
      </c>
      <c r="E1671" t="s">
        <v>3342</v>
      </c>
      <c r="F1671" t="str">
        <f>LEFT(C1671,7)</f>
        <v>1120246</v>
      </c>
    </row>
    <row r="1672" spans="1:9" x14ac:dyDescent="0.25">
      <c r="A1672">
        <v>18231</v>
      </c>
      <c r="B1672" t="s">
        <v>7</v>
      </c>
      <c r="C1672" t="s">
        <v>3343</v>
      </c>
      <c r="D1672" t="str">
        <f t="shared" si="79"/>
        <v/>
      </c>
      <c r="E1672" t="s">
        <v>3344</v>
      </c>
      <c r="F1672" t="s">
        <v>6917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 t="shared" si="79"/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 t="shared" si="79"/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 t="shared" si="79"/>
        <v/>
      </c>
      <c r="E1675" t="s">
        <v>3350</v>
      </c>
      <c r="F1675" t="str">
        <f>LEFT(C1675,7)</f>
        <v>1120247</v>
      </c>
    </row>
    <row r="1676" spans="1:9" x14ac:dyDescent="0.25">
      <c r="A1676">
        <v>18235</v>
      </c>
      <c r="B1676" t="s">
        <v>7</v>
      </c>
      <c r="C1676" t="s">
        <v>3351</v>
      </c>
      <c r="D1676" t="str">
        <f t="shared" si="79"/>
        <v/>
      </c>
      <c r="E1676" t="s">
        <v>3352</v>
      </c>
      <c r="F1676" t="s">
        <v>6917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 t="shared" si="79"/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 t="shared" si="79"/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 t="shared" si="79"/>
        <v/>
      </c>
      <c r="E1679" t="s">
        <v>3358</v>
      </c>
      <c r="F1679" t="str">
        <f>LEFT(C1679,7)</f>
        <v>1120248</v>
      </c>
    </row>
    <row r="1680" spans="1:9" x14ac:dyDescent="0.25">
      <c r="A1680">
        <v>18239</v>
      </c>
      <c r="B1680" t="s">
        <v>7</v>
      </c>
      <c r="C1680" t="s">
        <v>3359</v>
      </c>
      <c r="D1680" t="str">
        <f t="shared" si="79"/>
        <v/>
      </c>
      <c r="E1680" t="s">
        <v>3360</v>
      </c>
      <c r="F1680" t="s">
        <v>6919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 t="shared" si="79"/>
        <v/>
      </c>
      <c r="E1681" t="s">
        <v>3362</v>
      </c>
      <c r="F1681" t="str">
        <f t="shared" ref="F1681:F1692" si="80"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 t="shared" si="79"/>
        <v/>
      </c>
      <c r="E1682" t="s">
        <v>3364</v>
      </c>
      <c r="F1682" t="str">
        <f t="shared" si="80"/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 t="shared" si="79"/>
        <v/>
      </c>
      <c r="E1683" t="s">
        <v>3366</v>
      </c>
      <c r="F1683" t="str">
        <f t="shared" si="80"/>
        <v>1120180</v>
      </c>
    </row>
    <row r="1684" spans="1:9" x14ac:dyDescent="0.25">
      <c r="A1684">
        <v>18243</v>
      </c>
      <c r="B1684" t="s">
        <v>7</v>
      </c>
      <c r="C1684" t="s">
        <v>3367</v>
      </c>
      <c r="D1684" t="str">
        <f t="shared" si="79"/>
        <v/>
      </c>
      <c r="E1684" t="s">
        <v>3368</v>
      </c>
      <c r="F1684" t="str">
        <f t="shared" si="80"/>
        <v>1120173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 t="shared" si="79"/>
        <v/>
      </c>
      <c r="E1685" t="s">
        <v>3370</v>
      </c>
      <c r="F1685" t="str">
        <f t="shared" si="80"/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 t="shared" si="79"/>
        <v/>
      </c>
      <c r="E1686" t="s">
        <v>3372</v>
      </c>
      <c r="F1686" t="str">
        <f t="shared" si="80"/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 t="shared" si="79"/>
        <v/>
      </c>
      <c r="E1687" t="s">
        <v>3374</v>
      </c>
      <c r="F1687" t="str">
        <f t="shared" si="80"/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 t="shared" si="79"/>
        <v/>
      </c>
      <c r="E1688" t="s">
        <v>3376</v>
      </c>
      <c r="F1688" t="str">
        <f t="shared" si="80"/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 t="shared" si="79"/>
        <v/>
      </c>
      <c r="E1689" t="s">
        <v>3378</v>
      </c>
      <c r="F1689" t="str">
        <f t="shared" si="80"/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 t="shared" si="79"/>
        <v/>
      </c>
      <c r="E1690" t="s">
        <v>3380</v>
      </c>
      <c r="F1690" t="str">
        <f t="shared" si="80"/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 t="shared" si="79"/>
        <v/>
      </c>
      <c r="E1691" t="s">
        <v>3382</v>
      </c>
      <c r="F1691" t="str">
        <f t="shared" si="80"/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 t="shared" si="79"/>
        <v/>
      </c>
      <c r="E1692" t="s">
        <v>3384</v>
      </c>
      <c r="F1692" t="str">
        <f t="shared" si="80"/>
        <v>1120173</v>
      </c>
    </row>
    <row r="1693" spans="1:9" x14ac:dyDescent="0.25">
      <c r="A1693">
        <v>18255</v>
      </c>
      <c r="B1693" t="s">
        <v>7</v>
      </c>
      <c r="C1693" t="s">
        <v>3385</v>
      </c>
      <c r="D1693" t="str">
        <f t="shared" si="79"/>
        <v/>
      </c>
      <c r="E1693" t="s">
        <v>3386</v>
      </c>
      <c r="F1693" t="s">
        <v>6947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 t="shared" si="79"/>
        <v/>
      </c>
      <c r="E1694" t="s">
        <v>3388</v>
      </c>
      <c r="F1694" t="str">
        <f t="shared" ref="F1694:F1707" si="81"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 t="shared" si="79"/>
        <v/>
      </c>
      <c r="E1695" t="s">
        <v>3390</v>
      </c>
      <c r="F1695" t="str">
        <f t="shared" si="81"/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 t="shared" si="79"/>
        <v/>
      </c>
      <c r="E1696" t="s">
        <v>3392</v>
      </c>
      <c r="F1696" t="str">
        <f t="shared" si="81"/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 t="shared" si="79"/>
        <v/>
      </c>
      <c r="E1697" t="s">
        <v>3394</v>
      </c>
      <c r="F1697" t="str">
        <f t="shared" si="81"/>
        <v>7707154</v>
      </c>
    </row>
    <row r="1698" spans="1:9" x14ac:dyDescent="0.25">
      <c r="A1698">
        <v>18263</v>
      </c>
      <c r="B1698" t="s">
        <v>7</v>
      </c>
      <c r="C1698" t="s">
        <v>7015</v>
      </c>
      <c r="D1698" t="str">
        <f t="shared" si="79"/>
        <v/>
      </c>
      <c r="E1698" t="s">
        <v>7014</v>
      </c>
      <c r="F1698" t="str">
        <f t="shared" si="81"/>
        <v>5101750</v>
      </c>
      <c r="H1698">
        <v>7</v>
      </c>
      <c r="I1698">
        <v>1</v>
      </c>
    </row>
    <row r="1699" spans="1:9" x14ac:dyDescent="0.25">
      <c r="A1699">
        <v>18285</v>
      </c>
      <c r="B1699" t="s">
        <v>7</v>
      </c>
      <c r="C1699" t="s">
        <v>3395</v>
      </c>
      <c r="D1699" t="str">
        <f t="shared" si="79"/>
        <v/>
      </c>
      <c r="E1699" t="s">
        <v>3396</v>
      </c>
      <c r="F1699" t="str">
        <f t="shared" si="81"/>
        <v>1120001</v>
      </c>
      <c r="H1699">
        <v>5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 t="shared" si="79"/>
        <v/>
      </c>
      <c r="E1700" t="s">
        <v>3398</v>
      </c>
      <c r="F1700" t="str">
        <f t="shared" si="81"/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 t="shared" si="79"/>
        <v/>
      </c>
      <c r="E1701" t="s">
        <v>3400</v>
      </c>
      <c r="F1701" t="str">
        <f t="shared" si="81"/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 t="shared" si="79"/>
        <v/>
      </c>
      <c r="E1702" t="s">
        <v>3402</v>
      </c>
      <c r="F1702" t="str">
        <f t="shared" si="81"/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 t="shared" si="79"/>
        <v/>
      </c>
      <c r="E1703" t="s">
        <v>3404</v>
      </c>
      <c r="F1703" t="str">
        <f t="shared" si="81"/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 t="shared" si="79"/>
        <v/>
      </c>
      <c r="E1704" t="s">
        <v>3406</v>
      </c>
      <c r="F1704" t="str">
        <f t="shared" si="81"/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 t="shared" si="79"/>
        <v/>
      </c>
      <c r="E1705" t="s">
        <v>3408</v>
      </c>
      <c r="F1705" t="str">
        <f t="shared" si="81"/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 t="shared" si="79"/>
        <v/>
      </c>
      <c r="E1706" t="s">
        <v>3410</v>
      </c>
      <c r="F1706" t="str">
        <f t="shared" si="81"/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 t="shared" si="79"/>
        <v/>
      </c>
      <c r="E1707" t="s">
        <v>3412</v>
      </c>
      <c r="F1707" t="str">
        <f t="shared" si="81"/>
        <v>1120001</v>
      </c>
    </row>
    <row r="1708" spans="1:9" x14ac:dyDescent="0.25">
      <c r="A1708">
        <v>18298</v>
      </c>
      <c r="B1708" t="s">
        <v>7</v>
      </c>
      <c r="C1708" t="s">
        <v>3413</v>
      </c>
      <c r="D1708" t="str">
        <f t="shared" si="79"/>
        <v/>
      </c>
      <c r="E1708" t="s">
        <v>3414</v>
      </c>
      <c r="F1708" t="s">
        <v>6934</v>
      </c>
      <c r="H1708">
        <v>6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 t="shared" si="79"/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 t="shared" si="79"/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 t="shared" si="79"/>
        <v/>
      </c>
      <c r="E1711" t="s">
        <v>3420</v>
      </c>
      <c r="F1711" t="str">
        <f>LEFT(C1711,7)</f>
        <v>1120790</v>
      </c>
    </row>
    <row r="1712" spans="1:9" x14ac:dyDescent="0.25">
      <c r="A1712">
        <v>18302</v>
      </c>
      <c r="B1712" t="s">
        <v>7</v>
      </c>
      <c r="C1712" t="s">
        <v>3421</v>
      </c>
      <c r="D1712" t="str">
        <f t="shared" si="79"/>
        <v/>
      </c>
      <c r="E1712" t="s">
        <v>3422</v>
      </c>
      <c r="F1712" t="s">
        <v>6934</v>
      </c>
      <c r="H1712">
        <v>6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 t="shared" si="79"/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 t="shared" si="79"/>
        <v/>
      </c>
      <c r="E1714" t="s">
        <v>3426</v>
      </c>
      <c r="F1714" t="str">
        <f>LEFT(C1714,7)</f>
        <v>1120791</v>
      </c>
    </row>
    <row r="1715" spans="1:9" x14ac:dyDescent="0.25">
      <c r="A1715">
        <v>18305</v>
      </c>
      <c r="B1715" t="s">
        <v>7</v>
      </c>
      <c r="C1715" t="s">
        <v>3427</v>
      </c>
      <c r="D1715" t="str">
        <f t="shared" si="79"/>
        <v/>
      </c>
      <c r="E1715" t="s">
        <v>3428</v>
      </c>
      <c r="F1715" t="s">
        <v>6933</v>
      </c>
      <c r="H1715">
        <v>5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 t="shared" si="79"/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 t="shared" si="79"/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 t="shared" si="79"/>
        <v/>
      </c>
      <c r="E1718" t="s">
        <v>3434</v>
      </c>
      <c r="F1718" t="str">
        <f>LEFT(C1718,7)</f>
        <v>1120002</v>
      </c>
    </row>
    <row r="1719" spans="1:9" x14ac:dyDescent="0.25">
      <c r="A1719">
        <v>18309</v>
      </c>
      <c r="B1719" t="s">
        <v>7</v>
      </c>
      <c r="C1719" t="s">
        <v>3435</v>
      </c>
      <c r="D1719" t="str">
        <f t="shared" si="79"/>
        <v/>
      </c>
      <c r="E1719" t="s">
        <v>3436</v>
      </c>
      <c r="F1719" t="s">
        <v>6933</v>
      </c>
      <c r="H1719">
        <v>5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 t="shared" si="79"/>
        <v/>
      </c>
      <c r="E1720" t="s">
        <v>3438</v>
      </c>
      <c r="F1720" t="str">
        <f t="shared" ref="F1720:F1730" si="82"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 t="shared" si="79"/>
        <v/>
      </c>
      <c r="E1721" t="s">
        <v>3440</v>
      </c>
      <c r="F1721" t="str">
        <f t="shared" si="82"/>
        <v>1120007</v>
      </c>
    </row>
    <row r="1722" spans="1:9" x14ac:dyDescent="0.25">
      <c r="A1722">
        <v>18312</v>
      </c>
      <c r="B1722" t="s">
        <v>7</v>
      </c>
      <c r="C1722" t="s">
        <v>3441</v>
      </c>
      <c r="D1722" t="str">
        <f t="shared" si="79"/>
        <v/>
      </c>
      <c r="E1722" t="s">
        <v>3442</v>
      </c>
      <c r="F1722" t="str">
        <f t="shared" si="82"/>
        <v>1120140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 t="shared" si="79"/>
        <v/>
      </c>
      <c r="E1723" t="s">
        <v>3444</v>
      </c>
      <c r="F1723" t="str">
        <f t="shared" si="82"/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 t="shared" ref="D1724:D1787" si="83">IF(RIGHT(LEFT(C1724,9),2)="##","",RIGHT(LEFT(C1724,10),2))</f>
        <v/>
      </c>
      <c r="E1724" t="s">
        <v>3446</v>
      </c>
      <c r="F1724" t="str">
        <f t="shared" si="82"/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 t="shared" si="83"/>
        <v/>
      </c>
      <c r="E1725" t="s">
        <v>3448</v>
      </c>
      <c r="F1725" t="str">
        <f t="shared" si="82"/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 t="shared" si="83"/>
        <v/>
      </c>
      <c r="E1726" t="s">
        <v>3450</v>
      </c>
      <c r="F1726" t="str">
        <f t="shared" si="82"/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 t="shared" si="83"/>
        <v/>
      </c>
      <c r="E1727" t="s">
        <v>3452</v>
      </c>
      <c r="F1727" t="str">
        <f t="shared" si="82"/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 t="shared" si="83"/>
        <v/>
      </c>
      <c r="E1728" t="s">
        <v>3454</v>
      </c>
      <c r="F1728" t="str">
        <f t="shared" si="82"/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 t="shared" si="83"/>
        <v/>
      </c>
      <c r="E1729" t="s">
        <v>3456</v>
      </c>
      <c r="F1729" t="str">
        <f t="shared" si="82"/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 t="shared" si="83"/>
        <v/>
      </c>
      <c r="E1730" t="s">
        <v>3458</v>
      </c>
      <c r="F1730" t="str">
        <f t="shared" si="82"/>
        <v>1120140</v>
      </c>
    </row>
    <row r="1731" spans="1:9" x14ac:dyDescent="0.25">
      <c r="A1731">
        <v>18325</v>
      </c>
      <c r="B1731" t="s">
        <v>7</v>
      </c>
      <c r="C1731" t="s">
        <v>3459</v>
      </c>
      <c r="D1731" t="str">
        <f t="shared" si="83"/>
        <v/>
      </c>
      <c r="E1731" t="s">
        <v>3460</v>
      </c>
      <c r="F1731" t="s">
        <v>6918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 t="shared" si="83"/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 t="shared" si="83"/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 t="shared" si="83"/>
        <v/>
      </c>
      <c r="E1734" t="s">
        <v>3466</v>
      </c>
      <c r="F1734" t="str">
        <f>LEFT(C1734,7)</f>
        <v>1120150</v>
      </c>
    </row>
    <row r="1735" spans="1:9" x14ac:dyDescent="0.25">
      <c r="A1735">
        <v>18329</v>
      </c>
      <c r="B1735" t="s">
        <v>7</v>
      </c>
      <c r="C1735" t="s">
        <v>3467</v>
      </c>
      <c r="D1735" t="str">
        <f t="shared" si="83"/>
        <v/>
      </c>
      <c r="E1735" t="s">
        <v>3468</v>
      </c>
      <c r="F1735" t="s">
        <v>6918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 t="shared" si="83"/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 t="shared" si="83"/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 t="shared" si="83"/>
        <v/>
      </c>
      <c r="E1738" t="s">
        <v>3474</v>
      </c>
      <c r="F1738" t="str">
        <f>LEFT(C1738,7)</f>
        <v>1120160</v>
      </c>
    </row>
    <row r="1739" spans="1:9" x14ac:dyDescent="0.25">
      <c r="A1739">
        <v>18333</v>
      </c>
      <c r="B1739" t="s">
        <v>7</v>
      </c>
      <c r="C1739" t="s">
        <v>3475</v>
      </c>
      <c r="D1739" t="str">
        <f t="shared" si="83"/>
        <v/>
      </c>
      <c r="E1739" t="s">
        <v>3476</v>
      </c>
      <c r="F1739" t="s">
        <v>6918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 t="shared" si="83"/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 t="shared" si="83"/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 t="shared" si="83"/>
        <v/>
      </c>
      <c r="E1742" t="s">
        <v>3482</v>
      </c>
      <c r="F1742" t="str">
        <f>LEFT(C1742,7)</f>
        <v>1120175</v>
      </c>
    </row>
    <row r="1743" spans="1:9" x14ac:dyDescent="0.25">
      <c r="A1743">
        <v>18337</v>
      </c>
      <c r="B1743" t="s">
        <v>7</v>
      </c>
      <c r="C1743" t="s">
        <v>3483</v>
      </c>
      <c r="D1743" t="str">
        <f t="shared" si="83"/>
        <v/>
      </c>
      <c r="E1743" t="s">
        <v>3484</v>
      </c>
      <c r="F1743" t="s">
        <v>6909</v>
      </c>
      <c r="H1743">
        <v>9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 t="shared" si="83"/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 t="shared" si="83"/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 t="shared" si="83"/>
        <v/>
      </c>
      <c r="E1746" t="s">
        <v>3490</v>
      </c>
      <c r="F1746" t="str">
        <f>LEFT(C1746,7)</f>
        <v>1120209</v>
      </c>
    </row>
    <row r="1747" spans="1:9" x14ac:dyDescent="0.25">
      <c r="A1747">
        <v>18341</v>
      </c>
      <c r="B1747" t="s">
        <v>7</v>
      </c>
      <c r="C1747" t="s">
        <v>3491</v>
      </c>
      <c r="D1747" t="str">
        <f t="shared" si="83"/>
        <v/>
      </c>
      <c r="E1747" t="s">
        <v>3492</v>
      </c>
      <c r="F1747" t="s">
        <v>7004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 t="shared" si="83"/>
        <v/>
      </c>
      <c r="E1748" t="s">
        <v>3494</v>
      </c>
      <c r="F1748" t="str">
        <f t="shared" ref="F1748:F1757" si="84"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 t="shared" si="83"/>
        <v/>
      </c>
      <c r="E1749" t="s">
        <v>3496</v>
      </c>
      <c r="F1749" t="str">
        <f t="shared" si="84"/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 t="shared" si="83"/>
        <v/>
      </c>
      <c r="E1750" t="s">
        <v>3498</v>
      </c>
      <c r="F1750" t="str">
        <f t="shared" si="84"/>
        <v>1120700</v>
      </c>
    </row>
    <row r="1751" spans="1:9" x14ac:dyDescent="0.25">
      <c r="A1751">
        <v>18348</v>
      </c>
      <c r="B1751" t="s">
        <v>7</v>
      </c>
      <c r="C1751" t="s">
        <v>3499</v>
      </c>
      <c r="D1751" t="str">
        <f t="shared" si="83"/>
        <v/>
      </c>
      <c r="E1751" t="s">
        <v>6966</v>
      </c>
      <c r="F1751" t="str">
        <f t="shared" si="84"/>
        <v>4120100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 t="shared" si="83"/>
        <v/>
      </c>
      <c r="E1752" t="s">
        <v>3501</v>
      </c>
      <c r="F1752" t="str">
        <f t="shared" si="84"/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 t="shared" si="83"/>
        <v/>
      </c>
      <c r="E1753" t="s">
        <v>3503</v>
      </c>
      <c r="F1753" t="str">
        <f t="shared" si="84"/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 t="shared" si="83"/>
        <v/>
      </c>
      <c r="E1754" t="s">
        <v>3505</v>
      </c>
      <c r="F1754" t="str">
        <f t="shared" si="84"/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 t="shared" si="83"/>
        <v/>
      </c>
      <c r="E1755" t="s">
        <v>3507</v>
      </c>
      <c r="F1755" t="str">
        <f t="shared" si="84"/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 t="shared" si="83"/>
        <v/>
      </c>
      <c r="E1756" t="s">
        <v>3509</v>
      </c>
      <c r="F1756" t="str">
        <f t="shared" si="84"/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 t="shared" si="83"/>
        <v/>
      </c>
      <c r="E1757" t="s">
        <v>3511</v>
      </c>
      <c r="F1757" t="str">
        <f t="shared" si="84"/>
        <v>4120100</v>
      </c>
    </row>
    <row r="1758" spans="1:9" x14ac:dyDescent="0.25">
      <c r="A1758">
        <v>18355</v>
      </c>
      <c r="B1758" t="s">
        <v>7</v>
      </c>
      <c r="C1758" t="s">
        <v>3512</v>
      </c>
      <c r="D1758" t="str">
        <f t="shared" si="83"/>
        <v/>
      </c>
      <c r="E1758" t="s">
        <v>3513</v>
      </c>
      <c r="F1758" t="s">
        <v>6967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 t="shared" si="83"/>
        <v/>
      </c>
      <c r="E1759" t="s">
        <v>3515</v>
      </c>
      <c r="F1759" t="str">
        <f t="shared" ref="F1759:F1786" si="85"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 t="shared" si="83"/>
        <v/>
      </c>
      <c r="E1760" t="s">
        <v>3517</v>
      </c>
      <c r="F1760" t="str">
        <f t="shared" si="85"/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 t="shared" si="83"/>
        <v/>
      </c>
      <c r="E1761" t="s">
        <v>3519</v>
      </c>
      <c r="F1761" t="str">
        <f t="shared" si="85"/>
        <v>4120101</v>
      </c>
    </row>
    <row r="1762" spans="1:9" x14ac:dyDescent="0.25">
      <c r="A1762">
        <v>18359</v>
      </c>
      <c r="B1762" t="s">
        <v>7</v>
      </c>
      <c r="C1762" t="s">
        <v>3520</v>
      </c>
      <c r="D1762" t="str">
        <f t="shared" si="83"/>
        <v/>
      </c>
      <c r="E1762" t="s">
        <v>3521</v>
      </c>
      <c r="F1762" t="str">
        <f t="shared" si="85"/>
        <v>2101901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 t="shared" si="83"/>
        <v/>
      </c>
      <c r="E1763" t="s">
        <v>3523</v>
      </c>
      <c r="F1763" t="str">
        <f t="shared" si="85"/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 t="shared" si="83"/>
        <v/>
      </c>
      <c r="E1764" t="s">
        <v>3525</v>
      </c>
      <c r="F1764" t="str">
        <f t="shared" si="85"/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 t="shared" si="83"/>
        <v/>
      </c>
      <c r="E1765" t="s">
        <v>3527</v>
      </c>
      <c r="F1765" t="str">
        <f t="shared" si="85"/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 t="shared" si="83"/>
        <v/>
      </c>
      <c r="E1766" t="s">
        <v>3529</v>
      </c>
      <c r="F1766" t="str">
        <f t="shared" si="85"/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 t="shared" si="83"/>
        <v/>
      </c>
      <c r="E1767" t="s">
        <v>3531</v>
      </c>
      <c r="F1767" t="str">
        <f t="shared" si="85"/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 t="shared" si="83"/>
        <v/>
      </c>
      <c r="E1768" t="s">
        <v>3533</v>
      </c>
      <c r="F1768" t="str">
        <f t="shared" si="85"/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 t="shared" si="83"/>
        <v/>
      </c>
      <c r="E1769" t="s">
        <v>3535</v>
      </c>
      <c r="F1769" t="str">
        <f t="shared" si="85"/>
        <v>2101901</v>
      </c>
    </row>
    <row r="1770" spans="1:9" x14ac:dyDescent="0.25">
      <c r="A1770">
        <v>18371</v>
      </c>
      <c r="B1770" t="s">
        <v>7</v>
      </c>
      <c r="C1770" t="s">
        <v>3536</v>
      </c>
      <c r="D1770" t="str">
        <f t="shared" si="83"/>
        <v/>
      </c>
      <c r="E1770" t="s">
        <v>3537</v>
      </c>
      <c r="F1770" t="str">
        <f t="shared" si="85"/>
        <v>2101751</v>
      </c>
      <c r="I1770">
        <v>1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 t="shared" si="83"/>
        <v/>
      </c>
      <c r="E1771" t="s">
        <v>3539</v>
      </c>
      <c r="F1771" t="str">
        <f t="shared" si="85"/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 t="shared" si="83"/>
        <v/>
      </c>
      <c r="E1772" t="s">
        <v>3541</v>
      </c>
      <c r="F1772" t="str">
        <f t="shared" si="85"/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 t="shared" si="83"/>
        <v/>
      </c>
      <c r="E1773" t="s">
        <v>3543</v>
      </c>
      <c r="F1773" t="str">
        <f t="shared" si="85"/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 t="shared" si="83"/>
        <v/>
      </c>
      <c r="E1774" t="s">
        <v>3545</v>
      </c>
      <c r="F1774" t="str">
        <f t="shared" si="85"/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 t="shared" si="83"/>
        <v/>
      </c>
      <c r="E1775" t="s">
        <v>3547</v>
      </c>
      <c r="F1775" t="str">
        <f t="shared" si="85"/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 t="shared" si="83"/>
        <v/>
      </c>
      <c r="E1776" t="s">
        <v>3549</v>
      </c>
      <c r="F1776" t="str">
        <f t="shared" si="85"/>
        <v>2101751</v>
      </c>
    </row>
    <row r="1777" spans="1:9" hidden="1" x14ac:dyDescent="0.25">
      <c r="A1777">
        <v>18382</v>
      </c>
      <c r="B1777" t="s">
        <v>10</v>
      </c>
      <c r="C1777" t="s">
        <v>3550</v>
      </c>
      <c r="D1777" t="str">
        <f t="shared" si="83"/>
        <v/>
      </c>
      <c r="E1777" t="s">
        <v>3551</v>
      </c>
      <c r="F1777" t="str">
        <f t="shared" si="85"/>
        <v>2101751</v>
      </c>
    </row>
    <row r="1778" spans="1:9" x14ac:dyDescent="0.25">
      <c r="A1778">
        <v>18383</v>
      </c>
      <c r="B1778" t="s">
        <v>7</v>
      </c>
      <c r="C1778" t="s">
        <v>3552</v>
      </c>
      <c r="D1778" t="str">
        <f t="shared" si="83"/>
        <v/>
      </c>
      <c r="E1778" t="s">
        <v>3553</v>
      </c>
      <c r="F1778" t="str">
        <f t="shared" si="85"/>
        <v>1120900</v>
      </c>
      <c r="I1778">
        <v>1</v>
      </c>
    </row>
    <row r="1779" spans="1:9" hidden="1" x14ac:dyDescent="0.25">
      <c r="A1779">
        <v>18384</v>
      </c>
      <c r="B1779" t="s">
        <v>10</v>
      </c>
      <c r="C1779" t="s">
        <v>3554</v>
      </c>
      <c r="D1779" t="str">
        <f t="shared" si="83"/>
        <v/>
      </c>
      <c r="E1779" t="s">
        <v>3555</v>
      </c>
      <c r="F1779" t="str">
        <f t="shared" si="85"/>
        <v>1120900</v>
      </c>
    </row>
    <row r="1780" spans="1:9" hidden="1" x14ac:dyDescent="0.25">
      <c r="A1780">
        <v>18389</v>
      </c>
      <c r="B1780" t="s">
        <v>10</v>
      </c>
      <c r="C1780" t="s">
        <v>3556</v>
      </c>
      <c r="D1780" t="str">
        <f t="shared" si="83"/>
        <v/>
      </c>
      <c r="E1780" t="s">
        <v>3557</v>
      </c>
      <c r="F1780" t="str">
        <f t="shared" si="85"/>
        <v>1120900</v>
      </c>
    </row>
    <row r="1781" spans="1:9" hidden="1" x14ac:dyDescent="0.25">
      <c r="A1781">
        <v>18390</v>
      </c>
      <c r="B1781" t="s">
        <v>10</v>
      </c>
      <c r="C1781" t="s">
        <v>3558</v>
      </c>
      <c r="D1781" t="str">
        <f t="shared" si="83"/>
        <v/>
      </c>
      <c r="E1781" t="s">
        <v>3559</v>
      </c>
      <c r="F1781" t="str">
        <f t="shared" si="85"/>
        <v>1120900</v>
      </c>
    </row>
    <row r="1782" spans="1:9" hidden="1" x14ac:dyDescent="0.25">
      <c r="A1782">
        <v>18391</v>
      </c>
      <c r="B1782" t="s">
        <v>10</v>
      </c>
      <c r="C1782" t="s">
        <v>3560</v>
      </c>
      <c r="D1782" t="str">
        <f t="shared" si="83"/>
        <v/>
      </c>
      <c r="E1782" t="s">
        <v>3561</v>
      </c>
      <c r="F1782" t="str">
        <f t="shared" si="85"/>
        <v>1120900</v>
      </c>
    </row>
    <row r="1783" spans="1:9" hidden="1" x14ac:dyDescent="0.25">
      <c r="A1783">
        <v>18392</v>
      </c>
      <c r="B1783" t="s">
        <v>10</v>
      </c>
      <c r="C1783" t="s">
        <v>3562</v>
      </c>
      <c r="D1783" t="str">
        <f t="shared" si="83"/>
        <v/>
      </c>
      <c r="E1783" t="s">
        <v>3563</v>
      </c>
      <c r="F1783" t="str">
        <f t="shared" si="85"/>
        <v>1120900</v>
      </c>
    </row>
    <row r="1784" spans="1:9" hidden="1" x14ac:dyDescent="0.25">
      <c r="A1784">
        <v>18393</v>
      </c>
      <c r="B1784" t="s">
        <v>10</v>
      </c>
      <c r="C1784" t="s">
        <v>3564</v>
      </c>
      <c r="D1784" t="str">
        <f t="shared" si="83"/>
        <v/>
      </c>
      <c r="E1784" t="s">
        <v>3565</v>
      </c>
      <c r="F1784" t="str">
        <f t="shared" si="85"/>
        <v>1120900</v>
      </c>
    </row>
    <row r="1785" spans="1:9" hidden="1" x14ac:dyDescent="0.25">
      <c r="A1785">
        <v>18394</v>
      </c>
      <c r="B1785" t="s">
        <v>10</v>
      </c>
      <c r="C1785" t="s">
        <v>3566</v>
      </c>
      <c r="D1785" t="str">
        <f t="shared" si="83"/>
        <v/>
      </c>
      <c r="E1785" t="s">
        <v>3567</v>
      </c>
      <c r="F1785" t="str">
        <f t="shared" si="85"/>
        <v>1120900</v>
      </c>
    </row>
    <row r="1786" spans="1:9" hidden="1" x14ac:dyDescent="0.25">
      <c r="A1786">
        <v>18395</v>
      </c>
      <c r="B1786" t="s">
        <v>10</v>
      </c>
      <c r="C1786" t="s">
        <v>3568</v>
      </c>
      <c r="D1786" t="str">
        <f t="shared" si="83"/>
        <v/>
      </c>
      <c r="E1786" t="s">
        <v>3569</v>
      </c>
      <c r="F1786" t="str">
        <f t="shared" si="85"/>
        <v>1120900</v>
      </c>
    </row>
    <row r="1787" spans="1:9" x14ac:dyDescent="0.25">
      <c r="A1787">
        <v>18396</v>
      </c>
      <c r="B1787" t="s">
        <v>7</v>
      </c>
      <c r="C1787" t="s">
        <v>3570</v>
      </c>
      <c r="D1787" t="str">
        <f t="shared" si="83"/>
        <v/>
      </c>
      <c r="E1787" t="s">
        <v>3571</v>
      </c>
      <c r="F1787" t="s">
        <v>6931</v>
      </c>
      <c r="I1787">
        <v>1</v>
      </c>
    </row>
    <row r="1788" spans="1:9" hidden="1" x14ac:dyDescent="0.25">
      <c r="A1788">
        <v>18397</v>
      </c>
      <c r="B1788" t="s">
        <v>10</v>
      </c>
      <c r="C1788" t="s">
        <v>3572</v>
      </c>
      <c r="D1788" t="str">
        <f t="shared" ref="D1788:D1851" si="86">IF(RIGHT(LEFT(C1788,9),2)="##","",RIGHT(LEFT(C1788,10),2))</f>
        <v/>
      </c>
      <c r="E1788" t="s">
        <v>3573</v>
      </c>
      <c r="F1788" t="str">
        <f>LEFT(C1788,7)</f>
        <v>1120901</v>
      </c>
    </row>
    <row r="1789" spans="1:9" hidden="1" x14ac:dyDescent="0.25">
      <c r="A1789">
        <v>18398</v>
      </c>
      <c r="B1789" t="s">
        <v>10</v>
      </c>
      <c r="C1789" t="s">
        <v>3574</v>
      </c>
      <c r="D1789" t="str">
        <f t="shared" si="86"/>
        <v/>
      </c>
      <c r="E1789" t="s">
        <v>3575</v>
      </c>
      <c r="F1789" t="str">
        <f>LEFT(C1789,7)</f>
        <v>1120901</v>
      </c>
    </row>
    <row r="1790" spans="1:9" hidden="1" x14ac:dyDescent="0.25">
      <c r="A1790">
        <v>18399</v>
      </c>
      <c r="B1790" t="s">
        <v>10</v>
      </c>
      <c r="C1790" t="s">
        <v>3576</v>
      </c>
      <c r="D1790" t="str">
        <f t="shared" si="86"/>
        <v/>
      </c>
      <c r="E1790" t="s">
        <v>3577</v>
      </c>
      <c r="F1790" t="str">
        <f>LEFT(C1790,7)</f>
        <v>1120901</v>
      </c>
    </row>
    <row r="1791" spans="1:9" x14ac:dyDescent="0.25">
      <c r="A1791">
        <v>18400</v>
      </c>
      <c r="B1791" t="s">
        <v>7</v>
      </c>
      <c r="C1791" t="s">
        <v>3578</v>
      </c>
      <c r="D1791" t="str">
        <f t="shared" si="86"/>
        <v/>
      </c>
      <c r="E1791" t="s">
        <v>3579</v>
      </c>
      <c r="F1791" t="s">
        <v>6931</v>
      </c>
      <c r="I1791">
        <v>1</v>
      </c>
    </row>
    <row r="1792" spans="1:9" hidden="1" x14ac:dyDescent="0.25">
      <c r="A1792">
        <v>18401</v>
      </c>
      <c r="B1792" t="s">
        <v>10</v>
      </c>
      <c r="C1792" t="s">
        <v>3580</v>
      </c>
      <c r="D1792" t="str">
        <f t="shared" si="86"/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 t="shared" si="86"/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 t="shared" si="86"/>
        <v/>
      </c>
      <c r="E1794" t="s">
        <v>3585</v>
      </c>
      <c r="F1794" t="str">
        <f>LEFT(C1794,7)</f>
        <v>1120902</v>
      </c>
    </row>
    <row r="1795" spans="1:9" x14ac:dyDescent="0.25">
      <c r="A1795">
        <v>18404</v>
      </c>
      <c r="B1795" t="s">
        <v>7</v>
      </c>
      <c r="C1795" t="s">
        <v>3586</v>
      </c>
      <c r="D1795" t="str">
        <f t="shared" si="86"/>
        <v/>
      </c>
      <c r="E1795" t="s">
        <v>3587</v>
      </c>
      <c r="F1795" t="s">
        <v>6931</v>
      </c>
      <c r="I1795">
        <v>1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 t="shared" si="86"/>
        <v/>
      </c>
      <c r="E1796" t="s">
        <v>3589</v>
      </c>
      <c r="F1796" t="str">
        <f t="shared" ref="F1796:F1807" si="87"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 t="shared" si="86"/>
        <v/>
      </c>
      <c r="E1797" t="s">
        <v>3591</v>
      </c>
      <c r="F1797" t="str">
        <f t="shared" si="87"/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 t="shared" si="86"/>
        <v/>
      </c>
      <c r="E1798" t="s">
        <v>3593</v>
      </c>
      <c r="F1798" t="str">
        <f t="shared" si="87"/>
        <v>1120903</v>
      </c>
    </row>
    <row r="1799" spans="1:9" x14ac:dyDescent="0.25">
      <c r="A1799">
        <v>18408</v>
      </c>
      <c r="B1799" t="s">
        <v>7</v>
      </c>
      <c r="C1799" t="s">
        <v>3594</v>
      </c>
      <c r="D1799" t="str">
        <f t="shared" si="86"/>
        <v/>
      </c>
      <c r="E1799" t="s">
        <v>3595</v>
      </c>
      <c r="F1799" t="str">
        <f t="shared" si="87"/>
        <v>1120499</v>
      </c>
      <c r="I1799">
        <v>1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 t="shared" si="86"/>
        <v/>
      </c>
      <c r="E1800" t="s">
        <v>3597</v>
      </c>
      <c r="F1800" t="str">
        <f t="shared" si="87"/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 t="shared" si="86"/>
        <v/>
      </c>
      <c r="E1801" t="s">
        <v>3599</v>
      </c>
      <c r="F1801" t="str">
        <f t="shared" si="87"/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 t="shared" si="86"/>
        <v/>
      </c>
      <c r="E1802" t="s">
        <v>3601</v>
      </c>
      <c r="F1802" t="str">
        <f t="shared" si="87"/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 t="shared" si="86"/>
        <v/>
      </c>
      <c r="E1803" t="s">
        <v>3603</v>
      </c>
      <c r="F1803" t="str">
        <f t="shared" si="87"/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 t="shared" si="86"/>
        <v/>
      </c>
      <c r="E1804" t="s">
        <v>3605</v>
      </c>
      <c r="F1804" t="str">
        <f t="shared" si="87"/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 t="shared" si="86"/>
        <v/>
      </c>
      <c r="E1805" t="s">
        <v>3607</v>
      </c>
      <c r="F1805" t="str">
        <f t="shared" si="87"/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 t="shared" si="86"/>
        <v/>
      </c>
      <c r="E1806" t="s">
        <v>3609</v>
      </c>
      <c r="F1806" t="str">
        <f t="shared" si="87"/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 t="shared" si="86"/>
        <v/>
      </c>
      <c r="E1807" t="s">
        <v>3611</v>
      </c>
      <c r="F1807" t="str">
        <f t="shared" si="87"/>
        <v>1120499</v>
      </c>
    </row>
    <row r="1808" spans="1:9" x14ac:dyDescent="0.25">
      <c r="A1808">
        <v>18421</v>
      </c>
      <c r="B1808" t="s">
        <v>7</v>
      </c>
      <c r="C1808" t="s">
        <v>3612</v>
      </c>
      <c r="D1808" t="str">
        <f t="shared" si="86"/>
        <v/>
      </c>
      <c r="E1808" t="s">
        <v>3613</v>
      </c>
      <c r="F1808" t="s">
        <v>6929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 t="shared" si="86"/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 t="shared" si="86"/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 t="shared" si="86"/>
        <v/>
      </c>
      <c r="E1811" t="s">
        <v>3619</v>
      </c>
      <c r="F1811" t="str">
        <f>LEFT(C1811,7)</f>
        <v>1120496</v>
      </c>
    </row>
    <row r="1812" spans="1:9" x14ac:dyDescent="0.25">
      <c r="A1812">
        <v>18425</v>
      </c>
      <c r="B1812" t="s">
        <v>7</v>
      </c>
      <c r="C1812" t="s">
        <v>3620</v>
      </c>
      <c r="D1812" t="str">
        <f t="shared" si="86"/>
        <v/>
      </c>
      <c r="E1812" t="s">
        <v>3621</v>
      </c>
      <c r="F1812" t="s">
        <v>6929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 t="shared" si="86"/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 t="shared" si="86"/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 t="shared" si="86"/>
        <v/>
      </c>
      <c r="E1815" t="s">
        <v>3627</v>
      </c>
      <c r="F1815" t="str">
        <f>LEFT(C1815,7)</f>
        <v>1120497</v>
      </c>
    </row>
    <row r="1816" spans="1:9" x14ac:dyDescent="0.25">
      <c r="A1816">
        <v>18429</v>
      </c>
      <c r="B1816" t="s">
        <v>7</v>
      </c>
      <c r="C1816" t="s">
        <v>3628</v>
      </c>
      <c r="D1816" t="str">
        <f t="shared" si="86"/>
        <v/>
      </c>
      <c r="E1816" t="s">
        <v>3629</v>
      </c>
      <c r="F1816" t="s">
        <v>6929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 t="shared" si="86"/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 t="shared" si="86"/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 t="shared" si="86"/>
        <v/>
      </c>
      <c r="E1819" t="s">
        <v>3635</v>
      </c>
      <c r="F1819" t="str">
        <f>LEFT(C1819,7)</f>
        <v>1120498</v>
      </c>
    </row>
    <row r="1820" spans="1:9" x14ac:dyDescent="0.25">
      <c r="A1820">
        <v>18433</v>
      </c>
      <c r="B1820" t="s">
        <v>7</v>
      </c>
      <c r="C1820" t="s">
        <v>3636</v>
      </c>
      <c r="D1820" t="str">
        <f t="shared" si="86"/>
        <v/>
      </c>
      <c r="E1820" t="s">
        <v>3637</v>
      </c>
      <c r="F1820" t="s">
        <v>6926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 t="shared" si="86"/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 t="shared" si="86"/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 t="shared" si="86"/>
        <v/>
      </c>
      <c r="E1823" t="s">
        <v>3643</v>
      </c>
      <c r="F1823" t="str">
        <f>LEFT(C1823,7)</f>
        <v>1120463</v>
      </c>
    </row>
    <row r="1824" spans="1:9" x14ac:dyDescent="0.25">
      <c r="A1824">
        <v>18437</v>
      </c>
      <c r="B1824" t="s">
        <v>7</v>
      </c>
      <c r="C1824" t="s">
        <v>3644</v>
      </c>
      <c r="D1824" t="str">
        <f t="shared" si="86"/>
        <v/>
      </c>
      <c r="E1824" t="s">
        <v>3645</v>
      </c>
      <c r="F1824" t="s">
        <v>6930</v>
      </c>
      <c r="I1824">
        <v>1</v>
      </c>
    </row>
    <row r="1825" spans="1:9" hidden="1" x14ac:dyDescent="0.25">
      <c r="A1825">
        <v>18438</v>
      </c>
      <c r="B1825" t="s">
        <v>10</v>
      </c>
      <c r="C1825" t="s">
        <v>3646</v>
      </c>
      <c r="D1825" t="str">
        <f t="shared" si="86"/>
        <v/>
      </c>
      <c r="E1825" t="s">
        <v>3647</v>
      </c>
      <c r="F1825" t="str">
        <f>LEFT(C1825,7)</f>
        <v>1120751</v>
      </c>
    </row>
    <row r="1826" spans="1:9" hidden="1" x14ac:dyDescent="0.25">
      <c r="A1826">
        <v>18439</v>
      </c>
      <c r="B1826" t="s">
        <v>10</v>
      </c>
      <c r="C1826" t="s">
        <v>3648</v>
      </c>
      <c r="D1826" t="str">
        <f t="shared" si="86"/>
        <v/>
      </c>
      <c r="E1826" t="s">
        <v>3649</v>
      </c>
      <c r="F1826" t="str">
        <f>LEFT(C1826,7)</f>
        <v>1120751</v>
      </c>
    </row>
    <row r="1827" spans="1:9" hidden="1" x14ac:dyDescent="0.25">
      <c r="A1827">
        <v>18440</v>
      </c>
      <c r="B1827" t="s">
        <v>10</v>
      </c>
      <c r="C1827" t="s">
        <v>3650</v>
      </c>
      <c r="D1827" t="str">
        <f t="shared" si="86"/>
        <v/>
      </c>
      <c r="E1827" t="s">
        <v>3651</v>
      </c>
      <c r="F1827" t="str">
        <f>LEFT(C1827,7)</f>
        <v>1120751</v>
      </c>
    </row>
    <row r="1828" spans="1:9" x14ac:dyDescent="0.25">
      <c r="A1828">
        <v>18441</v>
      </c>
      <c r="B1828" t="s">
        <v>7</v>
      </c>
      <c r="C1828" t="s">
        <v>3652</v>
      </c>
      <c r="D1828" t="str">
        <f t="shared" si="86"/>
        <v/>
      </c>
      <c r="E1828" t="s">
        <v>3653</v>
      </c>
      <c r="F1828" t="s">
        <v>6930</v>
      </c>
      <c r="I1828">
        <v>1</v>
      </c>
    </row>
    <row r="1829" spans="1:9" hidden="1" x14ac:dyDescent="0.25">
      <c r="A1829">
        <v>18442</v>
      </c>
      <c r="B1829" t="s">
        <v>10</v>
      </c>
      <c r="C1829" t="s">
        <v>3654</v>
      </c>
      <c r="D1829" t="str">
        <f t="shared" si="86"/>
        <v/>
      </c>
      <c r="E1829" t="s">
        <v>3655</v>
      </c>
      <c r="F1829" t="str">
        <f>LEFT(C1829,7)</f>
        <v>1120752</v>
      </c>
    </row>
    <row r="1830" spans="1:9" hidden="1" x14ac:dyDescent="0.25">
      <c r="A1830">
        <v>18443</v>
      </c>
      <c r="B1830" t="s">
        <v>10</v>
      </c>
      <c r="C1830" t="s">
        <v>3656</v>
      </c>
      <c r="D1830" t="str">
        <f t="shared" si="86"/>
        <v/>
      </c>
      <c r="E1830" t="s">
        <v>3657</v>
      </c>
      <c r="F1830" t="str">
        <f>LEFT(C1830,7)</f>
        <v>1120752</v>
      </c>
    </row>
    <row r="1831" spans="1:9" hidden="1" x14ac:dyDescent="0.25">
      <c r="A1831">
        <v>18444</v>
      </c>
      <c r="B1831" t="s">
        <v>10</v>
      </c>
      <c r="C1831" t="s">
        <v>3658</v>
      </c>
      <c r="D1831" t="str">
        <f t="shared" si="86"/>
        <v/>
      </c>
      <c r="E1831" t="s">
        <v>3659</v>
      </c>
      <c r="F1831" t="str">
        <f>LEFT(C1831,7)</f>
        <v>1120752</v>
      </c>
    </row>
    <row r="1832" spans="1:9" x14ac:dyDescent="0.25">
      <c r="A1832">
        <v>18445</v>
      </c>
      <c r="B1832" t="s">
        <v>7</v>
      </c>
      <c r="C1832" t="s">
        <v>3660</v>
      </c>
      <c r="D1832" t="str">
        <f t="shared" si="86"/>
        <v/>
      </c>
      <c r="E1832" t="s">
        <v>3661</v>
      </c>
      <c r="F1832" t="s">
        <v>6930</v>
      </c>
      <c r="I1832">
        <v>1</v>
      </c>
    </row>
    <row r="1833" spans="1:9" hidden="1" x14ac:dyDescent="0.25">
      <c r="A1833">
        <v>18446</v>
      </c>
      <c r="B1833" t="s">
        <v>10</v>
      </c>
      <c r="C1833" t="s">
        <v>3662</v>
      </c>
      <c r="D1833" t="str">
        <f t="shared" si="86"/>
        <v/>
      </c>
      <c r="E1833" t="s">
        <v>3663</v>
      </c>
      <c r="F1833" t="str">
        <f t="shared" ref="F1833:F1867" si="88">LEFT(C1833,7)</f>
        <v>1120753</v>
      </c>
    </row>
    <row r="1834" spans="1:9" hidden="1" x14ac:dyDescent="0.25">
      <c r="A1834">
        <v>18447</v>
      </c>
      <c r="B1834" t="s">
        <v>10</v>
      </c>
      <c r="C1834" t="s">
        <v>3664</v>
      </c>
      <c r="D1834" t="str">
        <f t="shared" si="86"/>
        <v/>
      </c>
      <c r="E1834" t="s">
        <v>3665</v>
      </c>
      <c r="F1834" t="str">
        <f t="shared" si="88"/>
        <v>1120753</v>
      </c>
    </row>
    <row r="1835" spans="1:9" x14ac:dyDescent="0.25">
      <c r="A1835">
        <v>18448</v>
      </c>
      <c r="B1835" t="s">
        <v>7</v>
      </c>
      <c r="C1835" t="s">
        <v>3666</v>
      </c>
      <c r="D1835" t="str">
        <f t="shared" si="86"/>
        <v/>
      </c>
      <c r="E1835" t="s">
        <v>3667</v>
      </c>
      <c r="F1835" t="str">
        <f t="shared" si="88"/>
        <v>8307810</v>
      </c>
    </row>
    <row r="1836" spans="1:9" hidden="1" x14ac:dyDescent="0.25">
      <c r="A1836">
        <v>18449</v>
      </c>
      <c r="B1836" t="s">
        <v>10</v>
      </c>
      <c r="C1836" t="s">
        <v>3668</v>
      </c>
      <c r="D1836" t="str">
        <f t="shared" si="86"/>
        <v/>
      </c>
      <c r="E1836" t="s">
        <v>3669</v>
      </c>
      <c r="F1836" t="str">
        <f t="shared" si="88"/>
        <v>8307810</v>
      </c>
    </row>
    <row r="1837" spans="1:9" hidden="1" x14ac:dyDescent="0.25">
      <c r="A1837">
        <v>18455</v>
      </c>
      <c r="B1837" t="s">
        <v>10</v>
      </c>
      <c r="C1837" t="s">
        <v>3670</v>
      </c>
      <c r="D1837" t="str">
        <f t="shared" si="86"/>
        <v/>
      </c>
      <c r="E1837" t="s">
        <v>3671</v>
      </c>
      <c r="F1837" t="str">
        <f t="shared" si="88"/>
        <v>8307810</v>
      </c>
    </row>
    <row r="1838" spans="1:9" hidden="1" x14ac:dyDescent="0.25">
      <c r="A1838">
        <v>18456</v>
      </c>
      <c r="B1838" t="s">
        <v>10</v>
      </c>
      <c r="C1838" t="s">
        <v>3672</v>
      </c>
      <c r="D1838" t="str">
        <f t="shared" si="86"/>
        <v/>
      </c>
      <c r="E1838" t="s">
        <v>3673</v>
      </c>
      <c r="F1838" t="str">
        <f t="shared" si="88"/>
        <v>8307810</v>
      </c>
    </row>
    <row r="1839" spans="1:9" hidden="1" x14ac:dyDescent="0.25">
      <c r="A1839">
        <v>18457</v>
      </c>
      <c r="B1839" t="s">
        <v>10</v>
      </c>
      <c r="C1839" t="s">
        <v>3674</v>
      </c>
      <c r="D1839" t="str">
        <f t="shared" si="86"/>
        <v/>
      </c>
      <c r="E1839" t="s">
        <v>3675</v>
      </c>
      <c r="F1839" t="str">
        <f t="shared" si="88"/>
        <v>8307810</v>
      </c>
    </row>
    <row r="1840" spans="1:9" hidden="1" x14ac:dyDescent="0.25">
      <c r="A1840">
        <v>18458</v>
      </c>
      <c r="B1840" t="s">
        <v>10</v>
      </c>
      <c r="C1840" t="s">
        <v>3676</v>
      </c>
      <c r="D1840" t="str">
        <f t="shared" si="86"/>
        <v/>
      </c>
      <c r="E1840" t="s">
        <v>3677</v>
      </c>
      <c r="F1840" t="str">
        <f t="shared" si="88"/>
        <v>8307810</v>
      </c>
    </row>
    <row r="1841" spans="1:9" hidden="1" x14ac:dyDescent="0.25">
      <c r="A1841">
        <v>18459</v>
      </c>
      <c r="B1841" t="s">
        <v>10</v>
      </c>
      <c r="C1841" t="s">
        <v>3678</v>
      </c>
      <c r="D1841" t="str">
        <f t="shared" si="86"/>
        <v/>
      </c>
      <c r="E1841" t="s">
        <v>3679</v>
      </c>
      <c r="F1841" t="str">
        <f t="shared" si="88"/>
        <v>8307810</v>
      </c>
    </row>
    <row r="1842" spans="1:9" x14ac:dyDescent="0.25">
      <c r="A1842">
        <v>18460</v>
      </c>
      <c r="B1842" t="s">
        <v>7</v>
      </c>
      <c r="C1842" t="s">
        <v>3680</v>
      </c>
      <c r="D1842" t="str">
        <f t="shared" si="86"/>
        <v/>
      </c>
      <c r="E1842" t="s">
        <v>3681</v>
      </c>
      <c r="F1842" t="str">
        <f t="shared" si="88"/>
        <v>8517901</v>
      </c>
    </row>
    <row r="1843" spans="1:9" hidden="1" x14ac:dyDescent="0.25">
      <c r="A1843">
        <v>18461</v>
      </c>
      <c r="B1843" t="s">
        <v>10</v>
      </c>
      <c r="C1843" t="s">
        <v>3682</v>
      </c>
      <c r="D1843" t="str">
        <f t="shared" si="86"/>
        <v/>
      </c>
      <c r="E1843" t="s">
        <v>3683</v>
      </c>
      <c r="F1843" t="str">
        <f t="shared" si="88"/>
        <v>8517901</v>
      </c>
    </row>
    <row r="1844" spans="1:9" hidden="1" x14ac:dyDescent="0.25">
      <c r="A1844">
        <v>18462</v>
      </c>
      <c r="B1844" t="s">
        <v>10</v>
      </c>
      <c r="C1844" t="s">
        <v>3684</v>
      </c>
      <c r="D1844" t="str">
        <f t="shared" si="86"/>
        <v/>
      </c>
      <c r="E1844" t="s">
        <v>3685</v>
      </c>
      <c r="F1844" t="str">
        <f t="shared" si="88"/>
        <v>8517901</v>
      </c>
    </row>
    <row r="1845" spans="1:9" hidden="1" x14ac:dyDescent="0.25">
      <c r="A1845">
        <v>18463</v>
      </c>
      <c r="B1845" t="s">
        <v>10</v>
      </c>
      <c r="C1845" t="s">
        <v>3686</v>
      </c>
      <c r="D1845" t="str">
        <f t="shared" si="86"/>
        <v/>
      </c>
      <c r="E1845" t="s">
        <v>3687</v>
      </c>
      <c r="F1845" t="str">
        <f t="shared" si="88"/>
        <v>8517901</v>
      </c>
    </row>
    <row r="1846" spans="1:9" x14ac:dyDescent="0.25">
      <c r="A1846">
        <v>18464</v>
      </c>
      <c r="B1846" t="s">
        <v>7</v>
      </c>
      <c r="C1846" t="s">
        <v>3688</v>
      </c>
      <c r="D1846" t="str">
        <f t="shared" si="86"/>
        <v/>
      </c>
      <c r="E1846" t="s">
        <v>3689</v>
      </c>
      <c r="F1846" t="str">
        <f t="shared" si="88"/>
        <v>8517902</v>
      </c>
    </row>
    <row r="1847" spans="1:9" hidden="1" x14ac:dyDescent="0.25">
      <c r="A1847">
        <v>18465</v>
      </c>
      <c r="B1847" t="s">
        <v>10</v>
      </c>
      <c r="C1847" t="s">
        <v>3690</v>
      </c>
      <c r="D1847" t="str">
        <f t="shared" si="86"/>
        <v/>
      </c>
      <c r="E1847" t="s">
        <v>3691</v>
      </c>
      <c r="F1847" t="str">
        <f t="shared" si="88"/>
        <v>8517902</v>
      </c>
    </row>
    <row r="1848" spans="1:9" hidden="1" x14ac:dyDescent="0.25">
      <c r="A1848">
        <v>18466</v>
      </c>
      <c r="B1848" t="s">
        <v>10</v>
      </c>
      <c r="C1848" t="s">
        <v>3692</v>
      </c>
      <c r="D1848" t="str">
        <f t="shared" si="86"/>
        <v/>
      </c>
      <c r="E1848" t="s">
        <v>3693</v>
      </c>
      <c r="F1848" t="str">
        <f t="shared" si="88"/>
        <v>8517902</v>
      </c>
    </row>
    <row r="1849" spans="1:9" hidden="1" x14ac:dyDescent="0.25">
      <c r="A1849">
        <v>18467</v>
      </c>
      <c r="B1849" t="s">
        <v>10</v>
      </c>
      <c r="C1849" t="s">
        <v>3694</v>
      </c>
      <c r="D1849" t="str">
        <f t="shared" si="86"/>
        <v/>
      </c>
      <c r="E1849" t="s">
        <v>3695</v>
      </c>
      <c r="F1849" t="str">
        <f t="shared" si="88"/>
        <v>8517902</v>
      </c>
    </row>
    <row r="1850" spans="1:9" x14ac:dyDescent="0.25">
      <c r="A1850">
        <v>18468</v>
      </c>
      <c r="B1850" t="s">
        <v>7</v>
      </c>
      <c r="C1850" t="s">
        <v>3696</v>
      </c>
      <c r="D1850" t="str">
        <f t="shared" si="86"/>
        <v/>
      </c>
      <c r="E1850" t="s">
        <v>3697</v>
      </c>
      <c r="F1850" t="str">
        <f t="shared" si="88"/>
        <v>2301158</v>
      </c>
      <c r="H1850">
        <v>7</v>
      </c>
      <c r="I1850">
        <v>1</v>
      </c>
    </row>
    <row r="1851" spans="1:9" hidden="1" x14ac:dyDescent="0.25">
      <c r="A1851">
        <v>18469</v>
      </c>
      <c r="B1851" t="s">
        <v>10</v>
      </c>
      <c r="C1851" t="s">
        <v>3698</v>
      </c>
      <c r="D1851" t="str">
        <f t="shared" si="86"/>
        <v/>
      </c>
      <c r="E1851" t="s">
        <v>3699</v>
      </c>
      <c r="F1851" t="str">
        <f t="shared" si="88"/>
        <v>2301158</v>
      </c>
    </row>
    <row r="1852" spans="1:9" hidden="1" x14ac:dyDescent="0.25">
      <c r="A1852">
        <v>18473</v>
      </c>
      <c r="B1852" t="s">
        <v>10</v>
      </c>
      <c r="C1852" t="s">
        <v>3700</v>
      </c>
      <c r="D1852" t="str">
        <f t="shared" ref="D1852:D1915" si="89">IF(RIGHT(LEFT(C1852,9),2)="##","",RIGHT(LEFT(C1852,10),2))</f>
        <v/>
      </c>
      <c r="E1852" t="s">
        <v>3701</v>
      </c>
      <c r="F1852" t="str">
        <f t="shared" si="88"/>
        <v>2301158</v>
      </c>
    </row>
    <row r="1853" spans="1:9" hidden="1" x14ac:dyDescent="0.25">
      <c r="A1853">
        <v>18474</v>
      </c>
      <c r="B1853" t="s">
        <v>10</v>
      </c>
      <c r="C1853" t="s">
        <v>3702</v>
      </c>
      <c r="D1853" t="str">
        <f t="shared" si="89"/>
        <v/>
      </c>
      <c r="E1853" t="s">
        <v>3703</v>
      </c>
      <c r="F1853" t="str">
        <f t="shared" si="88"/>
        <v>2301158</v>
      </c>
    </row>
    <row r="1854" spans="1:9" hidden="1" x14ac:dyDescent="0.25">
      <c r="A1854">
        <v>18475</v>
      </c>
      <c r="B1854" t="s">
        <v>10</v>
      </c>
      <c r="C1854" t="s">
        <v>3704</v>
      </c>
      <c r="D1854" t="str">
        <f t="shared" si="89"/>
        <v/>
      </c>
      <c r="E1854" t="s">
        <v>3705</v>
      </c>
      <c r="F1854" t="str">
        <f t="shared" si="88"/>
        <v>2301158</v>
      </c>
    </row>
    <row r="1855" spans="1:9" hidden="1" x14ac:dyDescent="0.25">
      <c r="A1855">
        <v>18476</v>
      </c>
      <c r="B1855" t="s">
        <v>10</v>
      </c>
      <c r="C1855" t="s">
        <v>3706</v>
      </c>
      <c r="D1855" t="str">
        <f t="shared" si="89"/>
        <v/>
      </c>
      <c r="E1855" t="s">
        <v>3707</v>
      </c>
      <c r="F1855" t="str">
        <f t="shared" si="88"/>
        <v>2301158</v>
      </c>
    </row>
    <row r="1856" spans="1:9" hidden="1" x14ac:dyDescent="0.25">
      <c r="A1856">
        <v>18477</v>
      </c>
      <c r="B1856" t="s">
        <v>10</v>
      </c>
      <c r="C1856" t="s">
        <v>3708</v>
      </c>
      <c r="D1856" t="str">
        <f t="shared" si="89"/>
        <v/>
      </c>
      <c r="E1856" t="s">
        <v>3709</v>
      </c>
      <c r="F1856" t="str">
        <f t="shared" si="88"/>
        <v>2301158</v>
      </c>
    </row>
    <row r="1857" spans="1:9" hidden="1" x14ac:dyDescent="0.25">
      <c r="A1857">
        <v>18478</v>
      </c>
      <c r="B1857" t="s">
        <v>10</v>
      </c>
      <c r="C1857" t="s">
        <v>3710</v>
      </c>
      <c r="D1857" t="str">
        <f t="shared" si="89"/>
        <v/>
      </c>
      <c r="E1857" t="s">
        <v>3711</v>
      </c>
      <c r="F1857" t="str">
        <f t="shared" si="88"/>
        <v>2301158</v>
      </c>
    </row>
    <row r="1858" spans="1:9" hidden="1" x14ac:dyDescent="0.25">
      <c r="A1858">
        <v>18479</v>
      </c>
      <c r="B1858" t="s">
        <v>10</v>
      </c>
      <c r="C1858" t="s">
        <v>3712</v>
      </c>
      <c r="D1858" t="str">
        <f t="shared" si="89"/>
        <v/>
      </c>
      <c r="E1858" t="s">
        <v>3713</v>
      </c>
      <c r="F1858" t="str">
        <f t="shared" si="88"/>
        <v>2301158</v>
      </c>
    </row>
    <row r="1859" spans="1:9" hidden="1" x14ac:dyDescent="0.25">
      <c r="A1859">
        <v>18480</v>
      </c>
      <c r="B1859" t="s">
        <v>10</v>
      </c>
      <c r="C1859" t="s">
        <v>3714</v>
      </c>
      <c r="D1859" t="str">
        <f t="shared" si="89"/>
        <v/>
      </c>
      <c r="E1859" t="s">
        <v>3715</v>
      </c>
      <c r="F1859" t="str">
        <f t="shared" si="88"/>
        <v>2301158</v>
      </c>
    </row>
    <row r="1860" spans="1:9" hidden="1" x14ac:dyDescent="0.25">
      <c r="A1860">
        <v>18481</v>
      </c>
      <c r="B1860" t="s">
        <v>4</v>
      </c>
      <c r="C1860" t="s">
        <v>3716</v>
      </c>
      <c r="D1860" t="str">
        <f t="shared" si="89"/>
        <v/>
      </c>
      <c r="E1860" t="s">
        <v>3717</v>
      </c>
      <c r="F1860" t="str">
        <f t="shared" si="88"/>
        <v>7703112</v>
      </c>
    </row>
    <row r="1861" spans="1:9" x14ac:dyDescent="0.25">
      <c r="A1861">
        <v>18484</v>
      </c>
      <c r="B1861" t="s">
        <v>7</v>
      </c>
      <c r="C1861" t="s">
        <v>3718</v>
      </c>
      <c r="D1861" t="str">
        <f t="shared" si="89"/>
        <v/>
      </c>
      <c r="E1861" t="s">
        <v>3719</v>
      </c>
      <c r="F1861" t="str">
        <f t="shared" si="88"/>
        <v>5101108</v>
      </c>
    </row>
    <row r="1862" spans="1:9" hidden="1" x14ac:dyDescent="0.25">
      <c r="A1862">
        <v>18485</v>
      </c>
      <c r="B1862" t="s">
        <v>10</v>
      </c>
      <c r="C1862" t="s">
        <v>3720</v>
      </c>
      <c r="D1862" t="str">
        <f t="shared" si="89"/>
        <v/>
      </c>
      <c r="E1862" t="s">
        <v>3721</v>
      </c>
      <c r="F1862" t="str">
        <f t="shared" si="88"/>
        <v>5101108</v>
      </c>
    </row>
    <row r="1863" spans="1:9" hidden="1" x14ac:dyDescent="0.25">
      <c r="A1863">
        <v>18486</v>
      </c>
      <c r="B1863" t="s">
        <v>10</v>
      </c>
      <c r="C1863" t="s">
        <v>3722</v>
      </c>
      <c r="D1863" t="str">
        <f t="shared" si="89"/>
        <v/>
      </c>
      <c r="E1863" t="s">
        <v>3723</v>
      </c>
      <c r="F1863" t="str">
        <f t="shared" si="88"/>
        <v>5101108</v>
      </c>
    </row>
    <row r="1864" spans="1:9" hidden="1" x14ac:dyDescent="0.25">
      <c r="A1864">
        <v>18487</v>
      </c>
      <c r="B1864" t="s">
        <v>4</v>
      </c>
      <c r="C1864" t="s">
        <v>3724</v>
      </c>
      <c r="D1864" t="str">
        <f t="shared" si="89"/>
        <v/>
      </c>
      <c r="E1864" t="s">
        <v>3725</v>
      </c>
      <c r="F1864" t="str">
        <f t="shared" si="88"/>
        <v>8505820</v>
      </c>
    </row>
    <row r="1865" spans="1:9" hidden="1" x14ac:dyDescent="0.25">
      <c r="A1865">
        <v>18490</v>
      </c>
      <c r="B1865" t="s">
        <v>4</v>
      </c>
      <c r="C1865" t="s">
        <v>3726</v>
      </c>
      <c r="D1865" t="str">
        <f t="shared" si="89"/>
        <v/>
      </c>
      <c r="E1865" t="s">
        <v>3727</v>
      </c>
      <c r="F1865" t="str">
        <f t="shared" si="88"/>
        <v>8707657</v>
      </c>
    </row>
    <row r="1866" spans="1:9" hidden="1" x14ac:dyDescent="0.25">
      <c r="A1866">
        <v>18495</v>
      </c>
      <c r="B1866" t="s">
        <v>4</v>
      </c>
      <c r="C1866" t="s">
        <v>3728</v>
      </c>
      <c r="D1866" t="str">
        <f t="shared" si="89"/>
        <v/>
      </c>
      <c r="E1866" t="s">
        <v>3729</v>
      </c>
      <c r="F1866" t="str">
        <f t="shared" si="88"/>
        <v>8707658</v>
      </c>
    </row>
    <row r="1867" spans="1:9" hidden="1" x14ac:dyDescent="0.25">
      <c r="A1867">
        <v>18498</v>
      </c>
      <c r="B1867" t="s">
        <v>4</v>
      </c>
      <c r="C1867" t="s">
        <v>3730</v>
      </c>
      <c r="D1867" t="str">
        <f t="shared" si="89"/>
        <v/>
      </c>
      <c r="E1867" t="s">
        <v>3731</v>
      </c>
      <c r="F1867" t="str">
        <f t="shared" si="88"/>
        <v>8520050</v>
      </c>
    </row>
    <row r="1868" spans="1:9" x14ac:dyDescent="0.25">
      <c r="A1868">
        <v>18507</v>
      </c>
      <c r="B1868" t="s">
        <v>7</v>
      </c>
      <c r="C1868" t="s">
        <v>3732</v>
      </c>
      <c r="D1868" t="str">
        <f t="shared" si="89"/>
        <v/>
      </c>
      <c r="E1868" t="s">
        <v>3733</v>
      </c>
      <c r="F1868" t="s">
        <v>6926</v>
      </c>
      <c r="I1868">
        <v>1</v>
      </c>
    </row>
    <row r="1869" spans="1:9" hidden="1" x14ac:dyDescent="0.25">
      <c r="A1869">
        <v>18508</v>
      </c>
      <c r="B1869" t="s">
        <v>10</v>
      </c>
      <c r="C1869" t="s">
        <v>3734</v>
      </c>
      <c r="D1869" t="str">
        <f t="shared" si="89"/>
        <v/>
      </c>
      <c r="E1869" t="s">
        <v>3735</v>
      </c>
      <c r="F1869" t="str">
        <f t="shared" ref="F1869:F1900" si="90">LEFT(C1869,7)</f>
        <v>1120462</v>
      </c>
    </row>
    <row r="1870" spans="1:9" hidden="1" x14ac:dyDescent="0.25">
      <c r="A1870">
        <v>18509</v>
      </c>
      <c r="B1870" t="s">
        <v>10</v>
      </c>
      <c r="C1870" t="s">
        <v>3736</v>
      </c>
      <c r="D1870" t="str">
        <f t="shared" si="89"/>
        <v/>
      </c>
      <c r="E1870" t="s">
        <v>3737</v>
      </c>
      <c r="F1870" t="str">
        <f t="shared" si="90"/>
        <v>1120462</v>
      </c>
    </row>
    <row r="1871" spans="1:9" hidden="1" x14ac:dyDescent="0.25">
      <c r="A1871">
        <v>18510</v>
      </c>
      <c r="B1871" t="s">
        <v>10</v>
      </c>
      <c r="C1871" t="s">
        <v>3738</v>
      </c>
      <c r="D1871" t="str">
        <f t="shared" si="89"/>
        <v/>
      </c>
      <c r="E1871" t="s">
        <v>3739</v>
      </c>
      <c r="F1871" t="str">
        <f t="shared" si="90"/>
        <v>1120462</v>
      </c>
    </row>
    <row r="1872" spans="1:9" hidden="1" x14ac:dyDescent="0.25">
      <c r="A1872">
        <v>18511</v>
      </c>
      <c r="B1872" t="s">
        <v>4</v>
      </c>
      <c r="C1872" t="s">
        <v>3740</v>
      </c>
      <c r="D1872" t="str">
        <f t="shared" si="89"/>
        <v/>
      </c>
      <c r="E1872" t="s">
        <v>3741</v>
      </c>
      <c r="F1872" t="str">
        <f t="shared" si="90"/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 t="shared" si="89"/>
        <v/>
      </c>
      <c r="E1873" t="s">
        <v>3743</v>
      </c>
      <c r="F1873" t="str">
        <f t="shared" si="90"/>
        <v>8303674</v>
      </c>
    </row>
    <row r="1874" spans="1:9" x14ac:dyDescent="0.25">
      <c r="A1874">
        <v>18520</v>
      </c>
      <c r="B1874" t="s">
        <v>7</v>
      </c>
      <c r="C1874" t="s">
        <v>3744</v>
      </c>
      <c r="D1874" t="str">
        <f t="shared" si="89"/>
        <v/>
      </c>
      <c r="E1874" t="s">
        <v>3745</v>
      </c>
      <c r="F1874" t="str">
        <f t="shared" si="90"/>
        <v>8303130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 t="shared" si="89"/>
        <v/>
      </c>
      <c r="E1875" t="s">
        <v>3747</v>
      </c>
      <c r="F1875" t="str">
        <f t="shared" si="90"/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 t="shared" si="89"/>
        <v/>
      </c>
      <c r="E1876" t="s">
        <v>3749</v>
      </c>
      <c r="F1876" t="str">
        <f t="shared" si="90"/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 t="shared" si="89"/>
        <v/>
      </c>
      <c r="E1877" t="s">
        <v>3751</v>
      </c>
      <c r="F1877" t="str">
        <f t="shared" si="90"/>
        <v>8303130</v>
      </c>
    </row>
    <row r="1878" spans="1:9" x14ac:dyDescent="0.25">
      <c r="A1878">
        <v>18524</v>
      </c>
      <c r="B1878" t="s">
        <v>7</v>
      </c>
      <c r="C1878" t="s">
        <v>3752</v>
      </c>
      <c r="D1878" t="str">
        <f t="shared" si="89"/>
        <v/>
      </c>
      <c r="E1878" t="s">
        <v>3753</v>
      </c>
      <c r="F1878" t="str">
        <f t="shared" si="90"/>
        <v>8205118</v>
      </c>
      <c r="H1878">
        <v>7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 t="shared" si="89"/>
        <v/>
      </c>
      <c r="E1879" t="s">
        <v>3755</v>
      </c>
      <c r="F1879" t="str">
        <f t="shared" si="90"/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 t="shared" si="89"/>
        <v/>
      </c>
      <c r="E1880" t="s">
        <v>3757</v>
      </c>
      <c r="F1880" t="str">
        <f t="shared" si="90"/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 t="shared" si="89"/>
        <v/>
      </c>
      <c r="E1881" t="s">
        <v>3759</v>
      </c>
      <c r="F1881" t="str">
        <f t="shared" si="90"/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 t="shared" si="89"/>
        <v/>
      </c>
      <c r="E1882" t="s">
        <v>3761</v>
      </c>
      <c r="F1882" t="str">
        <f t="shared" si="90"/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 t="shared" si="89"/>
        <v/>
      </c>
      <c r="E1883" t="s">
        <v>3763</v>
      </c>
      <c r="F1883" t="str">
        <f t="shared" si="90"/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 t="shared" si="89"/>
        <v/>
      </c>
      <c r="E1884" t="s">
        <v>3765</v>
      </c>
      <c r="F1884" t="str">
        <f t="shared" si="90"/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 t="shared" si="89"/>
        <v/>
      </c>
      <c r="E1885" t="s">
        <v>3767</v>
      </c>
      <c r="F1885" t="str">
        <f t="shared" si="90"/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 t="shared" si="89"/>
        <v/>
      </c>
      <c r="E1886" t="s">
        <v>3769</v>
      </c>
      <c r="F1886" t="str">
        <f t="shared" si="90"/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 t="shared" si="89"/>
        <v/>
      </c>
      <c r="E1887" t="s">
        <v>3771</v>
      </c>
      <c r="F1887" t="str">
        <f t="shared" si="90"/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 t="shared" si="89"/>
        <v/>
      </c>
      <c r="E1888" t="s">
        <v>3773</v>
      </c>
      <c r="F1888" t="str">
        <f t="shared" si="90"/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 t="shared" si="89"/>
        <v/>
      </c>
      <c r="E1889" t="s">
        <v>3775</v>
      </c>
      <c r="F1889" t="str">
        <f t="shared" si="90"/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 t="shared" si="89"/>
        <v/>
      </c>
      <c r="E1890" t="s">
        <v>3777</v>
      </c>
      <c r="F1890" t="str">
        <f t="shared" si="90"/>
        <v>8205118</v>
      </c>
    </row>
    <row r="1891" spans="1:9" x14ac:dyDescent="0.25">
      <c r="A1891">
        <v>18541</v>
      </c>
      <c r="B1891" t="s">
        <v>7</v>
      </c>
      <c r="C1891" t="s">
        <v>3778</v>
      </c>
      <c r="D1891" t="str">
        <f t="shared" si="89"/>
        <v/>
      </c>
      <c r="E1891" t="s">
        <v>3779</v>
      </c>
      <c r="F1891" t="str">
        <f t="shared" si="90"/>
        <v>8205041</v>
      </c>
      <c r="H1891">
        <v>7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 t="shared" si="89"/>
        <v/>
      </c>
      <c r="E1892" t="s">
        <v>3781</v>
      </c>
      <c r="F1892" t="str">
        <f t="shared" si="90"/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 t="shared" si="89"/>
        <v/>
      </c>
      <c r="E1893" t="s">
        <v>3783</v>
      </c>
      <c r="F1893" t="str">
        <f t="shared" si="90"/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 t="shared" si="89"/>
        <v/>
      </c>
      <c r="E1894" t="s">
        <v>3785</v>
      </c>
      <c r="F1894" t="str">
        <f t="shared" si="90"/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 t="shared" si="89"/>
        <v/>
      </c>
      <c r="E1895" t="s">
        <v>3787</v>
      </c>
      <c r="F1895" t="str">
        <f t="shared" si="90"/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 t="shared" si="89"/>
        <v/>
      </c>
      <c r="E1896" t="s">
        <v>3789</v>
      </c>
      <c r="F1896" t="str">
        <f t="shared" si="90"/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 t="shared" si="89"/>
        <v/>
      </c>
      <c r="E1897" t="s">
        <v>3791</v>
      </c>
      <c r="F1897" t="str">
        <f t="shared" si="90"/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 t="shared" si="89"/>
        <v/>
      </c>
      <c r="E1898" t="s">
        <v>3793</v>
      </c>
      <c r="F1898" t="str">
        <f t="shared" si="90"/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 t="shared" si="89"/>
        <v/>
      </c>
      <c r="E1899" t="s">
        <v>3795</v>
      </c>
      <c r="F1899" t="str">
        <f t="shared" si="90"/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 t="shared" si="89"/>
        <v/>
      </c>
      <c r="E1900" t="s">
        <v>3797</v>
      </c>
      <c r="F1900" t="str">
        <f t="shared" si="90"/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 t="shared" si="89"/>
        <v/>
      </c>
      <c r="E1901" t="s">
        <v>3799</v>
      </c>
      <c r="F1901" t="str">
        <f t="shared" ref="F1901:F1932" si="91"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 t="shared" si="89"/>
        <v/>
      </c>
      <c r="E1902" t="s">
        <v>3801</v>
      </c>
      <c r="F1902" t="str">
        <f t="shared" si="91"/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 t="shared" si="89"/>
        <v/>
      </c>
      <c r="E1903" t="s">
        <v>3803</v>
      </c>
      <c r="F1903" t="str">
        <f t="shared" si="91"/>
        <v>8703502</v>
      </c>
    </row>
    <row r="1904" spans="1:9" x14ac:dyDescent="0.25">
      <c r="A1904">
        <v>18563</v>
      </c>
      <c r="B1904" t="s">
        <v>7</v>
      </c>
      <c r="C1904" t="s">
        <v>3804</v>
      </c>
      <c r="D1904" t="str">
        <f t="shared" si="89"/>
        <v/>
      </c>
      <c r="E1904" t="s">
        <v>3805</v>
      </c>
      <c r="F1904" t="str">
        <f t="shared" si="91"/>
        <v>2401298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 t="shared" si="89"/>
        <v/>
      </c>
      <c r="E1905" t="s">
        <v>3807</v>
      </c>
      <c r="F1905" t="str">
        <f t="shared" si="91"/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 t="shared" si="89"/>
        <v/>
      </c>
      <c r="E1906" t="s">
        <v>3809</v>
      </c>
      <c r="F1906" t="str">
        <f t="shared" si="91"/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 t="shared" si="89"/>
        <v/>
      </c>
      <c r="E1907" t="s">
        <v>3811</v>
      </c>
      <c r="F1907" t="str">
        <f t="shared" si="91"/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 t="shared" si="89"/>
        <v/>
      </c>
      <c r="E1908" t="s">
        <v>3813</v>
      </c>
      <c r="F1908" t="str">
        <f t="shared" si="91"/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 t="shared" si="89"/>
        <v/>
      </c>
      <c r="E1909" t="s">
        <v>3815</v>
      </c>
      <c r="F1909" t="str">
        <f t="shared" si="91"/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 t="shared" si="89"/>
        <v/>
      </c>
      <c r="E1910" t="s">
        <v>3817</v>
      </c>
      <c r="F1910" t="str">
        <f t="shared" si="91"/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 t="shared" si="89"/>
        <v/>
      </c>
      <c r="E1911" t="s">
        <v>3819</v>
      </c>
      <c r="F1911" t="str">
        <f t="shared" si="91"/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 t="shared" si="89"/>
        <v/>
      </c>
      <c r="E1912" t="s">
        <v>3821</v>
      </c>
      <c r="F1912" t="str">
        <f t="shared" si="91"/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 t="shared" si="89"/>
        <v/>
      </c>
      <c r="E1913" t="s">
        <v>3823</v>
      </c>
      <c r="F1913" t="str">
        <f t="shared" si="91"/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 t="shared" si="89"/>
        <v/>
      </c>
      <c r="E1914" t="s">
        <v>3825</v>
      </c>
      <c r="F1914" t="str">
        <f t="shared" si="91"/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 t="shared" si="89"/>
        <v/>
      </c>
      <c r="E1915" t="s">
        <v>3827</v>
      </c>
      <c r="F1915" t="str">
        <f t="shared" si="91"/>
        <v>8519044</v>
      </c>
    </row>
    <row r="1916" spans="1:9" x14ac:dyDescent="0.25">
      <c r="A1916">
        <v>18590</v>
      </c>
      <c r="B1916" t="s">
        <v>7</v>
      </c>
      <c r="C1916" t="s">
        <v>3828</v>
      </c>
      <c r="D1916" t="str">
        <f t="shared" ref="D1916:D1979" si="92">IF(RIGHT(LEFT(C1916,9),2)="##","",RIGHT(LEFT(C1916,10),2))</f>
        <v/>
      </c>
      <c r="E1916" t="s">
        <v>3829</v>
      </c>
      <c r="F1916" t="str">
        <f t="shared" si="91"/>
        <v>1200001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 t="shared" si="92"/>
        <v/>
      </c>
      <c r="E1917" t="s">
        <v>3831</v>
      </c>
      <c r="F1917" t="str">
        <f t="shared" si="91"/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 t="shared" si="92"/>
        <v/>
      </c>
      <c r="E1918" t="s">
        <v>3833</v>
      </c>
      <c r="F1918" t="str">
        <f t="shared" si="91"/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 t="shared" si="92"/>
        <v/>
      </c>
      <c r="E1919" t="s">
        <v>3835</v>
      </c>
      <c r="F1919" t="str">
        <f t="shared" si="91"/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 t="shared" si="92"/>
        <v/>
      </c>
      <c r="E1920" t="s">
        <v>3837</v>
      </c>
      <c r="F1920" t="str">
        <f t="shared" si="91"/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 t="shared" si="92"/>
        <v/>
      </c>
      <c r="E1921" t="s">
        <v>3839</v>
      </c>
      <c r="F1921" t="str">
        <f t="shared" si="91"/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 t="shared" si="92"/>
        <v/>
      </c>
      <c r="E1922" t="s">
        <v>3841</v>
      </c>
      <c r="F1922" t="str">
        <f t="shared" si="91"/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 t="shared" si="92"/>
        <v/>
      </c>
      <c r="E1923" t="s">
        <v>3843</v>
      </c>
      <c r="F1923" t="str">
        <f t="shared" si="91"/>
        <v>1200001</v>
      </c>
    </row>
    <row r="1924" spans="1:9" x14ac:dyDescent="0.25">
      <c r="A1924">
        <v>18603</v>
      </c>
      <c r="B1924" t="s">
        <v>7</v>
      </c>
      <c r="C1924" t="s">
        <v>3844</v>
      </c>
      <c r="D1924" t="str">
        <f t="shared" si="92"/>
        <v/>
      </c>
      <c r="E1924" t="s">
        <v>3845</v>
      </c>
      <c r="F1924" t="str">
        <f t="shared" si="91"/>
        <v>1200900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 t="shared" si="92"/>
        <v/>
      </c>
      <c r="E1925" t="s">
        <v>3847</v>
      </c>
      <c r="F1925" t="str">
        <f t="shared" si="91"/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 t="shared" si="92"/>
        <v/>
      </c>
      <c r="E1926" t="s">
        <v>3849</v>
      </c>
      <c r="F1926" t="str">
        <f t="shared" si="91"/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 t="shared" si="92"/>
        <v/>
      </c>
      <c r="E1927" t="s">
        <v>3851</v>
      </c>
      <c r="F1927" t="str">
        <f t="shared" si="91"/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 t="shared" si="92"/>
        <v/>
      </c>
      <c r="E1928" t="s">
        <v>3853</v>
      </c>
      <c r="F1928" t="str">
        <f t="shared" si="91"/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 t="shared" si="92"/>
        <v/>
      </c>
      <c r="E1929" t="s">
        <v>3855</v>
      </c>
      <c r="F1929" t="str">
        <f t="shared" si="91"/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 t="shared" si="92"/>
        <v/>
      </c>
      <c r="E1930" t="s">
        <v>3857</v>
      </c>
      <c r="F1930" t="str">
        <f t="shared" si="91"/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 t="shared" si="92"/>
        <v/>
      </c>
      <c r="E1931" t="s">
        <v>3859</v>
      </c>
      <c r="F1931" t="str">
        <f t="shared" si="91"/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 t="shared" si="92"/>
        <v/>
      </c>
      <c r="E1932" t="s">
        <v>3861</v>
      </c>
      <c r="F1932" t="str">
        <f t="shared" si="91"/>
        <v>8400908</v>
      </c>
    </row>
    <row r="1933" spans="1:9" x14ac:dyDescent="0.25">
      <c r="A1933">
        <v>18622</v>
      </c>
      <c r="B1933" t="s">
        <v>7</v>
      </c>
      <c r="C1933" t="s">
        <v>3862</v>
      </c>
      <c r="D1933" t="str">
        <f t="shared" si="92"/>
        <v/>
      </c>
      <c r="E1933" t="s">
        <v>7000</v>
      </c>
      <c r="F1933" t="str">
        <f t="shared" ref="F1933:F1964" si="93">LEFT(C1933,7)</f>
        <v>1120780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 t="shared" si="92"/>
        <v/>
      </c>
      <c r="E1934" t="s">
        <v>3864</v>
      </c>
      <c r="F1934" t="str">
        <f t="shared" si="93"/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 t="shared" si="92"/>
        <v/>
      </c>
      <c r="E1935" t="s">
        <v>3866</v>
      </c>
      <c r="F1935" t="str">
        <f t="shared" si="93"/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 t="shared" si="92"/>
        <v/>
      </c>
      <c r="E1936" t="s">
        <v>3868</v>
      </c>
      <c r="F1936" t="str">
        <f t="shared" si="93"/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 t="shared" si="92"/>
        <v/>
      </c>
      <c r="E1937" t="s">
        <v>3870</v>
      </c>
      <c r="F1937" t="str">
        <f t="shared" si="93"/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 t="shared" si="92"/>
        <v/>
      </c>
      <c r="E1938" t="s">
        <v>3872</v>
      </c>
      <c r="F1938" t="str">
        <f t="shared" si="93"/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 t="shared" si="92"/>
        <v/>
      </c>
      <c r="E1939" t="s">
        <v>3874</v>
      </c>
      <c r="F1939" t="str">
        <f t="shared" si="93"/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 t="shared" si="92"/>
        <v/>
      </c>
      <c r="E1940" t="s">
        <v>3876</v>
      </c>
      <c r="F1940" t="str">
        <f t="shared" si="93"/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 t="shared" si="92"/>
        <v/>
      </c>
      <c r="E1941" t="s">
        <v>3878</v>
      </c>
      <c r="F1941" t="str">
        <f t="shared" si="93"/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 t="shared" si="92"/>
        <v/>
      </c>
      <c r="E1942" t="s">
        <v>3880</v>
      </c>
      <c r="F1942" t="str">
        <f t="shared" si="93"/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 t="shared" si="92"/>
        <v/>
      </c>
      <c r="E1943" t="s">
        <v>3882</v>
      </c>
      <c r="F1943" t="str">
        <f t="shared" si="93"/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 t="shared" si="92"/>
        <v/>
      </c>
      <c r="E1944" t="s">
        <v>3884</v>
      </c>
      <c r="F1944" t="str">
        <f t="shared" si="93"/>
        <v>8520729</v>
      </c>
    </row>
    <row r="1945" spans="1:9" x14ac:dyDescent="0.25">
      <c r="A1945">
        <v>18657</v>
      </c>
      <c r="B1945" t="s">
        <v>7</v>
      </c>
      <c r="C1945" t="s">
        <v>3885</v>
      </c>
      <c r="D1945" t="str">
        <f t="shared" si="92"/>
        <v/>
      </c>
      <c r="E1945" t="s">
        <v>3886</v>
      </c>
      <c r="F1945" t="str">
        <f t="shared" si="93"/>
        <v>5101985</v>
      </c>
      <c r="H1945">
        <v>7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 t="shared" si="92"/>
        <v/>
      </c>
      <c r="E1946" t="s">
        <v>3888</v>
      </c>
      <c r="F1946" t="str">
        <f t="shared" si="93"/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 t="shared" si="92"/>
        <v/>
      </c>
      <c r="E1947" t="s">
        <v>3890</v>
      </c>
      <c r="F1947" t="str">
        <f t="shared" si="93"/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 t="shared" si="92"/>
        <v/>
      </c>
      <c r="E1948" t="s">
        <v>3892</v>
      </c>
      <c r="F1948" t="str">
        <f t="shared" si="93"/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 t="shared" si="92"/>
        <v/>
      </c>
      <c r="E1949" t="s">
        <v>3894</v>
      </c>
      <c r="F1949" t="str">
        <f t="shared" si="93"/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 t="shared" si="92"/>
        <v/>
      </c>
      <c r="E1950" t="s">
        <v>3896</v>
      </c>
      <c r="F1950" t="str">
        <f t="shared" si="93"/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 t="shared" si="92"/>
        <v/>
      </c>
      <c r="E1951" t="s">
        <v>3898</v>
      </c>
      <c r="F1951" t="str">
        <f t="shared" si="93"/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 t="shared" si="92"/>
        <v/>
      </c>
      <c r="E1952" t="s">
        <v>3900</v>
      </c>
      <c r="F1952" t="str">
        <f t="shared" si="93"/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 t="shared" si="92"/>
        <v/>
      </c>
      <c r="E1953" t="s">
        <v>3902</v>
      </c>
      <c r="F1953" t="str">
        <f t="shared" si="93"/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 t="shared" si="92"/>
        <v/>
      </c>
      <c r="E1954" t="s">
        <v>3904</v>
      </c>
      <c r="F1954" t="str">
        <f t="shared" si="93"/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 t="shared" si="92"/>
        <v/>
      </c>
      <c r="E1955" t="s">
        <v>3906</v>
      </c>
      <c r="F1955" t="str">
        <f t="shared" si="93"/>
        <v>7709365</v>
      </c>
    </row>
    <row r="1956" spans="1:9" x14ac:dyDescent="0.25">
      <c r="A1956">
        <v>18676</v>
      </c>
      <c r="B1956" t="s">
        <v>7</v>
      </c>
      <c r="C1956" t="s">
        <v>3907</v>
      </c>
      <c r="D1956" t="str">
        <f t="shared" si="92"/>
        <v/>
      </c>
      <c r="E1956" t="s">
        <v>3908</v>
      </c>
      <c r="F1956" t="str">
        <f t="shared" si="93"/>
        <v>2103068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 t="shared" si="92"/>
        <v/>
      </c>
      <c r="E1957" t="s">
        <v>3910</v>
      </c>
      <c r="F1957" t="str">
        <f t="shared" si="93"/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 t="shared" si="92"/>
        <v/>
      </c>
      <c r="E1958" t="s">
        <v>3912</v>
      </c>
      <c r="F1958" t="str">
        <f t="shared" si="93"/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 t="shared" si="92"/>
        <v/>
      </c>
      <c r="E1959" t="s">
        <v>3914</v>
      </c>
      <c r="F1959" t="str">
        <f t="shared" si="93"/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 t="shared" si="92"/>
        <v/>
      </c>
      <c r="E1960" t="s">
        <v>3916</v>
      </c>
      <c r="F1960" t="str">
        <f t="shared" si="93"/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 t="shared" si="92"/>
        <v/>
      </c>
      <c r="E1961" t="s">
        <v>3918</v>
      </c>
      <c r="F1961" t="str">
        <f t="shared" si="93"/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 t="shared" si="92"/>
        <v/>
      </c>
      <c r="E1962" t="s">
        <v>3920</v>
      </c>
      <c r="F1962" t="str">
        <f t="shared" si="93"/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 t="shared" si="92"/>
        <v/>
      </c>
      <c r="E1963" t="s">
        <v>3922</v>
      </c>
      <c r="F1963" t="str">
        <f t="shared" si="93"/>
        <v>2103068</v>
      </c>
    </row>
    <row r="1964" spans="1:9" x14ac:dyDescent="0.25">
      <c r="A1964">
        <v>18688</v>
      </c>
      <c r="B1964" t="s">
        <v>7</v>
      </c>
      <c r="C1964" t="s">
        <v>3923</v>
      </c>
      <c r="D1964" t="str">
        <f t="shared" si="92"/>
        <v/>
      </c>
      <c r="E1964" t="s">
        <v>3924</v>
      </c>
      <c r="F1964" t="str">
        <f t="shared" si="93"/>
        <v>2101000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 t="shared" si="92"/>
        <v/>
      </c>
      <c r="E1965" t="s">
        <v>3926</v>
      </c>
      <c r="F1965" t="str">
        <f t="shared" ref="F1965:F1975" si="94"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 t="shared" si="92"/>
        <v/>
      </c>
      <c r="E1966" t="s">
        <v>3928</v>
      </c>
      <c r="F1966" t="str">
        <f t="shared" si="94"/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 t="shared" si="92"/>
        <v/>
      </c>
      <c r="E1967" t="s">
        <v>3930</v>
      </c>
      <c r="F1967" t="str">
        <f t="shared" si="94"/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 t="shared" si="92"/>
        <v/>
      </c>
      <c r="E1968" t="s">
        <v>3932</v>
      </c>
      <c r="F1968" t="str">
        <f t="shared" si="94"/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 t="shared" si="92"/>
        <v/>
      </c>
      <c r="E1969" t="s">
        <v>3934</v>
      </c>
      <c r="F1969" t="str">
        <f t="shared" si="94"/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 t="shared" si="92"/>
        <v/>
      </c>
      <c r="E1970" t="s">
        <v>3936</v>
      </c>
      <c r="F1970" t="str">
        <f t="shared" si="94"/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 t="shared" si="92"/>
        <v/>
      </c>
      <c r="E1971" t="s">
        <v>3938</v>
      </c>
      <c r="F1971" t="str">
        <f t="shared" si="94"/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 t="shared" si="92"/>
        <v/>
      </c>
      <c r="E1972" t="s">
        <v>3940</v>
      </c>
      <c r="F1972" t="str">
        <f t="shared" si="94"/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 t="shared" si="92"/>
        <v/>
      </c>
      <c r="E1973" t="s">
        <v>3942</v>
      </c>
      <c r="F1973" t="str">
        <f t="shared" si="94"/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 t="shared" si="92"/>
        <v/>
      </c>
      <c r="E1974" t="s">
        <v>3944</v>
      </c>
      <c r="F1974" t="str">
        <f t="shared" si="94"/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 t="shared" si="92"/>
        <v/>
      </c>
      <c r="E1975" t="s">
        <v>3946</v>
      </c>
      <c r="F1975" t="str">
        <f t="shared" si="94"/>
        <v>2101111</v>
      </c>
    </row>
    <row r="1976" spans="1:9" x14ac:dyDescent="0.25">
      <c r="A1976">
        <v>18716</v>
      </c>
      <c r="B1976" t="s">
        <v>7</v>
      </c>
      <c r="C1976" t="s">
        <v>3947</v>
      </c>
      <c r="D1976" t="str">
        <f t="shared" si="92"/>
        <v/>
      </c>
      <c r="E1976" t="s">
        <v>3948</v>
      </c>
      <c r="F1976" t="s">
        <v>6977</v>
      </c>
      <c r="H1976">
        <v>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 t="shared" si="92"/>
        <v/>
      </c>
      <c r="E1977" t="s">
        <v>3950</v>
      </c>
      <c r="F1977" t="str">
        <f t="shared" ref="F1977:F1991" si="95"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 t="shared" si="92"/>
        <v/>
      </c>
      <c r="E1978" t="s">
        <v>3952</v>
      </c>
      <c r="F1978" t="str">
        <f t="shared" si="95"/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 t="shared" si="92"/>
        <v/>
      </c>
      <c r="E1979" t="s">
        <v>3954</v>
      </c>
      <c r="F1979" t="str">
        <f t="shared" si="95"/>
        <v>5101986</v>
      </c>
    </row>
    <row r="1980" spans="1:9" x14ac:dyDescent="0.25">
      <c r="A1980">
        <v>18720</v>
      </c>
      <c r="B1980" t="s">
        <v>7</v>
      </c>
      <c r="C1980" t="s">
        <v>3955</v>
      </c>
      <c r="D1980" t="str">
        <f t="shared" ref="D1980:D2043" si="96">IF(RIGHT(LEFT(C1980,9),2)="##","",RIGHT(LEFT(C1980,10),2))</f>
        <v/>
      </c>
      <c r="E1980" t="s">
        <v>3956</v>
      </c>
      <c r="F1980" t="str">
        <f t="shared" si="95"/>
        <v>5101083</v>
      </c>
      <c r="H1980">
        <v>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 t="shared" si="96"/>
        <v/>
      </c>
      <c r="E1981" t="s">
        <v>3958</v>
      </c>
      <c r="F1981" t="str">
        <f t="shared" si="95"/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 t="shared" si="96"/>
        <v/>
      </c>
      <c r="E1982" t="s">
        <v>3960</v>
      </c>
      <c r="F1982" t="str">
        <f t="shared" si="95"/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 t="shared" si="96"/>
        <v/>
      </c>
      <c r="E1983" t="s">
        <v>3962</v>
      </c>
      <c r="F1983" t="str">
        <f t="shared" si="95"/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 t="shared" si="96"/>
        <v/>
      </c>
      <c r="E1984" t="s">
        <v>3964</v>
      </c>
      <c r="F1984" t="str">
        <f t="shared" si="95"/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 t="shared" si="96"/>
        <v/>
      </c>
      <c r="E1985" t="s">
        <v>3966</v>
      </c>
      <c r="F1985" t="str">
        <f t="shared" si="95"/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 t="shared" si="96"/>
        <v/>
      </c>
      <c r="E1986" t="s">
        <v>3968</v>
      </c>
      <c r="F1986" t="str">
        <f t="shared" si="95"/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 t="shared" si="96"/>
        <v/>
      </c>
      <c r="E1987" t="s">
        <v>3970</v>
      </c>
      <c r="F1987" t="str">
        <f t="shared" si="95"/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 t="shared" si="96"/>
        <v/>
      </c>
      <c r="E1988" t="s">
        <v>3972</v>
      </c>
      <c r="F1988" t="str">
        <f t="shared" si="95"/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 t="shared" si="96"/>
        <v/>
      </c>
      <c r="E1989" t="s">
        <v>3974</v>
      </c>
      <c r="F1989" t="str">
        <f t="shared" si="95"/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 t="shared" si="96"/>
        <v/>
      </c>
      <c r="E1990" t="s">
        <v>3976</v>
      </c>
      <c r="F1990" t="str">
        <f t="shared" si="95"/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 t="shared" si="96"/>
        <v/>
      </c>
      <c r="E1991" t="s">
        <v>3978</v>
      </c>
      <c r="F1991" t="str">
        <f t="shared" si="95"/>
        <v>5101083</v>
      </c>
    </row>
    <row r="1992" spans="1:9" x14ac:dyDescent="0.25">
      <c r="A1992">
        <v>18735</v>
      </c>
      <c r="B1992" t="s">
        <v>7</v>
      </c>
      <c r="C1992" t="s">
        <v>3979</v>
      </c>
      <c r="D1992" t="str">
        <f t="shared" si="96"/>
        <v/>
      </c>
      <c r="E1992" t="s">
        <v>3980</v>
      </c>
      <c r="F1992" t="s">
        <v>6968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 t="shared" si="96"/>
        <v/>
      </c>
      <c r="E1993" t="s">
        <v>3982</v>
      </c>
      <c r="F1993" t="str">
        <f t="shared" ref="F1993:F2036" si="97"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 t="shared" si="96"/>
        <v/>
      </c>
      <c r="E1994" t="s">
        <v>3984</v>
      </c>
      <c r="F1994" t="str">
        <f t="shared" si="97"/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 t="shared" si="96"/>
        <v/>
      </c>
      <c r="E1995" t="s">
        <v>3986</v>
      </c>
      <c r="F1995" t="str">
        <f t="shared" si="97"/>
        <v>4120005</v>
      </c>
    </row>
    <row r="1996" spans="1:9" x14ac:dyDescent="0.25">
      <c r="A1996">
        <v>18741</v>
      </c>
      <c r="B1996" t="s">
        <v>7</v>
      </c>
      <c r="C1996" t="s">
        <v>3987</v>
      </c>
      <c r="D1996" t="str">
        <f t="shared" si="96"/>
        <v/>
      </c>
      <c r="E1996" t="s">
        <v>3988</v>
      </c>
      <c r="F1996" t="str">
        <f t="shared" si="97"/>
        <v>4120003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 t="shared" si="96"/>
        <v/>
      </c>
      <c r="E1997" t="s">
        <v>3990</v>
      </c>
      <c r="F1997" t="str">
        <f t="shared" si="97"/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 t="shared" si="96"/>
        <v/>
      </c>
      <c r="E1998" t="s">
        <v>3992</v>
      </c>
      <c r="F1998" t="str">
        <f t="shared" si="97"/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 t="shared" si="96"/>
        <v/>
      </c>
      <c r="E1999" t="s">
        <v>3994</v>
      </c>
      <c r="F1999" t="str">
        <f t="shared" si="97"/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 t="shared" si="96"/>
        <v/>
      </c>
      <c r="E2000" t="s">
        <v>3996</v>
      </c>
      <c r="F2000" t="str">
        <f t="shared" si="97"/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 t="shared" si="96"/>
        <v/>
      </c>
      <c r="E2001" t="s">
        <v>3998</v>
      </c>
      <c r="F2001" t="str">
        <f t="shared" si="97"/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 t="shared" si="96"/>
        <v/>
      </c>
      <c r="E2002" t="s">
        <v>4000</v>
      </c>
      <c r="F2002" t="str">
        <f t="shared" si="97"/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 t="shared" si="96"/>
        <v/>
      </c>
      <c r="E2003" t="s">
        <v>4002</v>
      </c>
      <c r="F2003" t="str">
        <f t="shared" si="97"/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 t="shared" si="96"/>
        <v/>
      </c>
      <c r="E2004" t="s">
        <v>4004</v>
      </c>
      <c r="F2004" t="str">
        <f t="shared" si="97"/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 t="shared" si="96"/>
        <v/>
      </c>
      <c r="E2005" t="s">
        <v>4006</v>
      </c>
      <c r="F2005" t="str">
        <f t="shared" si="97"/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 t="shared" si="96"/>
        <v/>
      </c>
      <c r="E2006" t="s">
        <v>4008</v>
      </c>
      <c r="F2006" t="str">
        <f t="shared" si="97"/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 t="shared" si="96"/>
        <v/>
      </c>
      <c r="E2007" t="s">
        <v>4010</v>
      </c>
      <c r="F2007" t="str">
        <f t="shared" si="97"/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 t="shared" si="96"/>
        <v/>
      </c>
      <c r="E2008" t="s">
        <v>4012</v>
      </c>
      <c r="F2008" t="str">
        <f t="shared" si="97"/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 t="shared" si="96"/>
        <v/>
      </c>
      <c r="E2009" t="s">
        <v>4014</v>
      </c>
      <c r="F2009" t="str">
        <f t="shared" si="97"/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 t="shared" si="96"/>
        <v/>
      </c>
      <c r="E2010" t="s">
        <v>4016</v>
      </c>
      <c r="F2010" t="str">
        <f t="shared" si="97"/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 t="shared" si="96"/>
        <v/>
      </c>
      <c r="E2011" t="s">
        <v>4018</v>
      </c>
      <c r="F2011" t="str">
        <f t="shared" si="97"/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 t="shared" si="96"/>
        <v/>
      </c>
      <c r="E2012" t="s">
        <v>4020</v>
      </c>
      <c r="F2012" t="str">
        <f t="shared" si="97"/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 t="shared" si="96"/>
        <v/>
      </c>
      <c r="E2013" t="s">
        <v>4022</v>
      </c>
      <c r="F2013" t="str">
        <f t="shared" si="97"/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 t="shared" si="96"/>
        <v/>
      </c>
      <c r="E2014" t="s">
        <v>4024</v>
      </c>
      <c r="F2014" t="str">
        <f t="shared" si="97"/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 t="shared" si="96"/>
        <v/>
      </c>
      <c r="E2015" t="s">
        <v>4026</v>
      </c>
      <c r="F2015" t="str">
        <f t="shared" si="97"/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 t="shared" si="96"/>
        <v/>
      </c>
      <c r="E2016" t="s">
        <v>4028</v>
      </c>
      <c r="F2016" t="str">
        <f t="shared" si="97"/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 t="shared" si="96"/>
        <v/>
      </c>
      <c r="E2017" t="s">
        <v>4030</v>
      </c>
      <c r="F2017" t="str">
        <f t="shared" si="97"/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 t="shared" si="96"/>
        <v/>
      </c>
      <c r="E2018" t="s">
        <v>4032</v>
      </c>
      <c r="F2018" t="str">
        <f t="shared" si="97"/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 t="shared" si="96"/>
        <v/>
      </c>
      <c r="E2019" t="s">
        <v>4034</v>
      </c>
      <c r="F2019" t="str">
        <f t="shared" si="97"/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 t="shared" si="96"/>
        <v/>
      </c>
      <c r="E2020" t="s">
        <v>4036</v>
      </c>
      <c r="F2020" t="str">
        <f t="shared" si="97"/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 t="shared" si="96"/>
        <v/>
      </c>
      <c r="E2021" t="s">
        <v>4038</v>
      </c>
      <c r="F2021" t="str">
        <f t="shared" si="97"/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 t="shared" si="96"/>
        <v/>
      </c>
      <c r="E2022" t="s">
        <v>4040</v>
      </c>
      <c r="F2022" t="str">
        <f t="shared" si="97"/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 t="shared" si="96"/>
        <v/>
      </c>
      <c r="E2023" t="s">
        <v>4042</v>
      </c>
      <c r="F2023" t="str">
        <f t="shared" si="97"/>
        <v>8505606</v>
      </c>
    </row>
    <row r="2024" spans="1:9" x14ac:dyDescent="0.25">
      <c r="A2024">
        <v>18839</v>
      </c>
      <c r="B2024" t="s">
        <v>7</v>
      </c>
      <c r="C2024" t="s">
        <v>4043</v>
      </c>
      <c r="D2024" t="str">
        <f t="shared" si="96"/>
        <v/>
      </c>
      <c r="E2024" t="s">
        <v>4044</v>
      </c>
      <c r="F2024" t="str">
        <f t="shared" si="97"/>
        <v>8705233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 t="shared" si="96"/>
        <v/>
      </c>
      <c r="E2025" t="s">
        <v>4046</v>
      </c>
      <c r="F2025" t="str">
        <f t="shared" si="97"/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 t="shared" si="96"/>
        <v/>
      </c>
      <c r="E2026" t="s">
        <v>4048</v>
      </c>
      <c r="F2026" t="str">
        <f t="shared" si="97"/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 t="shared" si="96"/>
        <v/>
      </c>
      <c r="E2027" t="s">
        <v>4050</v>
      </c>
      <c r="F2027" t="str">
        <f t="shared" si="97"/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 t="shared" si="96"/>
        <v/>
      </c>
      <c r="E2028" t="s">
        <v>4052</v>
      </c>
      <c r="F2028" t="str">
        <f t="shared" si="97"/>
        <v>5610102</v>
      </c>
    </row>
    <row r="2029" spans="1:9" x14ac:dyDescent="0.25">
      <c r="A2029">
        <v>18863</v>
      </c>
      <c r="B2029" t="s">
        <v>7</v>
      </c>
      <c r="C2029" t="s">
        <v>4053</v>
      </c>
      <c r="D2029" t="str">
        <f t="shared" si="96"/>
        <v/>
      </c>
      <c r="E2029" t="s">
        <v>4054</v>
      </c>
      <c r="F2029" t="str">
        <f t="shared" si="97"/>
        <v>1120428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 t="shared" si="96"/>
        <v/>
      </c>
      <c r="E2030" t="s">
        <v>4056</v>
      </c>
      <c r="F2030" t="str">
        <f t="shared" si="97"/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 t="shared" si="96"/>
        <v/>
      </c>
      <c r="E2031" t="s">
        <v>4058</v>
      </c>
      <c r="F2031" t="str">
        <f t="shared" si="97"/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 t="shared" si="96"/>
        <v/>
      </c>
      <c r="E2032" t="s">
        <v>4060</v>
      </c>
      <c r="F2032" t="str">
        <f t="shared" si="97"/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 t="shared" si="96"/>
        <v/>
      </c>
      <c r="E2033" t="s">
        <v>4062</v>
      </c>
      <c r="F2033" t="str">
        <f t="shared" si="97"/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 t="shared" si="96"/>
        <v/>
      </c>
      <c r="E2034" t="s">
        <v>4064</v>
      </c>
      <c r="F2034" t="str">
        <f t="shared" si="97"/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 t="shared" si="96"/>
        <v/>
      </c>
      <c r="E2035" t="s">
        <v>4066</v>
      </c>
      <c r="F2035" t="str">
        <f t="shared" si="97"/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 t="shared" si="96"/>
        <v/>
      </c>
      <c r="E2036" t="s">
        <v>4068</v>
      </c>
      <c r="F2036" t="str">
        <f t="shared" si="97"/>
        <v>1120428</v>
      </c>
    </row>
    <row r="2037" spans="1:9" x14ac:dyDescent="0.25">
      <c r="A2037">
        <v>18875</v>
      </c>
      <c r="B2037" t="s">
        <v>7</v>
      </c>
      <c r="C2037" t="s">
        <v>4069</v>
      </c>
      <c r="D2037" t="str">
        <f t="shared" si="96"/>
        <v/>
      </c>
      <c r="E2037" t="s">
        <v>4070</v>
      </c>
      <c r="F2037" t="s">
        <v>6950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 t="shared" si="96"/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 t="shared" si="96"/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 t="shared" si="96"/>
        <v/>
      </c>
      <c r="E2040" t="s">
        <v>4076</v>
      </c>
      <c r="F2040" t="str">
        <f>LEFT(C2040,7)</f>
        <v>1120449</v>
      </c>
    </row>
    <row r="2041" spans="1:9" x14ac:dyDescent="0.25">
      <c r="A2041">
        <v>18879</v>
      </c>
      <c r="B2041" t="s">
        <v>7</v>
      </c>
      <c r="C2041" t="s">
        <v>4077</v>
      </c>
      <c r="D2041" t="str">
        <f t="shared" si="96"/>
        <v/>
      </c>
      <c r="E2041" t="s">
        <v>4078</v>
      </c>
      <c r="F2041" t="s">
        <v>6949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 t="shared" si="96"/>
        <v/>
      </c>
      <c r="E2042" t="s">
        <v>4080</v>
      </c>
      <c r="F2042" t="str">
        <f t="shared" ref="F2042:F2059" si="98"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 t="shared" si="96"/>
        <v/>
      </c>
      <c r="E2043" t="s">
        <v>4082</v>
      </c>
      <c r="F2043" t="str">
        <f t="shared" si="98"/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 t="shared" ref="D2044:D2107" si="99">IF(RIGHT(LEFT(C2044,9),2)="##","",RIGHT(LEFT(C2044,10),2))</f>
        <v/>
      </c>
      <c r="E2044" t="s">
        <v>4084</v>
      </c>
      <c r="F2044" t="str">
        <f t="shared" si="98"/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 t="shared" si="99"/>
        <v/>
      </c>
      <c r="E2045" t="s">
        <v>4086</v>
      </c>
      <c r="F2045" t="str">
        <f t="shared" si="98"/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 t="shared" si="99"/>
        <v/>
      </c>
      <c r="E2046" t="s">
        <v>4088</v>
      </c>
      <c r="F2046" t="str">
        <f t="shared" si="98"/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 t="shared" si="99"/>
        <v/>
      </c>
      <c r="E2047" t="s">
        <v>4090</v>
      </c>
      <c r="F2047" t="str">
        <f t="shared" si="98"/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 t="shared" si="99"/>
        <v/>
      </c>
      <c r="E2048" t="s">
        <v>4092</v>
      </c>
      <c r="F2048" t="str">
        <f t="shared" si="98"/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 t="shared" si="99"/>
        <v/>
      </c>
      <c r="E2049" t="s">
        <v>4094</v>
      </c>
      <c r="F2049" t="str">
        <f t="shared" si="98"/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 t="shared" si="99"/>
        <v/>
      </c>
      <c r="E2050" t="s">
        <v>4096</v>
      </c>
      <c r="F2050" t="str">
        <f t="shared" si="98"/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 t="shared" si="99"/>
        <v/>
      </c>
      <c r="E2051" t="s">
        <v>4098</v>
      </c>
      <c r="F2051" t="str">
        <f t="shared" si="98"/>
        <v>7700106</v>
      </c>
    </row>
    <row r="2052" spans="1:9" x14ac:dyDescent="0.25">
      <c r="A2052">
        <v>18905</v>
      </c>
      <c r="B2052" t="s">
        <v>7</v>
      </c>
      <c r="C2052" t="s">
        <v>4099</v>
      </c>
      <c r="D2052" t="str">
        <f t="shared" si="99"/>
        <v/>
      </c>
      <c r="E2052" t="s">
        <v>4100</v>
      </c>
      <c r="F2052" t="str">
        <f t="shared" si="98"/>
        <v>1120876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 t="shared" si="99"/>
        <v/>
      </c>
      <c r="E2053" t="s">
        <v>4102</v>
      </c>
      <c r="F2053" t="str">
        <f t="shared" si="98"/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 t="shared" si="99"/>
        <v/>
      </c>
      <c r="E2054" t="s">
        <v>4104</v>
      </c>
      <c r="F2054" t="str">
        <f t="shared" si="98"/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 t="shared" si="99"/>
        <v/>
      </c>
      <c r="E2055" t="s">
        <v>4106</v>
      </c>
      <c r="F2055" t="str">
        <f t="shared" si="98"/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 t="shared" si="99"/>
        <v/>
      </c>
      <c r="E2056" t="s">
        <v>4108</v>
      </c>
      <c r="F2056" t="str">
        <f t="shared" si="98"/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 t="shared" si="99"/>
        <v/>
      </c>
      <c r="E2057" t="s">
        <v>4110</v>
      </c>
      <c r="F2057" t="str">
        <f t="shared" si="98"/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 t="shared" si="99"/>
        <v/>
      </c>
      <c r="E2058" t="s">
        <v>4112</v>
      </c>
      <c r="F2058" t="str">
        <f t="shared" si="98"/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 t="shared" si="99"/>
        <v/>
      </c>
      <c r="E2059" t="s">
        <v>4114</v>
      </c>
      <c r="F2059" t="str">
        <f t="shared" si="98"/>
        <v>1120876</v>
      </c>
    </row>
    <row r="2060" spans="1:9" x14ac:dyDescent="0.25">
      <c r="A2060">
        <v>18917</v>
      </c>
      <c r="B2060" t="s">
        <v>7</v>
      </c>
      <c r="C2060" t="s">
        <v>4115</v>
      </c>
      <c r="D2060" t="str">
        <f t="shared" si="99"/>
        <v/>
      </c>
      <c r="E2060" t="s">
        <v>4116</v>
      </c>
      <c r="F2060" t="s">
        <v>6932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 t="shared" si="99"/>
        <v/>
      </c>
      <c r="E2061" t="s">
        <v>4118</v>
      </c>
      <c r="F2061" t="str">
        <f t="shared" ref="F2061:F2078" si="100"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 t="shared" si="99"/>
        <v/>
      </c>
      <c r="E2062" t="s">
        <v>4120</v>
      </c>
      <c r="F2062" t="str">
        <f t="shared" si="100"/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 t="shared" si="99"/>
        <v/>
      </c>
      <c r="E2063" t="s">
        <v>4122</v>
      </c>
      <c r="F2063" t="str">
        <f t="shared" si="100"/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 t="shared" si="99"/>
        <v/>
      </c>
      <c r="E2064" t="s">
        <v>4124</v>
      </c>
      <c r="F2064" t="str">
        <f t="shared" si="100"/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 t="shared" si="99"/>
        <v/>
      </c>
      <c r="E2065" t="s">
        <v>4126</v>
      </c>
      <c r="F2065" t="str">
        <f t="shared" si="100"/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 t="shared" si="99"/>
        <v/>
      </c>
      <c r="E2066" t="s">
        <v>4128</v>
      </c>
      <c r="F2066" t="str">
        <f t="shared" si="100"/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 t="shared" si="99"/>
        <v/>
      </c>
      <c r="E2067" t="s">
        <v>4130</v>
      </c>
      <c r="F2067" t="str">
        <f t="shared" si="100"/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 t="shared" si="99"/>
        <v/>
      </c>
      <c r="E2068" t="s">
        <v>4132</v>
      </c>
      <c r="F2068" t="str">
        <f t="shared" si="100"/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 t="shared" si="99"/>
        <v/>
      </c>
      <c r="E2069" t="s">
        <v>4134</v>
      </c>
      <c r="F2069" t="str">
        <f t="shared" si="100"/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 t="shared" si="99"/>
        <v/>
      </c>
      <c r="E2070" t="s">
        <v>4136</v>
      </c>
      <c r="F2070" t="str">
        <f t="shared" si="100"/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 t="shared" si="99"/>
        <v/>
      </c>
      <c r="E2071" t="s">
        <v>4138</v>
      </c>
      <c r="F2071" t="str">
        <f t="shared" si="100"/>
        <v>7700450</v>
      </c>
    </row>
    <row r="2072" spans="1:9" x14ac:dyDescent="0.25">
      <c r="A2072">
        <v>18945</v>
      </c>
      <c r="B2072" t="s">
        <v>7</v>
      </c>
      <c r="C2072" t="s">
        <v>4139</v>
      </c>
      <c r="D2072" t="str">
        <f t="shared" si="99"/>
        <v/>
      </c>
      <c r="E2072" t="s">
        <v>4140</v>
      </c>
      <c r="F2072" t="str">
        <f t="shared" si="100"/>
        <v>1120950</v>
      </c>
      <c r="H2072">
        <v>4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 t="shared" si="99"/>
        <v/>
      </c>
      <c r="E2073" t="s">
        <v>4142</v>
      </c>
      <c r="F2073" t="str">
        <f t="shared" si="100"/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 t="shared" si="99"/>
        <v/>
      </c>
      <c r="E2074" t="s">
        <v>4144</v>
      </c>
      <c r="F2074" t="str">
        <f t="shared" si="100"/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 t="shared" si="99"/>
        <v/>
      </c>
      <c r="E2075" t="s">
        <v>4146</v>
      </c>
      <c r="F2075" t="str">
        <f t="shared" si="100"/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 t="shared" si="99"/>
        <v/>
      </c>
      <c r="E2076" t="s">
        <v>4148</v>
      </c>
      <c r="F2076" t="str">
        <f t="shared" si="100"/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 t="shared" si="99"/>
        <v/>
      </c>
      <c r="E2077" t="s">
        <v>4150</v>
      </c>
      <c r="F2077" t="str">
        <f t="shared" si="100"/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 t="shared" si="99"/>
        <v/>
      </c>
      <c r="E2078" t="s">
        <v>4152</v>
      </c>
      <c r="F2078" t="str">
        <f t="shared" si="100"/>
        <v>1120950</v>
      </c>
    </row>
    <row r="2079" spans="1:9" x14ac:dyDescent="0.25">
      <c r="A2079">
        <v>18956</v>
      </c>
      <c r="B2079" t="s">
        <v>7</v>
      </c>
      <c r="C2079" t="s">
        <v>4153</v>
      </c>
      <c r="D2079" t="str">
        <f t="shared" si="99"/>
        <v/>
      </c>
      <c r="E2079" t="s">
        <v>4154</v>
      </c>
      <c r="F2079" t="s">
        <v>6916</v>
      </c>
      <c r="H2079">
        <v>4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 t="shared" si="99"/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 t="shared" si="99"/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 t="shared" si="99"/>
        <v/>
      </c>
      <c r="E2082" t="s">
        <v>4160</v>
      </c>
      <c r="F2082" t="str">
        <f>LEFT(C2082,7)</f>
        <v>1120952</v>
      </c>
    </row>
    <row r="2083" spans="1:9" x14ac:dyDescent="0.25">
      <c r="A2083">
        <v>18960</v>
      </c>
      <c r="B2083" t="s">
        <v>7</v>
      </c>
      <c r="C2083" t="s">
        <v>4161</v>
      </c>
      <c r="D2083" t="str">
        <f t="shared" si="99"/>
        <v/>
      </c>
      <c r="E2083" t="s">
        <v>4162</v>
      </c>
      <c r="F2083" t="s">
        <v>7013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 t="shared" si="99"/>
        <v/>
      </c>
      <c r="E2084" t="s">
        <v>4164</v>
      </c>
      <c r="F2084" t="str">
        <f t="shared" ref="F2084:F2112" si="101"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 t="shared" si="99"/>
        <v/>
      </c>
      <c r="E2085" t="s">
        <v>4166</v>
      </c>
      <c r="F2085" t="str">
        <f t="shared" si="101"/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 t="shared" si="99"/>
        <v/>
      </c>
      <c r="E2086" t="s">
        <v>4168</v>
      </c>
      <c r="F2086" t="str">
        <f t="shared" si="101"/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 t="shared" si="99"/>
        <v/>
      </c>
      <c r="E2087" t="s">
        <v>4170</v>
      </c>
      <c r="F2087" t="str">
        <f t="shared" si="101"/>
        <v>8205116</v>
      </c>
    </row>
    <row r="2088" spans="1:9" x14ac:dyDescent="0.25">
      <c r="A2088">
        <v>18965</v>
      </c>
      <c r="B2088" t="s">
        <v>7</v>
      </c>
      <c r="C2088" t="s">
        <v>4171</v>
      </c>
      <c r="D2088" t="str">
        <f t="shared" si="99"/>
        <v/>
      </c>
      <c r="E2088" t="s">
        <v>4172</v>
      </c>
      <c r="F2088" t="str">
        <f t="shared" si="101"/>
        <v>8703038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 t="shared" si="99"/>
        <v/>
      </c>
      <c r="E2089" t="s">
        <v>4174</v>
      </c>
      <c r="F2089" t="str">
        <f t="shared" si="101"/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 t="shared" si="99"/>
        <v/>
      </c>
      <c r="E2090" t="s">
        <v>4176</v>
      </c>
      <c r="F2090" t="str">
        <f t="shared" si="101"/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 t="shared" si="99"/>
        <v/>
      </c>
      <c r="E2091" t="s">
        <v>4178</v>
      </c>
      <c r="F2091" t="str">
        <f t="shared" si="101"/>
        <v>8703038</v>
      </c>
    </row>
    <row r="2092" spans="1:9" hidden="1" x14ac:dyDescent="0.25">
      <c r="A2092">
        <v>18975</v>
      </c>
      <c r="B2092" t="s">
        <v>4</v>
      </c>
      <c r="C2092" t="s">
        <v>4179</v>
      </c>
      <c r="D2092" t="str">
        <f t="shared" si="99"/>
        <v/>
      </c>
      <c r="E2092" t="s">
        <v>4180</v>
      </c>
      <c r="F2092" t="str">
        <f t="shared" si="101"/>
        <v>8612793</v>
      </c>
    </row>
    <row r="2093" spans="1:9" hidden="1" x14ac:dyDescent="0.25">
      <c r="A2093">
        <v>18978</v>
      </c>
      <c r="B2093" t="s">
        <v>4</v>
      </c>
      <c r="C2093" t="s">
        <v>4181</v>
      </c>
      <c r="D2093" t="str">
        <f t="shared" si="99"/>
        <v/>
      </c>
      <c r="E2093" t="s">
        <v>4182</v>
      </c>
      <c r="F2093" t="str">
        <f t="shared" si="101"/>
        <v>8612794</v>
      </c>
    </row>
    <row r="2094" spans="1:9" hidden="1" x14ac:dyDescent="0.25">
      <c r="A2094">
        <v>18981</v>
      </c>
      <c r="B2094" t="s">
        <v>4</v>
      </c>
      <c r="C2094" t="s">
        <v>4183</v>
      </c>
      <c r="D2094" t="str">
        <f t="shared" si="99"/>
        <v/>
      </c>
      <c r="E2094" t="s">
        <v>4184</v>
      </c>
      <c r="F2094" t="str">
        <f t="shared" si="101"/>
        <v>8612523</v>
      </c>
    </row>
    <row r="2095" spans="1:9" hidden="1" x14ac:dyDescent="0.25">
      <c r="A2095">
        <v>18989</v>
      </c>
      <c r="B2095" t="s">
        <v>4</v>
      </c>
      <c r="C2095" t="s">
        <v>4185</v>
      </c>
      <c r="D2095" t="str">
        <f t="shared" si="99"/>
        <v/>
      </c>
      <c r="E2095" t="s">
        <v>4186</v>
      </c>
      <c r="F2095" t="str">
        <f t="shared" si="101"/>
        <v>8612462</v>
      </c>
    </row>
    <row r="2096" spans="1:9" hidden="1" x14ac:dyDescent="0.25">
      <c r="A2096">
        <v>18992</v>
      </c>
      <c r="B2096" t="s">
        <v>4</v>
      </c>
      <c r="C2096" t="s">
        <v>4187</v>
      </c>
      <c r="D2096" t="str">
        <f t="shared" si="99"/>
        <v/>
      </c>
      <c r="E2096" t="s">
        <v>4188</v>
      </c>
      <c r="F2096" t="str">
        <f t="shared" si="101"/>
        <v>8708115</v>
      </c>
    </row>
    <row r="2097" spans="1:9" x14ac:dyDescent="0.25">
      <c r="A2097">
        <v>18997</v>
      </c>
      <c r="B2097" t="s">
        <v>7</v>
      </c>
      <c r="C2097" t="s">
        <v>4189</v>
      </c>
      <c r="D2097" t="str">
        <f t="shared" si="99"/>
        <v/>
      </c>
      <c r="E2097" t="s">
        <v>4190</v>
      </c>
      <c r="F2097" t="str">
        <f t="shared" si="101"/>
        <v>5101088</v>
      </c>
    </row>
    <row r="2098" spans="1:9" hidden="1" x14ac:dyDescent="0.25">
      <c r="A2098">
        <v>18998</v>
      </c>
      <c r="B2098" t="s">
        <v>10</v>
      </c>
      <c r="C2098" t="s">
        <v>4191</v>
      </c>
      <c r="D2098" t="str">
        <f t="shared" si="99"/>
        <v/>
      </c>
      <c r="E2098" t="s">
        <v>4192</v>
      </c>
      <c r="F2098" t="str">
        <f t="shared" si="101"/>
        <v>5101088</v>
      </c>
    </row>
    <row r="2099" spans="1:9" hidden="1" x14ac:dyDescent="0.25">
      <c r="A2099">
        <v>19006</v>
      </c>
      <c r="B2099" t="s">
        <v>10</v>
      </c>
      <c r="C2099" t="s">
        <v>4193</v>
      </c>
      <c r="D2099" t="str">
        <f t="shared" si="99"/>
        <v/>
      </c>
      <c r="E2099" t="s">
        <v>4194</v>
      </c>
      <c r="F2099" t="str">
        <f t="shared" si="101"/>
        <v>5101088</v>
      </c>
    </row>
    <row r="2100" spans="1:9" x14ac:dyDescent="0.25">
      <c r="A2100">
        <v>19007</v>
      </c>
      <c r="B2100" t="s">
        <v>7</v>
      </c>
      <c r="C2100" t="s">
        <v>4195</v>
      </c>
      <c r="D2100" t="str">
        <f t="shared" si="99"/>
        <v/>
      </c>
      <c r="E2100" t="s">
        <v>4196</v>
      </c>
      <c r="F2100" t="str">
        <f t="shared" si="101"/>
        <v>5101912</v>
      </c>
    </row>
    <row r="2101" spans="1:9" hidden="1" x14ac:dyDescent="0.25">
      <c r="A2101">
        <v>19008</v>
      </c>
      <c r="B2101" t="s">
        <v>10</v>
      </c>
      <c r="C2101" t="s">
        <v>4197</v>
      </c>
      <c r="D2101" t="str">
        <f t="shared" si="99"/>
        <v/>
      </c>
      <c r="E2101" t="s">
        <v>4198</v>
      </c>
      <c r="F2101" t="str">
        <f t="shared" si="101"/>
        <v>5101912</v>
      </c>
    </row>
    <row r="2102" spans="1:9" hidden="1" x14ac:dyDescent="0.25">
      <c r="A2102">
        <v>19009</v>
      </c>
      <c r="B2102" t="s">
        <v>10</v>
      </c>
      <c r="C2102" t="s">
        <v>4199</v>
      </c>
      <c r="D2102" t="str">
        <f t="shared" si="99"/>
        <v/>
      </c>
      <c r="E2102" t="s">
        <v>4200</v>
      </c>
      <c r="F2102" t="str">
        <f t="shared" si="101"/>
        <v>5101912</v>
      </c>
    </row>
    <row r="2103" spans="1:9" hidden="1" x14ac:dyDescent="0.25">
      <c r="A2103">
        <v>19010</v>
      </c>
      <c r="B2103" t="s">
        <v>10</v>
      </c>
      <c r="C2103" t="s">
        <v>4201</v>
      </c>
      <c r="D2103" t="str">
        <f t="shared" si="99"/>
        <v/>
      </c>
      <c r="E2103" t="s">
        <v>4202</v>
      </c>
      <c r="F2103" t="str">
        <f t="shared" si="101"/>
        <v>5101912</v>
      </c>
    </row>
    <row r="2104" spans="1:9" hidden="1" x14ac:dyDescent="0.25">
      <c r="A2104">
        <v>19011</v>
      </c>
      <c r="B2104" t="s">
        <v>10</v>
      </c>
      <c r="C2104" t="s">
        <v>4203</v>
      </c>
      <c r="D2104" t="str">
        <f t="shared" si="99"/>
        <v/>
      </c>
      <c r="E2104" t="s">
        <v>4204</v>
      </c>
      <c r="F2104" t="str">
        <f t="shared" si="101"/>
        <v>5101912</v>
      </c>
    </row>
    <row r="2105" spans="1:9" hidden="1" x14ac:dyDescent="0.25">
      <c r="A2105">
        <v>19012</v>
      </c>
      <c r="B2105" t="s">
        <v>10</v>
      </c>
      <c r="C2105" t="s">
        <v>4205</v>
      </c>
      <c r="D2105" t="str">
        <f t="shared" si="99"/>
        <v/>
      </c>
      <c r="E2105" t="s">
        <v>4206</v>
      </c>
      <c r="F2105" t="str">
        <f t="shared" si="101"/>
        <v>5101912</v>
      </c>
    </row>
    <row r="2106" spans="1:9" x14ac:dyDescent="0.25">
      <c r="A2106">
        <v>19013</v>
      </c>
      <c r="B2106" t="s">
        <v>7</v>
      </c>
      <c r="C2106" t="s">
        <v>4207</v>
      </c>
      <c r="D2106" t="str">
        <f t="shared" si="99"/>
        <v/>
      </c>
      <c r="E2106" t="s">
        <v>4208</v>
      </c>
      <c r="F2106" t="str">
        <f t="shared" si="101"/>
        <v>4120600</v>
      </c>
      <c r="I2106">
        <v>1</v>
      </c>
    </row>
    <row r="2107" spans="1:9" hidden="1" x14ac:dyDescent="0.25">
      <c r="A2107">
        <v>19014</v>
      </c>
      <c r="B2107" t="s">
        <v>10</v>
      </c>
      <c r="C2107" t="s">
        <v>4209</v>
      </c>
      <c r="D2107" t="str">
        <f t="shared" si="99"/>
        <v/>
      </c>
      <c r="E2107" t="s">
        <v>4210</v>
      </c>
      <c r="F2107" t="str">
        <f t="shared" si="101"/>
        <v>4120600</v>
      </c>
    </row>
    <row r="2108" spans="1:9" hidden="1" x14ac:dyDescent="0.25">
      <c r="A2108">
        <v>19015</v>
      </c>
      <c r="B2108" t="s">
        <v>10</v>
      </c>
      <c r="C2108" t="s">
        <v>4211</v>
      </c>
      <c r="D2108" t="str">
        <f t="shared" ref="D2108:D2171" si="102">IF(RIGHT(LEFT(C2108,9),2)="##","",RIGHT(LEFT(C2108,10),2))</f>
        <v/>
      </c>
      <c r="E2108" t="s">
        <v>4212</v>
      </c>
      <c r="F2108" t="str">
        <f t="shared" si="101"/>
        <v>4120600</v>
      </c>
    </row>
    <row r="2109" spans="1:9" hidden="1" x14ac:dyDescent="0.25">
      <c r="A2109">
        <v>19016</v>
      </c>
      <c r="B2109" t="s">
        <v>10</v>
      </c>
      <c r="C2109" t="s">
        <v>4213</v>
      </c>
      <c r="D2109" t="str">
        <f t="shared" si="102"/>
        <v/>
      </c>
      <c r="E2109" t="s">
        <v>4214</v>
      </c>
      <c r="F2109" t="str">
        <f t="shared" si="101"/>
        <v>4120600</v>
      </c>
    </row>
    <row r="2110" spans="1:9" hidden="1" x14ac:dyDescent="0.25">
      <c r="A2110">
        <v>19017</v>
      </c>
      <c r="B2110" t="s">
        <v>10</v>
      </c>
      <c r="C2110" t="s">
        <v>4215</v>
      </c>
      <c r="D2110" t="str">
        <f t="shared" si="102"/>
        <v/>
      </c>
      <c r="E2110" t="s">
        <v>4216</v>
      </c>
      <c r="F2110" t="str">
        <f t="shared" si="101"/>
        <v>4120600</v>
      </c>
    </row>
    <row r="2111" spans="1:9" hidden="1" x14ac:dyDescent="0.25">
      <c r="A2111">
        <v>19018</v>
      </c>
      <c r="B2111" t="s">
        <v>10</v>
      </c>
      <c r="C2111" t="s">
        <v>4217</v>
      </c>
      <c r="D2111" t="str">
        <f t="shared" si="102"/>
        <v/>
      </c>
      <c r="E2111" t="s">
        <v>4218</v>
      </c>
      <c r="F2111" t="str">
        <f t="shared" si="101"/>
        <v>4120600</v>
      </c>
    </row>
    <row r="2112" spans="1:9" hidden="1" x14ac:dyDescent="0.25">
      <c r="A2112">
        <v>19019</v>
      </c>
      <c r="B2112" t="s">
        <v>10</v>
      </c>
      <c r="C2112" t="s">
        <v>4219</v>
      </c>
      <c r="D2112" t="str">
        <f t="shared" si="102"/>
        <v/>
      </c>
      <c r="E2112" t="s">
        <v>4220</v>
      </c>
      <c r="F2112" t="str">
        <f t="shared" si="101"/>
        <v>4120600</v>
      </c>
    </row>
    <row r="2113" spans="1:9" x14ac:dyDescent="0.25">
      <c r="A2113">
        <v>19020</v>
      </c>
      <c r="B2113" t="s">
        <v>7</v>
      </c>
      <c r="C2113" t="s">
        <v>4221</v>
      </c>
      <c r="D2113" t="str">
        <f t="shared" si="102"/>
        <v/>
      </c>
      <c r="E2113" t="s">
        <v>4222</v>
      </c>
      <c r="F2113" t="s">
        <v>6953</v>
      </c>
      <c r="I2113">
        <v>1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 t="shared" si="102"/>
        <v/>
      </c>
      <c r="E2114" t="s">
        <v>4224</v>
      </c>
      <c r="F2114" t="str">
        <f t="shared" ref="F2114:F2123" si="103"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 t="shared" si="102"/>
        <v/>
      </c>
      <c r="E2115" t="s">
        <v>4226</v>
      </c>
      <c r="F2115" t="str">
        <f t="shared" si="103"/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 t="shared" si="102"/>
        <v/>
      </c>
      <c r="E2116" t="s">
        <v>4228</v>
      </c>
      <c r="F2116" t="str">
        <f t="shared" si="103"/>
        <v>4120601</v>
      </c>
    </row>
    <row r="2117" spans="1:9" x14ac:dyDescent="0.25">
      <c r="A2117">
        <v>19024</v>
      </c>
      <c r="B2117" t="s">
        <v>7</v>
      </c>
      <c r="C2117" t="s">
        <v>4229</v>
      </c>
      <c r="D2117" t="str">
        <f t="shared" si="102"/>
        <v/>
      </c>
      <c r="E2117" t="s">
        <v>4230</v>
      </c>
      <c r="F2117" t="str">
        <f t="shared" si="103"/>
        <v>4120670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 t="shared" si="102"/>
        <v/>
      </c>
      <c r="E2118" t="s">
        <v>4232</v>
      </c>
      <c r="F2118" t="str">
        <f t="shared" si="103"/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 t="shared" si="102"/>
        <v/>
      </c>
      <c r="E2119" t="s">
        <v>4234</v>
      </c>
      <c r="F2119" t="str">
        <f t="shared" si="103"/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 t="shared" si="102"/>
        <v/>
      </c>
      <c r="E2120" t="s">
        <v>4236</v>
      </c>
      <c r="F2120" t="str">
        <f t="shared" si="103"/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 t="shared" si="102"/>
        <v/>
      </c>
      <c r="E2121" t="s">
        <v>4238</v>
      </c>
      <c r="F2121" t="str">
        <f t="shared" si="103"/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 t="shared" si="102"/>
        <v/>
      </c>
      <c r="E2122" t="s">
        <v>4240</v>
      </c>
      <c r="F2122" t="str">
        <f t="shared" si="103"/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 t="shared" si="102"/>
        <v/>
      </c>
      <c r="E2123" t="s">
        <v>4242</v>
      </c>
      <c r="F2123" t="str">
        <f t="shared" si="103"/>
        <v>4120670</v>
      </c>
    </row>
    <row r="2124" spans="1:9" x14ac:dyDescent="0.25">
      <c r="A2124">
        <v>19031</v>
      </c>
      <c r="B2124" t="s">
        <v>7</v>
      </c>
      <c r="C2124" t="s">
        <v>4243</v>
      </c>
      <c r="D2124" t="str">
        <f t="shared" si="102"/>
        <v/>
      </c>
      <c r="E2124" t="s">
        <v>4244</v>
      </c>
      <c r="F2124" t="s">
        <v>6955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 t="shared" si="102"/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 t="shared" si="102"/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 t="shared" si="102"/>
        <v/>
      </c>
      <c r="E2127" t="s">
        <v>4250</v>
      </c>
      <c r="F2127" t="str">
        <f>LEFT(C2127,7)</f>
        <v>4120672</v>
      </c>
    </row>
    <row r="2128" spans="1:9" x14ac:dyDescent="0.25">
      <c r="A2128">
        <v>19035</v>
      </c>
      <c r="B2128" t="s">
        <v>7</v>
      </c>
      <c r="C2128" t="s">
        <v>4251</v>
      </c>
      <c r="D2128" t="str">
        <f t="shared" si="102"/>
        <v/>
      </c>
      <c r="E2128" t="s">
        <v>4252</v>
      </c>
      <c r="F2128" t="s">
        <v>6956</v>
      </c>
      <c r="I2128">
        <v>1</v>
      </c>
    </row>
    <row r="2129" spans="1:9" hidden="1" x14ac:dyDescent="0.25">
      <c r="A2129">
        <v>19036</v>
      </c>
      <c r="B2129" t="s">
        <v>10</v>
      </c>
      <c r="C2129" t="s">
        <v>4253</v>
      </c>
      <c r="D2129" t="str">
        <f t="shared" si="102"/>
        <v/>
      </c>
      <c r="E2129" t="s">
        <v>4254</v>
      </c>
      <c r="F2129" t="str">
        <f t="shared" ref="F2129:F2134" si="104">LEFT(C2129,7)</f>
        <v>4120700</v>
      </c>
    </row>
    <row r="2130" spans="1:9" hidden="1" x14ac:dyDescent="0.25">
      <c r="A2130">
        <v>19037</v>
      </c>
      <c r="B2130" t="s">
        <v>10</v>
      </c>
      <c r="C2130" t="s">
        <v>4255</v>
      </c>
      <c r="D2130" t="str">
        <f t="shared" si="102"/>
        <v/>
      </c>
      <c r="E2130" t="s">
        <v>4256</v>
      </c>
      <c r="F2130" t="str">
        <f t="shared" si="104"/>
        <v>4120700</v>
      </c>
    </row>
    <row r="2131" spans="1:9" hidden="1" x14ac:dyDescent="0.25">
      <c r="A2131">
        <v>19038</v>
      </c>
      <c r="B2131" t="s">
        <v>10</v>
      </c>
      <c r="C2131" t="s">
        <v>4257</v>
      </c>
      <c r="D2131" t="str">
        <f t="shared" si="102"/>
        <v/>
      </c>
      <c r="E2131" t="s">
        <v>4258</v>
      </c>
      <c r="F2131" t="str">
        <f t="shared" si="104"/>
        <v>4120700</v>
      </c>
    </row>
    <row r="2132" spans="1:9" hidden="1" x14ac:dyDescent="0.25">
      <c r="A2132">
        <v>19039</v>
      </c>
      <c r="B2132" t="s">
        <v>10</v>
      </c>
      <c r="C2132" t="s">
        <v>4259</v>
      </c>
      <c r="D2132" t="str">
        <f t="shared" si="102"/>
        <v/>
      </c>
      <c r="E2132" t="s">
        <v>4260</v>
      </c>
      <c r="F2132" t="str">
        <f t="shared" si="104"/>
        <v>4120700</v>
      </c>
    </row>
    <row r="2133" spans="1:9" hidden="1" x14ac:dyDescent="0.25">
      <c r="A2133">
        <v>19040</v>
      </c>
      <c r="B2133" t="s">
        <v>10</v>
      </c>
      <c r="C2133" t="s">
        <v>4261</v>
      </c>
      <c r="D2133" t="str">
        <f t="shared" si="102"/>
        <v/>
      </c>
      <c r="E2133" t="s">
        <v>4262</v>
      </c>
      <c r="F2133" t="str">
        <f t="shared" si="104"/>
        <v>4120700</v>
      </c>
    </row>
    <row r="2134" spans="1:9" hidden="1" x14ac:dyDescent="0.25">
      <c r="A2134">
        <v>19041</v>
      </c>
      <c r="B2134" t="s">
        <v>10</v>
      </c>
      <c r="C2134" t="s">
        <v>4263</v>
      </c>
      <c r="D2134" t="str">
        <f t="shared" si="102"/>
        <v/>
      </c>
      <c r="E2134" t="s">
        <v>4264</v>
      </c>
      <c r="F2134" t="str">
        <f t="shared" si="104"/>
        <v>4120700</v>
      </c>
    </row>
    <row r="2135" spans="1:9" x14ac:dyDescent="0.25">
      <c r="A2135">
        <v>19042</v>
      </c>
      <c r="B2135" t="s">
        <v>7</v>
      </c>
      <c r="C2135" t="s">
        <v>4265</v>
      </c>
      <c r="D2135" t="str">
        <f t="shared" si="102"/>
        <v/>
      </c>
      <c r="E2135" t="s">
        <v>4266</v>
      </c>
      <c r="F2135" t="s">
        <v>6956</v>
      </c>
      <c r="I2135">
        <v>1</v>
      </c>
    </row>
    <row r="2136" spans="1:9" hidden="1" x14ac:dyDescent="0.25">
      <c r="A2136">
        <v>19043</v>
      </c>
      <c r="B2136" t="s">
        <v>10</v>
      </c>
      <c r="C2136" t="s">
        <v>4267</v>
      </c>
      <c r="D2136" t="str">
        <f t="shared" si="102"/>
        <v/>
      </c>
      <c r="E2136" t="s">
        <v>4268</v>
      </c>
      <c r="F2136" t="str">
        <f t="shared" ref="F2136:F2145" si="105">LEFT(C2136,7)</f>
        <v>4120701</v>
      </c>
    </row>
    <row r="2137" spans="1:9" hidden="1" x14ac:dyDescent="0.25">
      <c r="A2137">
        <v>19044</v>
      </c>
      <c r="B2137" t="s">
        <v>10</v>
      </c>
      <c r="C2137" t="s">
        <v>4269</v>
      </c>
      <c r="D2137" t="str">
        <f t="shared" si="102"/>
        <v/>
      </c>
      <c r="E2137" t="s">
        <v>4270</v>
      </c>
      <c r="F2137" t="str">
        <f t="shared" si="105"/>
        <v>4120701</v>
      </c>
    </row>
    <row r="2138" spans="1:9" hidden="1" x14ac:dyDescent="0.25">
      <c r="A2138">
        <v>19045</v>
      </c>
      <c r="B2138" t="s">
        <v>10</v>
      </c>
      <c r="C2138" t="s">
        <v>4271</v>
      </c>
      <c r="D2138" t="str">
        <f t="shared" si="102"/>
        <v/>
      </c>
      <c r="E2138" t="s">
        <v>4272</v>
      </c>
      <c r="F2138" t="str">
        <f t="shared" si="105"/>
        <v>4120701</v>
      </c>
    </row>
    <row r="2139" spans="1:9" x14ac:dyDescent="0.25">
      <c r="A2139">
        <v>19046</v>
      </c>
      <c r="B2139" t="s">
        <v>7</v>
      </c>
      <c r="C2139" t="s">
        <v>4273</v>
      </c>
      <c r="D2139" t="str">
        <f t="shared" si="102"/>
        <v/>
      </c>
      <c r="E2139" t="s">
        <v>4274</v>
      </c>
      <c r="F2139" t="str">
        <f t="shared" si="105"/>
        <v>4120860</v>
      </c>
      <c r="I2139">
        <v>1</v>
      </c>
    </row>
    <row r="2140" spans="1:9" hidden="1" x14ac:dyDescent="0.25">
      <c r="A2140">
        <v>19047</v>
      </c>
      <c r="B2140" t="s">
        <v>10</v>
      </c>
      <c r="C2140" t="s">
        <v>4275</v>
      </c>
      <c r="D2140" t="str">
        <f t="shared" si="102"/>
        <v/>
      </c>
      <c r="E2140" t="s">
        <v>4276</v>
      </c>
      <c r="F2140" t="str">
        <f t="shared" si="105"/>
        <v>4120860</v>
      </c>
    </row>
    <row r="2141" spans="1:9" hidden="1" x14ac:dyDescent="0.25">
      <c r="A2141">
        <v>19048</v>
      </c>
      <c r="B2141" t="s">
        <v>10</v>
      </c>
      <c r="C2141" t="s">
        <v>4277</v>
      </c>
      <c r="D2141" t="str">
        <f t="shared" si="102"/>
        <v/>
      </c>
      <c r="E2141" t="s">
        <v>4278</v>
      </c>
      <c r="F2141" t="str">
        <f t="shared" si="105"/>
        <v>4120860</v>
      </c>
    </row>
    <row r="2142" spans="1:9" hidden="1" x14ac:dyDescent="0.25">
      <c r="A2142">
        <v>19049</v>
      </c>
      <c r="B2142" t="s">
        <v>10</v>
      </c>
      <c r="C2142" t="s">
        <v>4279</v>
      </c>
      <c r="D2142" t="str">
        <f t="shared" si="102"/>
        <v/>
      </c>
      <c r="E2142" t="s">
        <v>4280</v>
      </c>
      <c r="F2142" t="str">
        <f t="shared" si="105"/>
        <v>4120860</v>
      </c>
    </row>
    <row r="2143" spans="1:9" hidden="1" x14ac:dyDescent="0.25">
      <c r="A2143">
        <v>19050</v>
      </c>
      <c r="B2143" t="s">
        <v>10</v>
      </c>
      <c r="C2143" t="s">
        <v>4281</v>
      </c>
      <c r="D2143" t="str">
        <f t="shared" si="102"/>
        <v/>
      </c>
      <c r="E2143" t="s">
        <v>4282</v>
      </c>
      <c r="F2143" t="str">
        <f t="shared" si="105"/>
        <v>4120860</v>
      </c>
    </row>
    <row r="2144" spans="1:9" hidden="1" x14ac:dyDescent="0.25">
      <c r="A2144">
        <v>19051</v>
      </c>
      <c r="B2144" t="s">
        <v>10</v>
      </c>
      <c r="C2144" t="s">
        <v>4283</v>
      </c>
      <c r="D2144" t="str">
        <f t="shared" si="102"/>
        <v/>
      </c>
      <c r="E2144" t="s">
        <v>4284</v>
      </c>
      <c r="F2144" t="str">
        <f t="shared" si="105"/>
        <v>4120860</v>
      </c>
    </row>
    <row r="2145" spans="1:9" hidden="1" x14ac:dyDescent="0.25">
      <c r="A2145">
        <v>19052</v>
      </c>
      <c r="B2145" t="s">
        <v>10</v>
      </c>
      <c r="C2145" t="s">
        <v>4285</v>
      </c>
      <c r="D2145" t="str">
        <f t="shared" si="102"/>
        <v/>
      </c>
      <c r="E2145" t="s">
        <v>4286</v>
      </c>
      <c r="F2145" t="str">
        <f t="shared" si="105"/>
        <v>4120860</v>
      </c>
    </row>
    <row r="2146" spans="1:9" x14ac:dyDescent="0.25">
      <c r="A2146">
        <v>19053</v>
      </c>
      <c r="B2146" t="s">
        <v>7</v>
      </c>
      <c r="C2146" t="s">
        <v>4287</v>
      </c>
      <c r="D2146" t="str">
        <f t="shared" si="102"/>
        <v/>
      </c>
      <c r="E2146" t="s">
        <v>4288</v>
      </c>
      <c r="F2146" t="s">
        <v>6954</v>
      </c>
      <c r="I2146">
        <v>1</v>
      </c>
    </row>
    <row r="2147" spans="1:9" hidden="1" x14ac:dyDescent="0.25">
      <c r="A2147">
        <v>19054</v>
      </c>
      <c r="B2147" t="s">
        <v>10</v>
      </c>
      <c r="C2147" t="s">
        <v>4289</v>
      </c>
      <c r="D2147" t="str">
        <f t="shared" si="102"/>
        <v/>
      </c>
      <c r="E2147" t="s">
        <v>4290</v>
      </c>
      <c r="F2147" t="str">
        <f>LEFT(C2147,7)</f>
        <v>4120870</v>
      </c>
    </row>
    <row r="2148" spans="1:9" hidden="1" x14ac:dyDescent="0.25">
      <c r="A2148">
        <v>19055</v>
      </c>
      <c r="B2148" t="s">
        <v>10</v>
      </c>
      <c r="C2148" t="s">
        <v>4291</v>
      </c>
      <c r="D2148" t="str">
        <f t="shared" si="102"/>
        <v/>
      </c>
      <c r="E2148" t="s">
        <v>4292</v>
      </c>
      <c r="F2148" t="str">
        <f>LEFT(C2148,7)</f>
        <v>4120870</v>
      </c>
    </row>
    <row r="2149" spans="1:9" hidden="1" x14ac:dyDescent="0.25">
      <c r="A2149">
        <v>19056</v>
      </c>
      <c r="B2149" t="s">
        <v>10</v>
      </c>
      <c r="C2149" t="s">
        <v>4293</v>
      </c>
      <c r="D2149" t="str">
        <f t="shared" si="102"/>
        <v/>
      </c>
      <c r="E2149" t="s">
        <v>4294</v>
      </c>
      <c r="F2149" t="str">
        <f>LEFT(C2149,7)</f>
        <v>4120870</v>
      </c>
    </row>
    <row r="2150" spans="1:9" x14ac:dyDescent="0.25">
      <c r="A2150">
        <v>19057</v>
      </c>
      <c r="B2150" t="s">
        <v>7</v>
      </c>
      <c r="C2150" t="s">
        <v>4295</v>
      </c>
      <c r="D2150" t="str">
        <f t="shared" si="102"/>
        <v/>
      </c>
      <c r="E2150" t="s">
        <v>4296</v>
      </c>
      <c r="F2150" t="s">
        <v>6968</v>
      </c>
      <c r="I2150">
        <v>1</v>
      </c>
    </row>
    <row r="2151" spans="1:9" hidden="1" x14ac:dyDescent="0.25">
      <c r="A2151">
        <v>19058</v>
      </c>
      <c r="B2151" t="s">
        <v>10</v>
      </c>
      <c r="C2151" t="s">
        <v>4297</v>
      </c>
      <c r="D2151" t="str">
        <f t="shared" si="102"/>
        <v/>
      </c>
      <c r="E2151" t="s">
        <v>4298</v>
      </c>
      <c r="F2151" t="str">
        <f t="shared" ref="F2151:F2160" si="106">LEFT(C2151,7)</f>
        <v>4120006</v>
      </c>
    </row>
    <row r="2152" spans="1:9" hidden="1" x14ac:dyDescent="0.25">
      <c r="A2152">
        <v>19059</v>
      </c>
      <c r="B2152" t="s">
        <v>10</v>
      </c>
      <c r="C2152" t="s">
        <v>4299</v>
      </c>
      <c r="D2152" t="str">
        <f t="shared" si="102"/>
        <v/>
      </c>
      <c r="E2152" t="s">
        <v>4300</v>
      </c>
      <c r="F2152" t="str">
        <f t="shared" si="106"/>
        <v>4120006</v>
      </c>
    </row>
    <row r="2153" spans="1:9" hidden="1" x14ac:dyDescent="0.25">
      <c r="A2153">
        <v>19060</v>
      </c>
      <c r="B2153" t="s">
        <v>10</v>
      </c>
      <c r="C2153" t="s">
        <v>4301</v>
      </c>
      <c r="D2153" t="str">
        <f t="shared" si="102"/>
        <v/>
      </c>
      <c r="E2153" t="s">
        <v>4302</v>
      </c>
      <c r="F2153" t="str">
        <f t="shared" si="106"/>
        <v>4120006</v>
      </c>
    </row>
    <row r="2154" spans="1:9" x14ac:dyDescent="0.25">
      <c r="A2154">
        <v>19061</v>
      </c>
      <c r="B2154" t="s">
        <v>7</v>
      </c>
      <c r="C2154" t="s">
        <v>4303</v>
      </c>
      <c r="D2154" t="str">
        <f t="shared" si="102"/>
        <v/>
      </c>
      <c r="E2154" t="s">
        <v>4304</v>
      </c>
      <c r="F2154" t="str">
        <f t="shared" si="106"/>
        <v>4120042</v>
      </c>
      <c r="I2154">
        <v>1</v>
      </c>
    </row>
    <row r="2155" spans="1:9" hidden="1" x14ac:dyDescent="0.25">
      <c r="A2155">
        <v>19062</v>
      </c>
      <c r="B2155" t="s">
        <v>10</v>
      </c>
      <c r="C2155" t="s">
        <v>4305</v>
      </c>
      <c r="D2155" t="str">
        <f t="shared" si="102"/>
        <v/>
      </c>
      <c r="E2155" t="s">
        <v>4306</v>
      </c>
      <c r="F2155" t="str">
        <f t="shared" si="106"/>
        <v>4120042</v>
      </c>
    </row>
    <row r="2156" spans="1:9" hidden="1" x14ac:dyDescent="0.25">
      <c r="A2156">
        <v>19063</v>
      </c>
      <c r="B2156" t="s">
        <v>10</v>
      </c>
      <c r="C2156" t="s">
        <v>4307</v>
      </c>
      <c r="D2156" t="str">
        <f t="shared" si="102"/>
        <v/>
      </c>
      <c r="E2156" t="s">
        <v>4308</v>
      </c>
      <c r="F2156" t="str">
        <f t="shared" si="106"/>
        <v>4120042</v>
      </c>
    </row>
    <row r="2157" spans="1:9" hidden="1" x14ac:dyDescent="0.25">
      <c r="A2157">
        <v>19064</v>
      </c>
      <c r="B2157" t="s">
        <v>10</v>
      </c>
      <c r="C2157" t="s">
        <v>4309</v>
      </c>
      <c r="D2157" t="str">
        <f t="shared" si="102"/>
        <v/>
      </c>
      <c r="E2157" t="s">
        <v>4310</v>
      </c>
      <c r="F2157" t="str">
        <f t="shared" si="106"/>
        <v>4120042</v>
      </c>
    </row>
    <row r="2158" spans="1:9" hidden="1" x14ac:dyDescent="0.25">
      <c r="A2158">
        <v>19065</v>
      </c>
      <c r="B2158" t="s">
        <v>10</v>
      </c>
      <c r="C2158" t="s">
        <v>4311</v>
      </c>
      <c r="D2158" t="str">
        <f t="shared" si="102"/>
        <v/>
      </c>
      <c r="E2158" t="s">
        <v>4312</v>
      </c>
      <c r="F2158" t="str">
        <f t="shared" si="106"/>
        <v>4120042</v>
      </c>
    </row>
    <row r="2159" spans="1:9" hidden="1" x14ac:dyDescent="0.25">
      <c r="A2159">
        <v>19066</v>
      </c>
      <c r="B2159" t="s">
        <v>10</v>
      </c>
      <c r="C2159" t="s">
        <v>4313</v>
      </c>
      <c r="D2159" t="str">
        <f t="shared" si="102"/>
        <v/>
      </c>
      <c r="E2159" t="s">
        <v>4314</v>
      </c>
      <c r="F2159" t="str">
        <f t="shared" si="106"/>
        <v>4120042</v>
      </c>
    </row>
    <row r="2160" spans="1:9" hidden="1" x14ac:dyDescent="0.25">
      <c r="A2160">
        <v>19067</v>
      </c>
      <c r="B2160" t="s">
        <v>10</v>
      </c>
      <c r="C2160" t="s">
        <v>4315</v>
      </c>
      <c r="D2160" t="str">
        <f t="shared" si="102"/>
        <v/>
      </c>
      <c r="E2160" t="s">
        <v>4316</v>
      </c>
      <c r="F2160" t="str">
        <f t="shared" si="106"/>
        <v>4120042</v>
      </c>
    </row>
    <row r="2161" spans="1:9" x14ac:dyDescent="0.25">
      <c r="A2161">
        <v>19068</v>
      </c>
      <c r="B2161" t="s">
        <v>7</v>
      </c>
      <c r="C2161" t="s">
        <v>4317</v>
      </c>
      <c r="D2161" t="str">
        <f t="shared" si="102"/>
        <v/>
      </c>
      <c r="E2161" t="s">
        <v>4318</v>
      </c>
      <c r="F2161" t="s">
        <v>6951</v>
      </c>
      <c r="I2161">
        <v>1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 t="shared" si="102"/>
        <v/>
      </c>
      <c r="E2162" t="s">
        <v>4320</v>
      </c>
      <c r="F2162" t="str">
        <f t="shared" ref="F2162:F2206" si="107"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 t="shared" si="102"/>
        <v/>
      </c>
      <c r="E2163" t="s">
        <v>4322</v>
      </c>
      <c r="F2163" t="str">
        <f t="shared" si="107"/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 t="shared" si="102"/>
        <v/>
      </c>
      <c r="E2164" t="s">
        <v>4324</v>
      </c>
      <c r="F2164" t="str">
        <f t="shared" si="107"/>
        <v>4120043</v>
      </c>
    </row>
    <row r="2165" spans="1:9" x14ac:dyDescent="0.25">
      <c r="A2165">
        <v>19072</v>
      </c>
      <c r="B2165" t="s">
        <v>7</v>
      </c>
      <c r="C2165" t="s">
        <v>4325</v>
      </c>
      <c r="D2165" t="str">
        <f t="shared" si="102"/>
        <v/>
      </c>
      <c r="E2165" t="s">
        <v>4326</v>
      </c>
      <c r="F2165" t="str">
        <f t="shared" si="107"/>
        <v>8303120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 t="shared" si="102"/>
        <v/>
      </c>
      <c r="E2166" t="s">
        <v>4328</v>
      </c>
      <c r="F2166" t="str">
        <f t="shared" si="107"/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 t="shared" si="102"/>
        <v/>
      </c>
      <c r="E2167" t="s">
        <v>4330</v>
      </c>
      <c r="F2167" t="str">
        <f t="shared" si="107"/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 t="shared" si="102"/>
        <v/>
      </c>
      <c r="E2168" t="s">
        <v>4332</v>
      </c>
      <c r="F2168" t="str">
        <f t="shared" si="107"/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 t="shared" si="102"/>
        <v/>
      </c>
      <c r="E2169" t="s">
        <v>4334</v>
      </c>
      <c r="F2169" t="str">
        <f t="shared" si="107"/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 t="shared" si="102"/>
        <v/>
      </c>
      <c r="E2170" t="s">
        <v>4336</v>
      </c>
      <c r="F2170" t="str">
        <f t="shared" si="107"/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 t="shared" si="102"/>
        <v/>
      </c>
      <c r="E2171" t="s">
        <v>4338</v>
      </c>
      <c r="F2171" t="str">
        <f t="shared" si="107"/>
        <v>8503111</v>
      </c>
    </row>
    <row r="2172" spans="1:9" x14ac:dyDescent="0.25">
      <c r="A2172">
        <v>19089</v>
      </c>
      <c r="B2172" t="s">
        <v>7</v>
      </c>
      <c r="C2172" t="s">
        <v>4339</v>
      </c>
      <c r="D2172" t="str">
        <f t="shared" ref="D2172:D2235" si="108">IF(RIGHT(LEFT(C2172,9),2)="##","",RIGHT(LEFT(C2172,10),2))</f>
        <v/>
      </c>
      <c r="E2172" t="s">
        <v>4340</v>
      </c>
      <c r="F2172" t="str">
        <f t="shared" si="107"/>
        <v>1130009</v>
      </c>
      <c r="I2172">
        <v>1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 t="shared" si="108"/>
        <v/>
      </c>
      <c r="E2173" t="s">
        <v>4342</v>
      </c>
      <c r="F2173" t="str">
        <f t="shared" si="107"/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 t="shared" si="108"/>
        <v/>
      </c>
      <c r="E2174" t="s">
        <v>4344</v>
      </c>
      <c r="F2174" t="str">
        <f t="shared" si="107"/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 t="shared" si="108"/>
        <v/>
      </c>
      <c r="E2175" t="s">
        <v>4346</v>
      </c>
      <c r="F2175" t="str">
        <f t="shared" si="107"/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 t="shared" si="108"/>
        <v/>
      </c>
      <c r="E2176" t="s">
        <v>4348</v>
      </c>
      <c r="F2176" t="str">
        <f t="shared" si="107"/>
        <v>1130009</v>
      </c>
    </row>
    <row r="2177" spans="1:9" hidden="1" x14ac:dyDescent="0.25">
      <c r="A2177">
        <v>19097</v>
      </c>
      <c r="B2177" t="s">
        <v>10</v>
      </c>
      <c r="C2177" t="s">
        <v>4349</v>
      </c>
      <c r="D2177" t="str">
        <f t="shared" si="108"/>
        <v/>
      </c>
      <c r="E2177" t="s">
        <v>4350</v>
      </c>
      <c r="F2177" t="str">
        <f t="shared" si="107"/>
        <v>1130009</v>
      </c>
    </row>
    <row r="2178" spans="1:9" hidden="1" x14ac:dyDescent="0.25">
      <c r="A2178">
        <v>19098</v>
      </c>
      <c r="B2178" t="s">
        <v>10</v>
      </c>
      <c r="C2178" t="s">
        <v>4351</v>
      </c>
      <c r="D2178" t="str">
        <f t="shared" si="108"/>
        <v/>
      </c>
      <c r="E2178" t="s">
        <v>4352</v>
      </c>
      <c r="F2178" t="str">
        <f t="shared" si="107"/>
        <v>1130009</v>
      </c>
    </row>
    <row r="2179" spans="1:9" hidden="1" x14ac:dyDescent="0.25">
      <c r="A2179">
        <v>19099</v>
      </c>
      <c r="B2179" t="s">
        <v>10</v>
      </c>
      <c r="C2179" t="s">
        <v>4353</v>
      </c>
      <c r="D2179" t="str">
        <f t="shared" si="108"/>
        <v/>
      </c>
      <c r="E2179" t="s">
        <v>4354</v>
      </c>
      <c r="F2179" t="str">
        <f t="shared" si="107"/>
        <v>1130009</v>
      </c>
    </row>
    <row r="2180" spans="1:9" x14ac:dyDescent="0.25">
      <c r="A2180">
        <v>19100</v>
      </c>
      <c r="B2180" t="s">
        <v>7</v>
      </c>
      <c r="C2180" t="s">
        <v>4355</v>
      </c>
      <c r="D2180" t="str">
        <f t="shared" si="108"/>
        <v/>
      </c>
      <c r="E2180" t="s">
        <v>4356</v>
      </c>
      <c r="F2180" t="str">
        <f t="shared" si="107"/>
        <v>1130008</v>
      </c>
      <c r="I2180">
        <v>1</v>
      </c>
    </row>
    <row r="2181" spans="1:9" hidden="1" x14ac:dyDescent="0.25">
      <c r="A2181">
        <v>19101</v>
      </c>
      <c r="B2181" t="s">
        <v>10</v>
      </c>
      <c r="C2181" t="s">
        <v>4357</v>
      </c>
      <c r="D2181" t="str">
        <f t="shared" si="108"/>
        <v/>
      </c>
      <c r="E2181" t="s">
        <v>4358</v>
      </c>
      <c r="F2181" t="str">
        <f t="shared" si="107"/>
        <v>1130008</v>
      </c>
    </row>
    <row r="2182" spans="1:9" hidden="1" x14ac:dyDescent="0.25">
      <c r="A2182">
        <v>19105</v>
      </c>
      <c r="B2182" t="s">
        <v>10</v>
      </c>
      <c r="C2182" t="s">
        <v>4359</v>
      </c>
      <c r="D2182" t="str">
        <f t="shared" si="108"/>
        <v/>
      </c>
      <c r="E2182" t="s">
        <v>4360</v>
      </c>
      <c r="F2182" t="str">
        <f t="shared" si="107"/>
        <v>1130008</v>
      </c>
    </row>
    <row r="2183" spans="1:9" hidden="1" x14ac:dyDescent="0.25">
      <c r="A2183">
        <v>19106</v>
      </c>
      <c r="B2183" t="s">
        <v>10</v>
      </c>
      <c r="C2183" t="s">
        <v>4361</v>
      </c>
      <c r="D2183" t="str">
        <f t="shared" si="108"/>
        <v/>
      </c>
      <c r="E2183" t="s">
        <v>4362</v>
      </c>
      <c r="F2183" t="str">
        <f t="shared" si="107"/>
        <v>1130008</v>
      </c>
    </row>
    <row r="2184" spans="1:9" hidden="1" x14ac:dyDescent="0.25">
      <c r="A2184">
        <v>19107</v>
      </c>
      <c r="B2184" t="s">
        <v>10</v>
      </c>
      <c r="C2184" t="s">
        <v>4363</v>
      </c>
      <c r="D2184" t="str">
        <f t="shared" si="108"/>
        <v/>
      </c>
      <c r="E2184" t="s">
        <v>4364</v>
      </c>
      <c r="F2184" t="str">
        <f t="shared" si="107"/>
        <v>1130008</v>
      </c>
    </row>
    <row r="2185" spans="1:9" hidden="1" x14ac:dyDescent="0.25">
      <c r="A2185">
        <v>19108</v>
      </c>
      <c r="B2185" t="s">
        <v>10</v>
      </c>
      <c r="C2185" t="s">
        <v>4365</v>
      </c>
      <c r="D2185" t="str">
        <f t="shared" si="108"/>
        <v/>
      </c>
      <c r="E2185" t="s">
        <v>4366</v>
      </c>
      <c r="F2185" t="str">
        <f t="shared" si="107"/>
        <v>1130008</v>
      </c>
    </row>
    <row r="2186" spans="1:9" hidden="1" x14ac:dyDescent="0.25">
      <c r="A2186">
        <v>19109</v>
      </c>
      <c r="B2186" t="s">
        <v>10</v>
      </c>
      <c r="C2186" t="s">
        <v>4367</v>
      </c>
      <c r="D2186" t="str">
        <f t="shared" si="108"/>
        <v/>
      </c>
      <c r="E2186" t="s">
        <v>4368</v>
      </c>
      <c r="F2186" t="str">
        <f t="shared" si="107"/>
        <v>1130008</v>
      </c>
    </row>
    <row r="2187" spans="1:9" hidden="1" x14ac:dyDescent="0.25">
      <c r="A2187">
        <v>19110</v>
      </c>
      <c r="B2187" t="s">
        <v>10</v>
      </c>
      <c r="C2187" t="s">
        <v>4369</v>
      </c>
      <c r="D2187" t="str">
        <f t="shared" si="108"/>
        <v/>
      </c>
      <c r="E2187" t="s">
        <v>4370</v>
      </c>
      <c r="F2187" t="str">
        <f t="shared" si="107"/>
        <v>1130008</v>
      </c>
    </row>
    <row r="2188" spans="1:9" hidden="1" x14ac:dyDescent="0.25">
      <c r="A2188">
        <v>19111</v>
      </c>
      <c r="B2188" t="s">
        <v>10</v>
      </c>
      <c r="C2188" t="s">
        <v>4371</v>
      </c>
      <c r="D2188" t="str">
        <f t="shared" si="108"/>
        <v/>
      </c>
      <c r="E2188" t="s">
        <v>4372</v>
      </c>
      <c r="F2188" t="str">
        <f t="shared" si="107"/>
        <v>1130008</v>
      </c>
    </row>
    <row r="2189" spans="1:9" hidden="1" x14ac:dyDescent="0.25">
      <c r="A2189">
        <v>19112</v>
      </c>
      <c r="B2189" t="s">
        <v>4</v>
      </c>
      <c r="C2189" t="s">
        <v>4373</v>
      </c>
      <c r="D2189" t="str">
        <f t="shared" si="108"/>
        <v/>
      </c>
      <c r="E2189" t="s">
        <v>4374</v>
      </c>
      <c r="F2189" t="str">
        <f t="shared" si="107"/>
        <v>7707519</v>
      </c>
    </row>
    <row r="2190" spans="1:9" x14ac:dyDescent="0.25">
      <c r="A2190">
        <v>19116</v>
      </c>
      <c r="B2190" t="s">
        <v>7</v>
      </c>
      <c r="C2190" t="s">
        <v>4375</v>
      </c>
      <c r="D2190" t="str">
        <f t="shared" si="108"/>
        <v/>
      </c>
      <c r="E2190" t="s">
        <v>4376</v>
      </c>
      <c r="F2190" t="str">
        <f t="shared" si="107"/>
        <v>2220292</v>
      </c>
      <c r="I2190">
        <v>1</v>
      </c>
    </row>
    <row r="2191" spans="1:9" hidden="1" x14ac:dyDescent="0.25">
      <c r="A2191">
        <v>19117</v>
      </c>
      <c r="B2191" t="s">
        <v>10</v>
      </c>
      <c r="C2191" t="s">
        <v>4377</v>
      </c>
      <c r="D2191" t="str">
        <f t="shared" si="108"/>
        <v/>
      </c>
      <c r="E2191" t="s">
        <v>4378</v>
      </c>
      <c r="F2191" t="str">
        <f t="shared" si="107"/>
        <v>2220292</v>
      </c>
    </row>
    <row r="2192" spans="1:9" hidden="1" x14ac:dyDescent="0.25">
      <c r="A2192">
        <v>19122</v>
      </c>
      <c r="B2192" t="s">
        <v>10</v>
      </c>
      <c r="C2192" t="s">
        <v>4379</v>
      </c>
      <c r="D2192" t="str">
        <f t="shared" si="108"/>
        <v/>
      </c>
      <c r="E2192" t="s">
        <v>4380</v>
      </c>
      <c r="F2192" t="str">
        <f t="shared" si="107"/>
        <v>2220292</v>
      </c>
    </row>
    <row r="2193" spans="1:9" hidden="1" x14ac:dyDescent="0.25">
      <c r="A2193">
        <v>19123</v>
      </c>
      <c r="B2193" t="s">
        <v>10</v>
      </c>
      <c r="C2193" t="s">
        <v>4381</v>
      </c>
      <c r="D2193" t="str">
        <f t="shared" si="108"/>
        <v/>
      </c>
      <c r="E2193" t="s">
        <v>4382</v>
      </c>
      <c r="F2193" t="str">
        <f t="shared" si="107"/>
        <v>2220292</v>
      </c>
    </row>
    <row r="2194" spans="1:9" hidden="1" x14ac:dyDescent="0.25">
      <c r="A2194">
        <v>19124</v>
      </c>
      <c r="B2194" t="s">
        <v>10</v>
      </c>
      <c r="C2194" t="s">
        <v>4383</v>
      </c>
      <c r="D2194" t="str">
        <f t="shared" si="108"/>
        <v/>
      </c>
      <c r="E2194" t="s">
        <v>4384</v>
      </c>
      <c r="F2194" t="str">
        <f t="shared" si="107"/>
        <v>2220292</v>
      </c>
    </row>
    <row r="2195" spans="1:9" hidden="1" x14ac:dyDescent="0.25">
      <c r="A2195">
        <v>19125</v>
      </c>
      <c r="B2195" t="s">
        <v>10</v>
      </c>
      <c r="C2195" t="s">
        <v>4385</v>
      </c>
      <c r="D2195" t="str">
        <f t="shared" si="108"/>
        <v/>
      </c>
      <c r="E2195" t="s">
        <v>4386</v>
      </c>
      <c r="F2195" t="str">
        <f t="shared" si="107"/>
        <v>2220292</v>
      </c>
    </row>
    <row r="2196" spans="1:9" hidden="1" x14ac:dyDescent="0.25">
      <c r="A2196">
        <v>19126</v>
      </c>
      <c r="B2196" t="s">
        <v>10</v>
      </c>
      <c r="C2196" t="s">
        <v>4387</v>
      </c>
      <c r="D2196" t="str">
        <f t="shared" si="108"/>
        <v/>
      </c>
      <c r="E2196" t="s">
        <v>4388</v>
      </c>
      <c r="F2196" t="str">
        <f t="shared" si="107"/>
        <v>2220292</v>
      </c>
    </row>
    <row r="2197" spans="1:9" hidden="1" x14ac:dyDescent="0.25">
      <c r="A2197">
        <v>19127</v>
      </c>
      <c r="B2197" t="s">
        <v>10</v>
      </c>
      <c r="C2197" t="s">
        <v>4389</v>
      </c>
      <c r="D2197" t="str">
        <f t="shared" si="108"/>
        <v/>
      </c>
      <c r="E2197" t="s">
        <v>4390</v>
      </c>
      <c r="F2197" t="str">
        <f t="shared" si="107"/>
        <v>2220292</v>
      </c>
    </row>
    <row r="2198" spans="1:9" hidden="1" x14ac:dyDescent="0.25">
      <c r="A2198">
        <v>19128</v>
      </c>
      <c r="B2198" t="s">
        <v>10</v>
      </c>
      <c r="C2198" t="s">
        <v>4391</v>
      </c>
      <c r="D2198" t="str">
        <f t="shared" si="108"/>
        <v/>
      </c>
      <c r="E2198" t="s">
        <v>4392</v>
      </c>
      <c r="F2198" t="str">
        <f t="shared" si="107"/>
        <v>2220292</v>
      </c>
    </row>
    <row r="2199" spans="1:9" hidden="1" x14ac:dyDescent="0.25">
      <c r="A2199">
        <v>19129</v>
      </c>
      <c r="B2199" t="s">
        <v>10</v>
      </c>
      <c r="C2199" t="s">
        <v>4393</v>
      </c>
      <c r="D2199" t="str">
        <f t="shared" si="108"/>
        <v/>
      </c>
      <c r="E2199" t="s">
        <v>4394</v>
      </c>
      <c r="F2199" t="str">
        <f t="shared" si="107"/>
        <v>2220292</v>
      </c>
    </row>
    <row r="2200" spans="1:9" x14ac:dyDescent="0.25">
      <c r="A2200">
        <v>19130</v>
      </c>
      <c r="B2200" t="s">
        <v>7</v>
      </c>
      <c r="C2200" t="s">
        <v>4395</v>
      </c>
      <c r="D2200" t="str">
        <f t="shared" si="108"/>
        <v/>
      </c>
      <c r="E2200" t="s">
        <v>4396</v>
      </c>
      <c r="F2200" t="str">
        <f t="shared" si="107"/>
        <v>1120720</v>
      </c>
      <c r="I2200">
        <v>1</v>
      </c>
    </row>
    <row r="2201" spans="1:9" hidden="1" x14ac:dyDescent="0.25">
      <c r="A2201">
        <v>19131</v>
      </c>
      <c r="B2201" t="s">
        <v>10</v>
      </c>
      <c r="C2201" t="s">
        <v>4397</v>
      </c>
      <c r="D2201" t="str">
        <f t="shared" si="108"/>
        <v/>
      </c>
      <c r="E2201" t="s">
        <v>4398</v>
      </c>
      <c r="F2201" t="str">
        <f t="shared" si="107"/>
        <v>1120720</v>
      </c>
    </row>
    <row r="2202" spans="1:9" hidden="1" x14ac:dyDescent="0.25">
      <c r="A2202">
        <v>19137</v>
      </c>
      <c r="B2202" t="s">
        <v>10</v>
      </c>
      <c r="C2202" t="s">
        <v>4399</v>
      </c>
      <c r="D2202" t="str">
        <f t="shared" si="108"/>
        <v/>
      </c>
      <c r="E2202" t="s">
        <v>4400</v>
      </c>
      <c r="F2202" t="str">
        <f t="shared" si="107"/>
        <v>1120720</v>
      </c>
    </row>
    <row r="2203" spans="1:9" hidden="1" x14ac:dyDescent="0.25">
      <c r="A2203">
        <v>19138</v>
      </c>
      <c r="B2203" t="s">
        <v>10</v>
      </c>
      <c r="C2203" t="s">
        <v>4401</v>
      </c>
      <c r="D2203" t="str">
        <f t="shared" si="108"/>
        <v/>
      </c>
      <c r="E2203" t="s">
        <v>4402</v>
      </c>
      <c r="F2203" t="str">
        <f t="shared" si="107"/>
        <v>1120720</v>
      </c>
    </row>
    <row r="2204" spans="1:9" hidden="1" x14ac:dyDescent="0.25">
      <c r="A2204">
        <v>19139</v>
      </c>
      <c r="B2204" t="s">
        <v>10</v>
      </c>
      <c r="C2204" t="s">
        <v>4403</v>
      </c>
      <c r="D2204" t="str">
        <f t="shared" si="108"/>
        <v/>
      </c>
      <c r="E2204" t="s">
        <v>4404</v>
      </c>
      <c r="F2204" t="str">
        <f t="shared" si="107"/>
        <v>1120720</v>
      </c>
    </row>
    <row r="2205" spans="1:9" hidden="1" x14ac:dyDescent="0.25">
      <c r="A2205">
        <v>19140</v>
      </c>
      <c r="B2205" t="s">
        <v>10</v>
      </c>
      <c r="C2205" t="s">
        <v>4405</v>
      </c>
      <c r="D2205" t="str">
        <f t="shared" si="108"/>
        <v/>
      </c>
      <c r="E2205" t="s">
        <v>4406</v>
      </c>
      <c r="F2205" t="str">
        <f t="shared" si="107"/>
        <v>1120720</v>
      </c>
    </row>
    <row r="2206" spans="1:9" hidden="1" x14ac:dyDescent="0.25">
      <c r="A2206">
        <v>19141</v>
      </c>
      <c r="B2206" t="s">
        <v>10</v>
      </c>
      <c r="C2206" t="s">
        <v>4407</v>
      </c>
      <c r="D2206" t="str">
        <f t="shared" si="108"/>
        <v/>
      </c>
      <c r="E2206" t="s">
        <v>4408</v>
      </c>
      <c r="F2206" t="str">
        <f t="shared" si="107"/>
        <v>1120720</v>
      </c>
    </row>
    <row r="2207" spans="1:9" x14ac:dyDescent="0.25">
      <c r="A2207">
        <v>19142</v>
      </c>
      <c r="B2207" t="s">
        <v>7</v>
      </c>
      <c r="C2207" t="s">
        <v>4409</v>
      </c>
      <c r="D2207" t="str">
        <f t="shared" si="108"/>
        <v/>
      </c>
      <c r="E2207" t="s">
        <v>4410</v>
      </c>
      <c r="F2207" t="s">
        <v>6944</v>
      </c>
      <c r="I2207">
        <v>1</v>
      </c>
    </row>
    <row r="2208" spans="1:9" hidden="1" x14ac:dyDescent="0.25">
      <c r="A2208">
        <v>19143</v>
      </c>
      <c r="B2208" t="s">
        <v>10</v>
      </c>
      <c r="C2208" t="s">
        <v>4411</v>
      </c>
      <c r="D2208" t="str">
        <f t="shared" si="108"/>
        <v/>
      </c>
      <c r="E2208" t="s">
        <v>4412</v>
      </c>
      <c r="F2208" t="str">
        <f t="shared" ref="F2208:F2239" si="109"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 t="shared" si="108"/>
        <v/>
      </c>
      <c r="E2209" t="s">
        <v>4414</v>
      </c>
      <c r="F2209" t="str">
        <f t="shared" si="109"/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 t="shared" si="108"/>
        <v/>
      </c>
      <c r="E2210" t="s">
        <v>4416</v>
      </c>
      <c r="F2210" t="str">
        <f t="shared" si="109"/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 t="shared" si="108"/>
        <v/>
      </c>
      <c r="E2211" t="s">
        <v>4418</v>
      </c>
      <c r="F2211" t="str">
        <f t="shared" si="109"/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 t="shared" si="108"/>
        <v/>
      </c>
      <c r="E2212" t="s">
        <v>4419</v>
      </c>
      <c r="F2212" t="str">
        <f t="shared" si="109"/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 t="shared" si="108"/>
        <v/>
      </c>
      <c r="E2213" t="s">
        <v>4421</v>
      </c>
      <c r="F2213" t="str">
        <f t="shared" si="109"/>
        <v>8708272</v>
      </c>
    </row>
    <row r="2214" spans="1:9" x14ac:dyDescent="0.25">
      <c r="A2214">
        <v>19167</v>
      </c>
      <c r="B2214" t="s">
        <v>7</v>
      </c>
      <c r="C2214" t="s">
        <v>4422</v>
      </c>
      <c r="D2214" t="str">
        <f t="shared" si="108"/>
        <v/>
      </c>
      <c r="E2214" t="s">
        <v>4423</v>
      </c>
      <c r="F2214" t="str">
        <f t="shared" si="109"/>
        <v>2220004</v>
      </c>
      <c r="I2214">
        <v>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 t="shared" si="108"/>
        <v/>
      </c>
      <c r="E2215" t="s">
        <v>4425</v>
      </c>
      <c r="F2215" t="str">
        <f t="shared" si="109"/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 t="shared" si="108"/>
        <v/>
      </c>
      <c r="E2216" t="s">
        <v>4427</v>
      </c>
      <c r="F2216" t="str">
        <f t="shared" si="109"/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 t="shared" si="108"/>
        <v/>
      </c>
      <c r="E2217" t="s">
        <v>4429</v>
      </c>
      <c r="F2217" t="str">
        <f t="shared" si="109"/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 t="shared" si="108"/>
        <v/>
      </c>
      <c r="E2218" t="s">
        <v>4431</v>
      </c>
      <c r="F2218" t="str">
        <f t="shared" si="109"/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 t="shared" si="108"/>
        <v/>
      </c>
      <c r="E2219" t="s">
        <v>4433</v>
      </c>
      <c r="F2219" t="str">
        <f t="shared" si="109"/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 t="shared" si="108"/>
        <v/>
      </c>
      <c r="E2220" t="s">
        <v>4435</v>
      </c>
      <c r="F2220" t="str">
        <f t="shared" si="109"/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 t="shared" si="108"/>
        <v/>
      </c>
      <c r="E2221" t="s">
        <v>4437</v>
      </c>
      <c r="F2221" t="str">
        <f t="shared" si="109"/>
        <v>2220004</v>
      </c>
    </row>
    <row r="2222" spans="1:9" x14ac:dyDescent="0.25">
      <c r="A2222">
        <v>19175</v>
      </c>
      <c r="B2222" t="s">
        <v>7</v>
      </c>
      <c r="C2222" t="s">
        <v>4438</v>
      </c>
      <c r="D2222" t="str">
        <f t="shared" si="108"/>
        <v/>
      </c>
      <c r="E2222" t="s">
        <v>4439</v>
      </c>
      <c r="F2222" t="str">
        <f t="shared" si="109"/>
        <v>2220333</v>
      </c>
      <c r="I2222">
        <v>1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 t="shared" si="108"/>
        <v/>
      </c>
      <c r="E2223" t="s">
        <v>4441</v>
      </c>
      <c r="F2223" t="str">
        <f t="shared" si="109"/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 t="shared" si="108"/>
        <v/>
      </c>
      <c r="E2224" t="s">
        <v>4443</v>
      </c>
      <c r="F2224" t="str">
        <f t="shared" si="109"/>
        <v>2220333</v>
      </c>
    </row>
    <row r="2225" spans="1:9" hidden="1" x14ac:dyDescent="0.25">
      <c r="A2225">
        <v>19178</v>
      </c>
      <c r="B2225" t="s">
        <v>10</v>
      </c>
      <c r="C2225" t="s">
        <v>4444</v>
      </c>
      <c r="D2225" t="str">
        <f t="shared" si="108"/>
        <v/>
      </c>
      <c r="E2225" t="s">
        <v>4445</v>
      </c>
      <c r="F2225" t="str">
        <f t="shared" si="109"/>
        <v>2220333</v>
      </c>
    </row>
    <row r="2226" spans="1:9" hidden="1" x14ac:dyDescent="0.25">
      <c r="A2226">
        <v>19179</v>
      </c>
      <c r="B2226" t="s">
        <v>10</v>
      </c>
      <c r="C2226" t="s">
        <v>4446</v>
      </c>
      <c r="D2226" t="str">
        <f t="shared" si="108"/>
        <v/>
      </c>
      <c r="E2226" t="s">
        <v>4447</v>
      </c>
      <c r="F2226" t="str">
        <f t="shared" si="109"/>
        <v>2220333</v>
      </c>
    </row>
    <row r="2227" spans="1:9" hidden="1" x14ac:dyDescent="0.25">
      <c r="A2227">
        <v>19180</v>
      </c>
      <c r="B2227" t="s">
        <v>10</v>
      </c>
      <c r="C2227" t="s">
        <v>4448</v>
      </c>
      <c r="D2227" t="str">
        <f t="shared" si="108"/>
        <v/>
      </c>
      <c r="E2227" t="s">
        <v>4449</v>
      </c>
      <c r="F2227" t="str">
        <f t="shared" si="109"/>
        <v>2220333</v>
      </c>
    </row>
    <row r="2228" spans="1:9" hidden="1" x14ac:dyDescent="0.25">
      <c r="A2228">
        <v>19181</v>
      </c>
      <c r="B2228" t="s">
        <v>10</v>
      </c>
      <c r="C2228" t="s">
        <v>4450</v>
      </c>
      <c r="D2228" t="str">
        <f t="shared" si="108"/>
        <v/>
      </c>
      <c r="E2228" t="s">
        <v>4451</v>
      </c>
      <c r="F2228" t="str">
        <f t="shared" si="109"/>
        <v>2220333</v>
      </c>
    </row>
    <row r="2229" spans="1:9" hidden="1" x14ac:dyDescent="0.25">
      <c r="A2229">
        <v>19182</v>
      </c>
      <c r="B2229" t="s">
        <v>10</v>
      </c>
      <c r="C2229" t="s">
        <v>4452</v>
      </c>
      <c r="D2229" t="str">
        <f t="shared" si="108"/>
        <v/>
      </c>
      <c r="E2229" t="s">
        <v>4453</v>
      </c>
      <c r="F2229" t="str">
        <f t="shared" si="109"/>
        <v>2220333</v>
      </c>
    </row>
    <row r="2230" spans="1:9" hidden="1" x14ac:dyDescent="0.25">
      <c r="A2230">
        <v>19183</v>
      </c>
      <c r="B2230" t="s">
        <v>10</v>
      </c>
      <c r="C2230" t="s">
        <v>4454</v>
      </c>
      <c r="D2230" t="str">
        <f t="shared" si="108"/>
        <v/>
      </c>
      <c r="E2230" t="s">
        <v>4455</v>
      </c>
      <c r="F2230" t="str">
        <f t="shared" si="109"/>
        <v>2220333</v>
      </c>
    </row>
    <row r="2231" spans="1:9" x14ac:dyDescent="0.25">
      <c r="A2231">
        <v>19184</v>
      </c>
      <c r="B2231" t="s">
        <v>7</v>
      </c>
      <c r="C2231" t="s">
        <v>4456</v>
      </c>
      <c r="D2231" t="str">
        <f t="shared" si="108"/>
        <v/>
      </c>
      <c r="E2231" t="s">
        <v>4457</v>
      </c>
      <c r="F2231" t="str">
        <f t="shared" si="109"/>
        <v>2220444</v>
      </c>
      <c r="I2231">
        <v>1</v>
      </c>
    </row>
    <row r="2232" spans="1:9" hidden="1" x14ac:dyDescent="0.25">
      <c r="A2232">
        <v>19185</v>
      </c>
      <c r="B2232" t="s">
        <v>10</v>
      </c>
      <c r="C2232" t="s">
        <v>4458</v>
      </c>
      <c r="D2232" t="str">
        <f t="shared" si="108"/>
        <v/>
      </c>
      <c r="E2232" t="s">
        <v>4459</v>
      </c>
      <c r="F2232" t="str">
        <f t="shared" si="109"/>
        <v>2220444</v>
      </c>
    </row>
    <row r="2233" spans="1:9" hidden="1" x14ac:dyDescent="0.25">
      <c r="A2233">
        <v>19186</v>
      </c>
      <c r="B2233" t="s">
        <v>10</v>
      </c>
      <c r="C2233" t="s">
        <v>4460</v>
      </c>
      <c r="D2233" t="str">
        <f t="shared" si="108"/>
        <v/>
      </c>
      <c r="E2233" t="s">
        <v>4461</v>
      </c>
      <c r="F2233" t="str">
        <f t="shared" si="109"/>
        <v>2220444</v>
      </c>
    </row>
    <row r="2234" spans="1:9" hidden="1" x14ac:dyDescent="0.25">
      <c r="A2234">
        <v>19187</v>
      </c>
      <c r="B2234" t="s">
        <v>10</v>
      </c>
      <c r="C2234" t="s">
        <v>4462</v>
      </c>
      <c r="D2234" t="str">
        <f t="shared" si="108"/>
        <v/>
      </c>
      <c r="E2234" t="s">
        <v>4463</v>
      </c>
      <c r="F2234" t="str">
        <f t="shared" si="109"/>
        <v>2220444</v>
      </c>
    </row>
    <row r="2235" spans="1:9" hidden="1" x14ac:dyDescent="0.25">
      <c r="A2235">
        <v>19188</v>
      </c>
      <c r="B2235" t="s">
        <v>10</v>
      </c>
      <c r="C2235" t="s">
        <v>4464</v>
      </c>
      <c r="D2235" t="str">
        <f t="shared" si="108"/>
        <v/>
      </c>
      <c r="E2235" t="s">
        <v>4465</v>
      </c>
      <c r="F2235" t="str">
        <f t="shared" si="109"/>
        <v>2220444</v>
      </c>
    </row>
    <row r="2236" spans="1:9" hidden="1" x14ac:dyDescent="0.25">
      <c r="A2236">
        <v>19189</v>
      </c>
      <c r="B2236" t="s">
        <v>10</v>
      </c>
      <c r="C2236" t="s">
        <v>4466</v>
      </c>
      <c r="D2236" t="str">
        <f t="shared" ref="D2236:D2299" si="110">IF(RIGHT(LEFT(C2236,9),2)="##","",RIGHT(LEFT(C2236,10),2))</f>
        <v/>
      </c>
      <c r="E2236" t="s">
        <v>4467</v>
      </c>
      <c r="F2236" t="str">
        <f t="shared" si="109"/>
        <v>2220444</v>
      </c>
    </row>
    <row r="2237" spans="1:9" hidden="1" x14ac:dyDescent="0.25">
      <c r="A2237">
        <v>19190</v>
      </c>
      <c r="B2237" t="s">
        <v>10</v>
      </c>
      <c r="C2237" t="s">
        <v>4468</v>
      </c>
      <c r="D2237" t="str">
        <f t="shared" si="110"/>
        <v/>
      </c>
      <c r="E2237" t="s">
        <v>4469</v>
      </c>
      <c r="F2237" t="str">
        <f t="shared" si="109"/>
        <v>2220444</v>
      </c>
    </row>
    <row r="2238" spans="1:9" hidden="1" x14ac:dyDescent="0.25">
      <c r="A2238">
        <v>19191</v>
      </c>
      <c r="B2238" t="s">
        <v>10</v>
      </c>
      <c r="C2238" t="s">
        <v>4470</v>
      </c>
      <c r="D2238" t="str">
        <f t="shared" si="110"/>
        <v/>
      </c>
      <c r="E2238" t="s">
        <v>4471</v>
      </c>
      <c r="F2238" t="str">
        <f t="shared" si="109"/>
        <v>2220444</v>
      </c>
    </row>
    <row r="2239" spans="1:9" x14ac:dyDescent="0.25">
      <c r="A2239">
        <v>19192</v>
      </c>
      <c r="B2239" t="s">
        <v>7</v>
      </c>
      <c r="C2239" t="s">
        <v>4472</v>
      </c>
      <c r="D2239" t="str">
        <f t="shared" si="110"/>
        <v/>
      </c>
      <c r="E2239" t="s">
        <v>4473</v>
      </c>
      <c r="F2239" t="str">
        <f t="shared" si="109"/>
        <v>2220750</v>
      </c>
      <c r="I2239">
        <v>1</v>
      </c>
    </row>
    <row r="2240" spans="1:9" hidden="1" x14ac:dyDescent="0.25">
      <c r="A2240">
        <v>19193</v>
      </c>
      <c r="B2240" t="s">
        <v>10</v>
      </c>
      <c r="C2240" t="s">
        <v>4474</v>
      </c>
      <c r="D2240" t="str">
        <f t="shared" si="110"/>
        <v/>
      </c>
      <c r="E2240" t="s">
        <v>4475</v>
      </c>
      <c r="F2240" t="str">
        <f t="shared" ref="F2240:F2256" si="111">LEFT(C2240,7)</f>
        <v>2220750</v>
      </c>
    </row>
    <row r="2241" spans="1:9" hidden="1" x14ac:dyDescent="0.25">
      <c r="A2241">
        <v>19194</v>
      </c>
      <c r="B2241" t="s">
        <v>10</v>
      </c>
      <c r="C2241" t="s">
        <v>4476</v>
      </c>
      <c r="D2241" t="str">
        <f t="shared" si="110"/>
        <v/>
      </c>
      <c r="E2241" t="s">
        <v>4477</v>
      </c>
      <c r="F2241" t="str">
        <f t="shared" si="111"/>
        <v>2220750</v>
      </c>
    </row>
    <row r="2242" spans="1:9" hidden="1" x14ac:dyDescent="0.25">
      <c r="A2242">
        <v>19195</v>
      </c>
      <c r="B2242" t="s">
        <v>10</v>
      </c>
      <c r="C2242" t="s">
        <v>4478</v>
      </c>
      <c r="D2242" t="str">
        <f t="shared" si="110"/>
        <v/>
      </c>
      <c r="E2242" t="s">
        <v>4479</v>
      </c>
      <c r="F2242" t="str">
        <f t="shared" si="111"/>
        <v>2220750</v>
      </c>
    </row>
    <row r="2243" spans="1:9" hidden="1" x14ac:dyDescent="0.25">
      <c r="A2243">
        <v>19196</v>
      </c>
      <c r="B2243" t="s">
        <v>10</v>
      </c>
      <c r="C2243" t="s">
        <v>4480</v>
      </c>
      <c r="D2243" t="str">
        <f t="shared" si="110"/>
        <v/>
      </c>
      <c r="E2243" t="s">
        <v>4481</v>
      </c>
      <c r="F2243" t="str">
        <f t="shared" si="111"/>
        <v>2220750</v>
      </c>
    </row>
    <row r="2244" spans="1:9" hidden="1" x14ac:dyDescent="0.25">
      <c r="A2244">
        <v>19197</v>
      </c>
      <c r="B2244" t="s">
        <v>10</v>
      </c>
      <c r="C2244" t="s">
        <v>4482</v>
      </c>
      <c r="D2244" t="str">
        <f t="shared" si="110"/>
        <v/>
      </c>
      <c r="E2244" t="s">
        <v>4483</v>
      </c>
      <c r="F2244" t="str">
        <f t="shared" si="111"/>
        <v>2220750</v>
      </c>
    </row>
    <row r="2245" spans="1:9" hidden="1" x14ac:dyDescent="0.25">
      <c r="A2245">
        <v>19198</v>
      </c>
      <c r="B2245" t="s">
        <v>10</v>
      </c>
      <c r="C2245" t="s">
        <v>4484</v>
      </c>
      <c r="D2245" t="str">
        <f t="shared" si="110"/>
        <v/>
      </c>
      <c r="E2245" t="s">
        <v>4485</v>
      </c>
      <c r="F2245" t="str">
        <f t="shared" si="111"/>
        <v>2220750</v>
      </c>
    </row>
    <row r="2246" spans="1:9" hidden="1" x14ac:dyDescent="0.25">
      <c r="A2246">
        <v>19199</v>
      </c>
      <c r="B2246" t="s">
        <v>10</v>
      </c>
      <c r="C2246" t="s">
        <v>4486</v>
      </c>
      <c r="D2246" t="str">
        <f t="shared" si="110"/>
        <v/>
      </c>
      <c r="E2246" t="s">
        <v>4487</v>
      </c>
      <c r="F2246" t="str">
        <f t="shared" si="111"/>
        <v>2220750</v>
      </c>
    </row>
    <row r="2247" spans="1:9" hidden="1" x14ac:dyDescent="0.25">
      <c r="A2247">
        <v>19200</v>
      </c>
      <c r="B2247" t="s">
        <v>4</v>
      </c>
      <c r="C2247" t="s">
        <v>4488</v>
      </c>
      <c r="D2247" t="str">
        <f t="shared" si="110"/>
        <v/>
      </c>
      <c r="E2247" t="s">
        <v>4489</v>
      </c>
      <c r="F2247" t="str">
        <f t="shared" si="111"/>
        <v>2220856</v>
      </c>
    </row>
    <row r="2248" spans="1:9" x14ac:dyDescent="0.25">
      <c r="A2248">
        <v>19202</v>
      </c>
      <c r="B2248" t="s">
        <v>7</v>
      </c>
      <c r="C2248" t="s">
        <v>4490</v>
      </c>
      <c r="D2248" t="str">
        <f t="shared" si="110"/>
        <v/>
      </c>
      <c r="E2248" t="s">
        <v>4491</v>
      </c>
      <c r="F2248" t="str">
        <f t="shared" si="111"/>
        <v>1120182</v>
      </c>
      <c r="I2248">
        <v>1</v>
      </c>
    </row>
    <row r="2249" spans="1:9" hidden="1" x14ac:dyDescent="0.25">
      <c r="A2249">
        <v>19203</v>
      </c>
      <c r="B2249" t="s">
        <v>10</v>
      </c>
      <c r="C2249" t="s">
        <v>4492</v>
      </c>
      <c r="D2249" t="str">
        <f t="shared" si="110"/>
        <v/>
      </c>
      <c r="E2249" t="s">
        <v>4493</v>
      </c>
      <c r="F2249" t="str">
        <f t="shared" si="111"/>
        <v>1120182</v>
      </c>
    </row>
    <row r="2250" spans="1:9" hidden="1" x14ac:dyDescent="0.25">
      <c r="A2250">
        <v>19208</v>
      </c>
      <c r="B2250" t="s">
        <v>10</v>
      </c>
      <c r="C2250" t="s">
        <v>4494</v>
      </c>
      <c r="D2250" t="str">
        <f t="shared" si="110"/>
        <v/>
      </c>
      <c r="E2250" t="s">
        <v>4495</v>
      </c>
      <c r="F2250" t="str">
        <f t="shared" si="111"/>
        <v>1120182</v>
      </c>
    </row>
    <row r="2251" spans="1:9" hidden="1" x14ac:dyDescent="0.25">
      <c r="A2251">
        <v>19209</v>
      </c>
      <c r="B2251" t="s">
        <v>10</v>
      </c>
      <c r="C2251" t="s">
        <v>4496</v>
      </c>
      <c r="D2251" t="str">
        <f t="shared" si="110"/>
        <v/>
      </c>
      <c r="E2251" t="s">
        <v>4497</v>
      </c>
      <c r="F2251" t="str">
        <f t="shared" si="111"/>
        <v>1120182</v>
      </c>
    </row>
    <row r="2252" spans="1:9" hidden="1" x14ac:dyDescent="0.25">
      <c r="A2252">
        <v>19210</v>
      </c>
      <c r="B2252" t="s">
        <v>10</v>
      </c>
      <c r="C2252" t="s">
        <v>4498</v>
      </c>
      <c r="D2252" t="str">
        <f t="shared" si="110"/>
        <v/>
      </c>
      <c r="E2252" t="s">
        <v>4499</v>
      </c>
      <c r="F2252" t="str">
        <f t="shared" si="111"/>
        <v>1120182</v>
      </c>
    </row>
    <row r="2253" spans="1:9" hidden="1" x14ac:dyDescent="0.25">
      <c r="A2253">
        <v>19211</v>
      </c>
      <c r="B2253" t="s">
        <v>10</v>
      </c>
      <c r="C2253" t="s">
        <v>4500</v>
      </c>
      <c r="D2253" t="str">
        <f t="shared" si="110"/>
        <v/>
      </c>
      <c r="E2253" t="s">
        <v>4501</v>
      </c>
      <c r="F2253" t="str">
        <f t="shared" si="111"/>
        <v>1120182</v>
      </c>
    </row>
    <row r="2254" spans="1:9" hidden="1" x14ac:dyDescent="0.25">
      <c r="A2254">
        <v>19212</v>
      </c>
      <c r="B2254" t="s">
        <v>10</v>
      </c>
      <c r="C2254" t="s">
        <v>4502</v>
      </c>
      <c r="D2254" t="str">
        <f t="shared" si="110"/>
        <v/>
      </c>
      <c r="E2254" t="s">
        <v>4503</v>
      </c>
      <c r="F2254" t="str">
        <f t="shared" si="111"/>
        <v>1120182</v>
      </c>
    </row>
    <row r="2255" spans="1:9" hidden="1" x14ac:dyDescent="0.25">
      <c r="A2255">
        <v>19213</v>
      </c>
      <c r="B2255" t="s">
        <v>10</v>
      </c>
      <c r="C2255" t="s">
        <v>4504</v>
      </c>
      <c r="D2255" t="str">
        <f t="shared" si="110"/>
        <v/>
      </c>
      <c r="E2255" t="s">
        <v>4505</v>
      </c>
      <c r="F2255" t="str">
        <f t="shared" si="111"/>
        <v>1120182</v>
      </c>
    </row>
    <row r="2256" spans="1:9" hidden="1" x14ac:dyDescent="0.25">
      <c r="A2256">
        <v>19214</v>
      </c>
      <c r="B2256" t="s">
        <v>10</v>
      </c>
      <c r="C2256" t="s">
        <v>4506</v>
      </c>
      <c r="D2256" t="str">
        <f t="shared" si="110"/>
        <v/>
      </c>
      <c r="E2256" t="s">
        <v>4507</v>
      </c>
      <c r="F2256" t="str">
        <f t="shared" si="111"/>
        <v>1120182</v>
      </c>
    </row>
    <row r="2257" spans="1:9" x14ac:dyDescent="0.25">
      <c r="A2257">
        <v>19215</v>
      </c>
      <c r="B2257" t="s">
        <v>7</v>
      </c>
      <c r="C2257" t="s">
        <v>4508</v>
      </c>
      <c r="D2257" t="str">
        <f t="shared" si="110"/>
        <v/>
      </c>
      <c r="E2257" t="s">
        <v>4509</v>
      </c>
      <c r="F2257" t="s">
        <v>6927</v>
      </c>
      <c r="I2257">
        <v>1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 t="shared" si="110"/>
        <v/>
      </c>
      <c r="E2258" t="s">
        <v>4511</v>
      </c>
      <c r="F2258" t="str">
        <f t="shared" ref="F2258:F2269" si="112"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 t="shared" si="110"/>
        <v/>
      </c>
      <c r="E2259" t="s">
        <v>4513</v>
      </c>
      <c r="F2259" t="str">
        <f t="shared" si="112"/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 t="shared" si="110"/>
        <v/>
      </c>
      <c r="E2260" t="s">
        <v>4515</v>
      </c>
      <c r="F2260" t="str">
        <f t="shared" si="112"/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 t="shared" si="110"/>
        <v/>
      </c>
      <c r="E2261" t="s">
        <v>4517</v>
      </c>
      <c r="F2261" t="str">
        <f t="shared" si="112"/>
        <v>9003020</v>
      </c>
    </row>
    <row r="2262" spans="1:9" x14ac:dyDescent="0.25">
      <c r="A2262">
        <v>19222</v>
      </c>
      <c r="B2262" t="s">
        <v>7</v>
      </c>
      <c r="C2262" t="s">
        <v>4518</v>
      </c>
      <c r="D2262" t="str">
        <f t="shared" si="110"/>
        <v/>
      </c>
      <c r="E2262" t="s">
        <v>4519</v>
      </c>
      <c r="F2262" t="str">
        <f t="shared" si="112"/>
        <v>5101046</v>
      </c>
      <c r="I2262">
        <v>1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 t="shared" si="110"/>
        <v/>
      </c>
      <c r="E2263" t="s">
        <v>4521</v>
      </c>
      <c r="F2263" t="str">
        <f t="shared" si="112"/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 t="shared" si="110"/>
        <v/>
      </c>
      <c r="E2264" t="s">
        <v>4523</v>
      </c>
      <c r="F2264" t="str">
        <f t="shared" si="112"/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 t="shared" si="110"/>
        <v/>
      </c>
      <c r="E2265" t="s">
        <v>4525</v>
      </c>
      <c r="F2265" t="str">
        <f t="shared" si="112"/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 t="shared" si="110"/>
        <v/>
      </c>
      <c r="E2266" t="s">
        <v>4527</v>
      </c>
      <c r="F2266" t="str">
        <f t="shared" si="112"/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 t="shared" si="110"/>
        <v/>
      </c>
      <c r="E2267" t="s">
        <v>4529</v>
      </c>
      <c r="F2267" t="str">
        <f t="shared" si="112"/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 t="shared" si="110"/>
        <v/>
      </c>
      <c r="E2268" t="s">
        <v>4531</v>
      </c>
      <c r="F2268" t="str">
        <f t="shared" si="112"/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 t="shared" si="110"/>
        <v/>
      </c>
      <c r="E2269" t="s">
        <v>4533</v>
      </c>
      <c r="F2269" t="str">
        <f t="shared" si="112"/>
        <v>5101046</v>
      </c>
    </row>
    <row r="2270" spans="1:9" x14ac:dyDescent="0.25">
      <c r="A2270">
        <v>19234</v>
      </c>
      <c r="B2270" t="s">
        <v>7</v>
      </c>
      <c r="C2270" t="s">
        <v>4534</v>
      </c>
      <c r="D2270" t="str">
        <f t="shared" si="110"/>
        <v/>
      </c>
      <c r="E2270" t="s">
        <v>4535</v>
      </c>
      <c r="F2270" t="s">
        <v>6969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 t="shared" si="110"/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 t="shared" si="110"/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 t="shared" si="110"/>
        <v/>
      </c>
      <c r="E2273" t="s">
        <v>4541</v>
      </c>
      <c r="F2273" t="str">
        <f>LEFT(C2273,7)</f>
        <v>4120754</v>
      </c>
    </row>
    <row r="2274" spans="1:9" x14ac:dyDescent="0.25">
      <c r="A2274">
        <v>19238</v>
      </c>
      <c r="B2274" t="s">
        <v>7</v>
      </c>
      <c r="C2274" t="s">
        <v>4542</v>
      </c>
      <c r="D2274" t="str">
        <f t="shared" si="110"/>
        <v/>
      </c>
      <c r="E2274" t="s">
        <v>6997</v>
      </c>
      <c r="F2274" t="s">
        <v>6998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 t="shared" si="110"/>
        <v/>
      </c>
      <c r="E2275" t="s">
        <v>4544</v>
      </c>
      <c r="F2275" t="str">
        <f t="shared" ref="F2275:F2312" si="113"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 t="shared" si="110"/>
        <v/>
      </c>
      <c r="E2276" t="s">
        <v>4546</v>
      </c>
      <c r="F2276" t="str">
        <f t="shared" si="113"/>
        <v>1130255</v>
      </c>
    </row>
    <row r="2277" spans="1:9" x14ac:dyDescent="0.25">
      <c r="A2277">
        <v>19241</v>
      </c>
      <c r="B2277" t="s">
        <v>7</v>
      </c>
      <c r="C2277" t="s">
        <v>4547</v>
      </c>
      <c r="D2277" t="str">
        <f t="shared" si="110"/>
        <v/>
      </c>
      <c r="E2277" t="s">
        <v>4548</v>
      </c>
      <c r="F2277" t="str">
        <f t="shared" si="113"/>
        <v>5101009</v>
      </c>
      <c r="H2277">
        <v>7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 t="shared" si="110"/>
        <v/>
      </c>
      <c r="E2278" t="s">
        <v>4550</v>
      </c>
      <c r="F2278" t="str">
        <f t="shared" si="113"/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 t="shared" si="110"/>
        <v/>
      </c>
      <c r="E2279" t="s">
        <v>4552</v>
      </c>
      <c r="F2279" t="str">
        <f t="shared" si="113"/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 t="shared" si="110"/>
        <v/>
      </c>
      <c r="E2280" t="s">
        <v>4554</v>
      </c>
      <c r="F2280" t="str">
        <f t="shared" si="113"/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 t="shared" si="110"/>
        <v/>
      </c>
      <c r="E2281" t="s">
        <v>4556</v>
      </c>
      <c r="F2281" t="str">
        <f t="shared" si="113"/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 t="shared" si="110"/>
        <v/>
      </c>
      <c r="E2282" t="s">
        <v>4558</v>
      </c>
      <c r="F2282" t="str">
        <f t="shared" si="113"/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 t="shared" si="110"/>
        <v/>
      </c>
      <c r="E2283" t="s">
        <v>4560</v>
      </c>
      <c r="F2283" t="str">
        <f t="shared" si="113"/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 t="shared" si="110"/>
        <v/>
      </c>
      <c r="E2284" t="s">
        <v>4562</v>
      </c>
      <c r="F2284" t="str">
        <f t="shared" si="113"/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 t="shared" si="110"/>
        <v/>
      </c>
      <c r="E2285" t="s">
        <v>4564</v>
      </c>
      <c r="F2285" t="str">
        <f t="shared" si="113"/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 t="shared" si="110"/>
        <v/>
      </c>
      <c r="E2286" t="s">
        <v>4566</v>
      </c>
      <c r="F2286" t="str">
        <f t="shared" si="113"/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 t="shared" si="110"/>
        <v/>
      </c>
      <c r="E2287" t="s">
        <v>4568</v>
      </c>
      <c r="F2287" t="str">
        <f t="shared" si="113"/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 t="shared" si="110"/>
        <v/>
      </c>
      <c r="E2288" t="s">
        <v>4570</v>
      </c>
      <c r="F2288" t="str">
        <f t="shared" si="113"/>
        <v>5101009</v>
      </c>
    </row>
    <row r="2289" spans="1:9" x14ac:dyDescent="0.25">
      <c r="A2289">
        <v>19253</v>
      </c>
      <c r="B2289" t="s">
        <v>7</v>
      </c>
      <c r="C2289" t="s">
        <v>4571</v>
      </c>
      <c r="D2289" t="str">
        <f t="shared" si="110"/>
        <v/>
      </c>
      <c r="E2289" t="s">
        <v>4572</v>
      </c>
      <c r="F2289" t="str">
        <f t="shared" si="113"/>
        <v>5101915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 t="shared" si="110"/>
        <v/>
      </c>
      <c r="E2290" t="s">
        <v>4574</v>
      </c>
      <c r="F2290" t="str">
        <f t="shared" si="113"/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 t="shared" si="110"/>
        <v/>
      </c>
      <c r="E2291" t="s">
        <v>4576</v>
      </c>
      <c r="F2291" t="str">
        <f t="shared" si="113"/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 t="shared" si="110"/>
        <v/>
      </c>
      <c r="E2292" t="s">
        <v>4578</v>
      </c>
      <c r="F2292" t="str">
        <f t="shared" si="113"/>
        <v>5101915</v>
      </c>
    </row>
    <row r="2293" spans="1:9" x14ac:dyDescent="0.25">
      <c r="A2293">
        <v>19262</v>
      </c>
      <c r="B2293" t="s">
        <v>7</v>
      </c>
      <c r="C2293" t="s">
        <v>4579</v>
      </c>
      <c r="D2293" t="str">
        <f t="shared" si="110"/>
        <v/>
      </c>
      <c r="E2293" t="s">
        <v>4580</v>
      </c>
      <c r="F2293" t="str">
        <f t="shared" si="113"/>
        <v>5101902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 t="shared" si="110"/>
        <v/>
      </c>
      <c r="E2294" t="s">
        <v>4582</v>
      </c>
      <c r="F2294" t="str">
        <f t="shared" si="113"/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 t="shared" si="110"/>
        <v/>
      </c>
      <c r="E2295" t="s">
        <v>4584</v>
      </c>
      <c r="F2295" t="str">
        <f t="shared" si="113"/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 t="shared" si="110"/>
        <v/>
      </c>
      <c r="E2296" t="s">
        <v>4586</v>
      </c>
      <c r="F2296" t="str">
        <f t="shared" si="113"/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 t="shared" si="110"/>
        <v/>
      </c>
      <c r="E2297" t="s">
        <v>4588</v>
      </c>
      <c r="F2297" t="str">
        <f t="shared" si="113"/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 t="shared" si="110"/>
        <v/>
      </c>
      <c r="E2298" t="s">
        <v>4590</v>
      </c>
      <c r="F2298" t="str">
        <f t="shared" si="113"/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 t="shared" si="110"/>
        <v/>
      </c>
      <c r="E2299" t="s">
        <v>4592</v>
      </c>
      <c r="F2299" t="str">
        <f t="shared" si="113"/>
        <v>5101902</v>
      </c>
    </row>
    <row r="2300" spans="1:9" x14ac:dyDescent="0.25">
      <c r="A2300">
        <v>19274</v>
      </c>
      <c r="B2300" t="s">
        <v>7</v>
      </c>
      <c r="C2300" t="s">
        <v>4593</v>
      </c>
      <c r="D2300" t="str">
        <f t="shared" ref="D2300:D2363" si="114">IF(RIGHT(LEFT(C2300,9),2)="##","",RIGHT(LEFT(C2300,10),2))</f>
        <v/>
      </c>
      <c r="E2300" t="s">
        <v>4594</v>
      </c>
      <c r="F2300" t="str">
        <f t="shared" si="113"/>
        <v>5101917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 t="shared" si="114"/>
        <v/>
      </c>
      <c r="E2301" t="s">
        <v>4596</v>
      </c>
      <c r="F2301" t="str">
        <f t="shared" si="113"/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 t="shared" si="114"/>
        <v/>
      </c>
      <c r="E2302" t="s">
        <v>4598</v>
      </c>
      <c r="F2302" t="str">
        <f t="shared" si="113"/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 t="shared" si="114"/>
        <v/>
      </c>
      <c r="E2303" t="s">
        <v>4600</v>
      </c>
      <c r="F2303" t="str">
        <f t="shared" si="113"/>
        <v>5101917</v>
      </c>
    </row>
    <row r="2304" spans="1:9" x14ac:dyDescent="0.25">
      <c r="A2304">
        <v>19283</v>
      </c>
      <c r="B2304" t="s">
        <v>7</v>
      </c>
      <c r="C2304" t="s">
        <v>4601</v>
      </c>
      <c r="D2304" t="str">
        <f t="shared" si="114"/>
        <v/>
      </c>
      <c r="E2304" t="s">
        <v>4602</v>
      </c>
      <c r="F2304" t="str">
        <f t="shared" si="113"/>
        <v>1120130</v>
      </c>
      <c r="I2304">
        <v>1</v>
      </c>
    </row>
    <row r="2305" spans="1:9" hidden="1" x14ac:dyDescent="0.25">
      <c r="A2305">
        <v>19284</v>
      </c>
      <c r="B2305" t="s">
        <v>10</v>
      </c>
      <c r="C2305" t="s">
        <v>4603</v>
      </c>
      <c r="D2305" t="str">
        <f t="shared" si="114"/>
        <v/>
      </c>
      <c r="E2305" t="s">
        <v>4604</v>
      </c>
      <c r="F2305" t="str">
        <f t="shared" si="113"/>
        <v>1120130</v>
      </c>
    </row>
    <row r="2306" spans="1:9" hidden="1" x14ac:dyDescent="0.25">
      <c r="A2306">
        <v>19289</v>
      </c>
      <c r="B2306" t="s">
        <v>10</v>
      </c>
      <c r="C2306" t="s">
        <v>4605</v>
      </c>
      <c r="D2306" t="str">
        <f t="shared" si="114"/>
        <v/>
      </c>
      <c r="E2306" t="s">
        <v>4606</v>
      </c>
      <c r="F2306" t="str">
        <f t="shared" si="113"/>
        <v>1120130</v>
      </c>
    </row>
    <row r="2307" spans="1:9" hidden="1" x14ac:dyDescent="0.25">
      <c r="A2307">
        <v>19290</v>
      </c>
      <c r="B2307" t="s">
        <v>10</v>
      </c>
      <c r="C2307" t="s">
        <v>4607</v>
      </c>
      <c r="D2307" t="str">
        <f t="shared" si="114"/>
        <v/>
      </c>
      <c r="E2307" t="s">
        <v>4608</v>
      </c>
      <c r="F2307" t="str">
        <f t="shared" si="113"/>
        <v>1120130</v>
      </c>
    </row>
    <row r="2308" spans="1:9" hidden="1" x14ac:dyDescent="0.25">
      <c r="A2308">
        <v>19291</v>
      </c>
      <c r="B2308" t="s">
        <v>10</v>
      </c>
      <c r="C2308" t="s">
        <v>4609</v>
      </c>
      <c r="D2308" t="str">
        <f t="shared" si="114"/>
        <v/>
      </c>
      <c r="E2308" t="s">
        <v>4610</v>
      </c>
      <c r="F2308" t="str">
        <f t="shared" si="113"/>
        <v>1120130</v>
      </c>
    </row>
    <row r="2309" spans="1:9" hidden="1" x14ac:dyDescent="0.25">
      <c r="A2309">
        <v>19292</v>
      </c>
      <c r="B2309" t="s">
        <v>10</v>
      </c>
      <c r="C2309" t="s">
        <v>4611</v>
      </c>
      <c r="D2309" t="str">
        <f t="shared" si="114"/>
        <v/>
      </c>
      <c r="E2309" t="s">
        <v>4612</v>
      </c>
      <c r="F2309" t="str">
        <f t="shared" si="113"/>
        <v>1120130</v>
      </c>
    </row>
    <row r="2310" spans="1:9" hidden="1" x14ac:dyDescent="0.25">
      <c r="A2310">
        <v>19293</v>
      </c>
      <c r="B2310" t="s">
        <v>10</v>
      </c>
      <c r="C2310" t="s">
        <v>4613</v>
      </c>
      <c r="D2310" t="str">
        <f t="shared" si="114"/>
        <v/>
      </c>
      <c r="E2310" t="s">
        <v>4614</v>
      </c>
      <c r="F2310" t="str">
        <f t="shared" si="113"/>
        <v>1120130</v>
      </c>
    </row>
    <row r="2311" spans="1:9" hidden="1" x14ac:dyDescent="0.25">
      <c r="A2311">
        <v>19294</v>
      </c>
      <c r="B2311" t="s">
        <v>10</v>
      </c>
      <c r="C2311" t="s">
        <v>4615</v>
      </c>
      <c r="D2311" t="str">
        <f t="shared" si="114"/>
        <v/>
      </c>
      <c r="E2311" t="s">
        <v>4616</v>
      </c>
      <c r="F2311" t="str">
        <f t="shared" si="113"/>
        <v>1120130</v>
      </c>
    </row>
    <row r="2312" spans="1:9" hidden="1" x14ac:dyDescent="0.25">
      <c r="A2312">
        <v>19295</v>
      </c>
      <c r="B2312" t="s">
        <v>10</v>
      </c>
      <c r="C2312" t="s">
        <v>4617</v>
      </c>
      <c r="D2312" t="str">
        <f t="shared" si="114"/>
        <v/>
      </c>
      <c r="E2312" t="s">
        <v>4618</v>
      </c>
      <c r="F2312" t="str">
        <f t="shared" si="113"/>
        <v>1120130</v>
      </c>
    </row>
    <row r="2313" spans="1:9" x14ac:dyDescent="0.25">
      <c r="A2313">
        <v>19296</v>
      </c>
      <c r="B2313" t="s">
        <v>7</v>
      </c>
      <c r="C2313" t="s">
        <v>4619</v>
      </c>
      <c r="D2313" t="str">
        <f t="shared" si="114"/>
        <v/>
      </c>
      <c r="E2313" t="s">
        <v>4620</v>
      </c>
      <c r="F2313" t="s">
        <v>6943</v>
      </c>
      <c r="I2313">
        <v>1</v>
      </c>
    </row>
    <row r="2314" spans="1:9" hidden="1" x14ac:dyDescent="0.25">
      <c r="A2314">
        <v>19297</v>
      </c>
      <c r="B2314" t="s">
        <v>10</v>
      </c>
      <c r="C2314" t="s">
        <v>4621</v>
      </c>
      <c r="D2314" t="str">
        <f t="shared" si="114"/>
        <v/>
      </c>
      <c r="E2314" t="s">
        <v>4622</v>
      </c>
      <c r="F2314" t="str">
        <f>LEFT(C2314,7)</f>
        <v>1120131</v>
      </c>
    </row>
    <row r="2315" spans="1:9" hidden="1" x14ac:dyDescent="0.25">
      <c r="A2315">
        <v>19298</v>
      </c>
      <c r="B2315" t="s">
        <v>10</v>
      </c>
      <c r="C2315" t="s">
        <v>4623</v>
      </c>
      <c r="D2315" t="str">
        <f t="shared" si="114"/>
        <v/>
      </c>
      <c r="E2315" t="s">
        <v>4624</v>
      </c>
      <c r="F2315" t="str">
        <f>LEFT(C2315,7)</f>
        <v>1120131</v>
      </c>
    </row>
    <row r="2316" spans="1:9" hidden="1" x14ac:dyDescent="0.25">
      <c r="A2316">
        <v>19299</v>
      </c>
      <c r="B2316" t="s">
        <v>10</v>
      </c>
      <c r="C2316" t="s">
        <v>4625</v>
      </c>
      <c r="D2316" t="str">
        <f t="shared" si="114"/>
        <v/>
      </c>
      <c r="E2316" t="s">
        <v>4626</v>
      </c>
      <c r="F2316" t="str">
        <f>LEFT(C2316,7)</f>
        <v>1120131</v>
      </c>
    </row>
    <row r="2317" spans="1:9" x14ac:dyDescent="0.25">
      <c r="A2317">
        <v>19300</v>
      </c>
      <c r="B2317" t="s">
        <v>7</v>
      </c>
      <c r="C2317" t="s">
        <v>4627</v>
      </c>
      <c r="D2317" t="str">
        <f t="shared" si="114"/>
        <v/>
      </c>
      <c r="E2317" t="s">
        <v>4628</v>
      </c>
      <c r="F2317" t="s">
        <v>6973</v>
      </c>
      <c r="I2317">
        <v>1</v>
      </c>
    </row>
    <row r="2318" spans="1:9" hidden="1" x14ac:dyDescent="0.25">
      <c r="A2318">
        <v>19301</v>
      </c>
      <c r="B2318" t="s">
        <v>10</v>
      </c>
      <c r="C2318" t="s">
        <v>4629</v>
      </c>
      <c r="D2318" t="str">
        <f t="shared" si="114"/>
        <v/>
      </c>
      <c r="E2318" t="s">
        <v>4630</v>
      </c>
      <c r="F2318" t="str">
        <f t="shared" ref="F2318:F2329" si="115">LEFT(C2318,7)</f>
        <v>4120010</v>
      </c>
    </row>
    <row r="2319" spans="1:9" hidden="1" x14ac:dyDescent="0.25">
      <c r="A2319">
        <v>19302</v>
      </c>
      <c r="B2319" t="s">
        <v>10</v>
      </c>
      <c r="C2319" t="s">
        <v>4631</v>
      </c>
      <c r="D2319" t="str">
        <f t="shared" si="114"/>
        <v/>
      </c>
      <c r="E2319" t="s">
        <v>4632</v>
      </c>
      <c r="F2319" t="str">
        <f t="shared" si="115"/>
        <v>4120010</v>
      </c>
    </row>
    <row r="2320" spans="1:9" hidden="1" x14ac:dyDescent="0.25">
      <c r="A2320">
        <v>19303</v>
      </c>
      <c r="B2320" t="s">
        <v>10</v>
      </c>
      <c r="C2320" t="s">
        <v>4633</v>
      </c>
      <c r="D2320" t="str">
        <f t="shared" si="114"/>
        <v/>
      </c>
      <c r="E2320" t="s">
        <v>4634</v>
      </c>
      <c r="F2320" t="str">
        <f t="shared" si="115"/>
        <v>4120010</v>
      </c>
    </row>
    <row r="2321" spans="1:9" x14ac:dyDescent="0.25">
      <c r="A2321">
        <v>19304</v>
      </c>
      <c r="B2321" t="s">
        <v>7</v>
      </c>
      <c r="C2321" t="s">
        <v>4635</v>
      </c>
      <c r="D2321" t="str">
        <f t="shared" si="114"/>
        <v/>
      </c>
      <c r="E2321" t="s">
        <v>4636</v>
      </c>
      <c r="F2321" t="str">
        <f t="shared" si="115"/>
        <v>1120060</v>
      </c>
      <c r="H2321">
        <v>6</v>
      </c>
      <c r="I2321">
        <v>1</v>
      </c>
    </row>
    <row r="2322" spans="1:9" hidden="1" x14ac:dyDescent="0.25">
      <c r="A2322">
        <v>19305</v>
      </c>
      <c r="B2322" t="s">
        <v>10</v>
      </c>
      <c r="C2322" t="s">
        <v>4637</v>
      </c>
      <c r="D2322" t="str">
        <f t="shared" si="114"/>
        <v/>
      </c>
      <c r="E2322" t="s">
        <v>4638</v>
      </c>
      <c r="F2322" t="str">
        <f t="shared" si="115"/>
        <v>1120060</v>
      </c>
    </row>
    <row r="2323" spans="1:9" hidden="1" x14ac:dyDescent="0.25">
      <c r="A2323">
        <v>19310</v>
      </c>
      <c r="B2323" t="s">
        <v>10</v>
      </c>
      <c r="C2323" t="s">
        <v>4639</v>
      </c>
      <c r="D2323" t="str">
        <f t="shared" si="114"/>
        <v/>
      </c>
      <c r="E2323" t="s">
        <v>4640</v>
      </c>
      <c r="F2323" t="str">
        <f t="shared" si="115"/>
        <v>1120060</v>
      </c>
    </row>
    <row r="2324" spans="1:9" hidden="1" x14ac:dyDescent="0.25">
      <c r="A2324">
        <v>19311</v>
      </c>
      <c r="B2324" t="s">
        <v>10</v>
      </c>
      <c r="C2324" t="s">
        <v>4641</v>
      </c>
      <c r="D2324" t="str">
        <f t="shared" si="114"/>
        <v/>
      </c>
      <c r="E2324" t="s">
        <v>4642</v>
      </c>
      <c r="F2324" t="str">
        <f t="shared" si="115"/>
        <v>1120060</v>
      </c>
    </row>
    <row r="2325" spans="1:9" hidden="1" x14ac:dyDescent="0.25">
      <c r="A2325">
        <v>19312</v>
      </c>
      <c r="B2325" t="s">
        <v>10</v>
      </c>
      <c r="C2325" t="s">
        <v>4643</v>
      </c>
      <c r="D2325" t="str">
        <f t="shared" si="114"/>
        <v/>
      </c>
      <c r="E2325" t="s">
        <v>4644</v>
      </c>
      <c r="F2325" t="str">
        <f t="shared" si="115"/>
        <v>1120060</v>
      </c>
    </row>
    <row r="2326" spans="1:9" hidden="1" x14ac:dyDescent="0.25">
      <c r="A2326">
        <v>19313</v>
      </c>
      <c r="B2326" t="s">
        <v>10</v>
      </c>
      <c r="C2326" t="s">
        <v>4645</v>
      </c>
      <c r="D2326" t="str">
        <f t="shared" si="114"/>
        <v/>
      </c>
      <c r="E2326" t="s">
        <v>4646</v>
      </c>
      <c r="F2326" t="str">
        <f t="shared" si="115"/>
        <v>1120060</v>
      </c>
    </row>
    <row r="2327" spans="1:9" hidden="1" x14ac:dyDescent="0.25">
      <c r="A2327">
        <v>19314</v>
      </c>
      <c r="B2327" t="s">
        <v>10</v>
      </c>
      <c r="C2327" t="s">
        <v>4647</v>
      </c>
      <c r="D2327" t="str">
        <f t="shared" si="114"/>
        <v/>
      </c>
      <c r="E2327" t="s">
        <v>4648</v>
      </c>
      <c r="F2327" t="str">
        <f t="shared" si="115"/>
        <v>1120060</v>
      </c>
    </row>
    <row r="2328" spans="1:9" hidden="1" x14ac:dyDescent="0.25">
      <c r="A2328">
        <v>19315</v>
      </c>
      <c r="B2328" t="s">
        <v>10</v>
      </c>
      <c r="C2328" t="s">
        <v>4649</v>
      </c>
      <c r="D2328" t="str">
        <f t="shared" si="114"/>
        <v/>
      </c>
      <c r="E2328" t="s">
        <v>4650</v>
      </c>
      <c r="F2328" t="str">
        <f t="shared" si="115"/>
        <v>1120060</v>
      </c>
    </row>
    <row r="2329" spans="1:9" hidden="1" x14ac:dyDescent="0.25">
      <c r="A2329">
        <v>19316</v>
      </c>
      <c r="B2329" t="s">
        <v>10</v>
      </c>
      <c r="C2329" t="s">
        <v>4651</v>
      </c>
      <c r="D2329" t="str">
        <f t="shared" si="114"/>
        <v/>
      </c>
      <c r="E2329" t="s">
        <v>4652</v>
      </c>
      <c r="F2329" t="str">
        <f t="shared" si="115"/>
        <v>1120060</v>
      </c>
    </row>
    <row r="2330" spans="1:9" x14ac:dyDescent="0.25">
      <c r="A2330">
        <v>19317</v>
      </c>
      <c r="B2330" t="s">
        <v>7</v>
      </c>
      <c r="C2330" t="s">
        <v>4653</v>
      </c>
      <c r="D2330" t="str">
        <f t="shared" si="114"/>
        <v/>
      </c>
      <c r="E2330" t="s">
        <v>4654</v>
      </c>
      <c r="F2330" t="s">
        <v>6936</v>
      </c>
      <c r="H2330">
        <v>6</v>
      </c>
      <c r="I2330">
        <v>1</v>
      </c>
    </row>
    <row r="2331" spans="1:9" hidden="1" x14ac:dyDescent="0.25">
      <c r="A2331">
        <v>19318</v>
      </c>
      <c r="B2331" t="s">
        <v>10</v>
      </c>
      <c r="C2331" t="s">
        <v>4655</v>
      </c>
      <c r="D2331" t="str">
        <f t="shared" si="114"/>
        <v/>
      </c>
      <c r="E2331" t="s">
        <v>4656</v>
      </c>
      <c r="F2331" t="str">
        <f t="shared" ref="F2331:F2349" si="116">LEFT(C2331,7)</f>
        <v>1120061</v>
      </c>
    </row>
    <row r="2332" spans="1:9" hidden="1" x14ac:dyDescent="0.25">
      <c r="A2332">
        <v>19319</v>
      </c>
      <c r="B2332" t="s">
        <v>10</v>
      </c>
      <c r="C2332" t="s">
        <v>4657</v>
      </c>
      <c r="D2332" t="str">
        <f t="shared" si="114"/>
        <v/>
      </c>
      <c r="E2332" t="s">
        <v>4658</v>
      </c>
      <c r="F2332" t="str">
        <f t="shared" si="116"/>
        <v>1120061</v>
      </c>
    </row>
    <row r="2333" spans="1:9" hidden="1" x14ac:dyDescent="0.25">
      <c r="A2333">
        <v>19320</v>
      </c>
      <c r="B2333" t="s">
        <v>10</v>
      </c>
      <c r="C2333" t="s">
        <v>4659</v>
      </c>
      <c r="D2333" t="str">
        <f t="shared" si="114"/>
        <v/>
      </c>
      <c r="E2333" t="s">
        <v>4660</v>
      </c>
      <c r="F2333" t="str">
        <f t="shared" si="116"/>
        <v>1120061</v>
      </c>
    </row>
    <row r="2334" spans="1:9" x14ac:dyDescent="0.25">
      <c r="A2334">
        <v>19321</v>
      </c>
      <c r="B2334" t="s">
        <v>7</v>
      </c>
      <c r="C2334" t="s">
        <v>4661</v>
      </c>
      <c r="D2334" t="str">
        <f t="shared" si="114"/>
        <v/>
      </c>
      <c r="E2334" t="s">
        <v>4662</v>
      </c>
      <c r="F2334" t="str">
        <f t="shared" si="116"/>
        <v>1120800</v>
      </c>
      <c r="I2334">
        <v>1</v>
      </c>
    </row>
    <row r="2335" spans="1:9" hidden="1" x14ac:dyDescent="0.25">
      <c r="A2335">
        <v>19322</v>
      </c>
      <c r="B2335" t="s">
        <v>10</v>
      </c>
      <c r="C2335" t="s">
        <v>4663</v>
      </c>
      <c r="D2335" t="str">
        <f t="shared" si="114"/>
        <v/>
      </c>
      <c r="E2335" t="s">
        <v>4664</v>
      </c>
      <c r="F2335" t="str">
        <f t="shared" si="116"/>
        <v>1120800</v>
      </c>
    </row>
    <row r="2336" spans="1:9" hidden="1" x14ac:dyDescent="0.25">
      <c r="A2336">
        <v>19327</v>
      </c>
      <c r="B2336" t="s">
        <v>10</v>
      </c>
      <c r="C2336" t="s">
        <v>4665</v>
      </c>
      <c r="D2336" t="str">
        <f t="shared" si="114"/>
        <v/>
      </c>
      <c r="E2336" t="s">
        <v>4666</v>
      </c>
      <c r="F2336" t="str">
        <f t="shared" si="116"/>
        <v>1120800</v>
      </c>
    </row>
    <row r="2337" spans="1:9" hidden="1" x14ac:dyDescent="0.25">
      <c r="A2337">
        <v>19328</v>
      </c>
      <c r="B2337" t="s">
        <v>10</v>
      </c>
      <c r="C2337" t="s">
        <v>4667</v>
      </c>
      <c r="D2337" t="str">
        <f t="shared" si="114"/>
        <v/>
      </c>
      <c r="E2337" t="s">
        <v>4668</v>
      </c>
      <c r="F2337" t="str">
        <f t="shared" si="116"/>
        <v>1120800</v>
      </c>
    </row>
    <row r="2338" spans="1:9" hidden="1" x14ac:dyDescent="0.25">
      <c r="A2338">
        <v>19329</v>
      </c>
      <c r="B2338" t="s">
        <v>10</v>
      </c>
      <c r="C2338" t="s">
        <v>4669</v>
      </c>
      <c r="D2338" t="str">
        <f t="shared" si="114"/>
        <v/>
      </c>
      <c r="E2338" t="s">
        <v>4670</v>
      </c>
      <c r="F2338" t="str">
        <f t="shared" si="116"/>
        <v>1120800</v>
      </c>
    </row>
    <row r="2339" spans="1:9" hidden="1" x14ac:dyDescent="0.25">
      <c r="A2339">
        <v>19330</v>
      </c>
      <c r="B2339" t="s">
        <v>10</v>
      </c>
      <c r="C2339" t="s">
        <v>4671</v>
      </c>
      <c r="D2339" t="str">
        <f t="shared" si="114"/>
        <v/>
      </c>
      <c r="E2339" t="s">
        <v>4672</v>
      </c>
      <c r="F2339" t="str">
        <f t="shared" si="116"/>
        <v>1120800</v>
      </c>
    </row>
    <row r="2340" spans="1:9" hidden="1" x14ac:dyDescent="0.25">
      <c r="A2340">
        <v>19331</v>
      </c>
      <c r="B2340" t="s">
        <v>10</v>
      </c>
      <c r="C2340" t="s">
        <v>4673</v>
      </c>
      <c r="D2340" t="str">
        <f t="shared" si="114"/>
        <v/>
      </c>
      <c r="E2340" t="s">
        <v>4674</v>
      </c>
      <c r="F2340" t="str">
        <f t="shared" si="116"/>
        <v>1120800</v>
      </c>
    </row>
    <row r="2341" spans="1:9" hidden="1" x14ac:dyDescent="0.25">
      <c r="A2341">
        <v>19332</v>
      </c>
      <c r="B2341" t="s">
        <v>4</v>
      </c>
      <c r="C2341" t="s">
        <v>4675</v>
      </c>
      <c r="D2341" t="str">
        <f t="shared" si="114"/>
        <v/>
      </c>
      <c r="E2341" t="s">
        <v>4676</v>
      </c>
      <c r="F2341" t="str">
        <f t="shared" si="116"/>
        <v>8703241</v>
      </c>
    </row>
    <row r="2342" spans="1:9" x14ac:dyDescent="0.25">
      <c r="A2342">
        <v>19335</v>
      </c>
      <c r="B2342" t="s">
        <v>7</v>
      </c>
      <c r="C2342" t="s">
        <v>4677</v>
      </c>
      <c r="D2342" t="str">
        <f t="shared" si="114"/>
        <v/>
      </c>
      <c r="E2342" t="s">
        <v>4678</v>
      </c>
      <c r="F2342" t="str">
        <f t="shared" si="116"/>
        <v>5101140</v>
      </c>
      <c r="I2342">
        <v>1</v>
      </c>
    </row>
    <row r="2343" spans="1:9" hidden="1" x14ac:dyDescent="0.25">
      <c r="A2343">
        <v>19336</v>
      </c>
      <c r="B2343" t="s">
        <v>10</v>
      </c>
      <c r="C2343" t="s">
        <v>4679</v>
      </c>
      <c r="D2343" t="str">
        <f t="shared" si="114"/>
        <v/>
      </c>
      <c r="E2343" t="s">
        <v>4680</v>
      </c>
      <c r="F2343" t="str">
        <f t="shared" si="116"/>
        <v>5101140</v>
      </c>
    </row>
    <row r="2344" spans="1:9" hidden="1" x14ac:dyDescent="0.25">
      <c r="A2344">
        <v>19341</v>
      </c>
      <c r="B2344" t="s">
        <v>10</v>
      </c>
      <c r="C2344" t="s">
        <v>4681</v>
      </c>
      <c r="D2344" t="str">
        <f t="shared" si="114"/>
        <v/>
      </c>
      <c r="E2344" t="s">
        <v>4682</v>
      </c>
      <c r="F2344" t="str">
        <f t="shared" si="116"/>
        <v>5101140</v>
      </c>
    </row>
    <row r="2345" spans="1:9" hidden="1" x14ac:dyDescent="0.25">
      <c r="A2345">
        <v>19342</v>
      </c>
      <c r="B2345" t="s">
        <v>10</v>
      </c>
      <c r="C2345" t="s">
        <v>4683</v>
      </c>
      <c r="D2345" t="str">
        <f t="shared" si="114"/>
        <v/>
      </c>
      <c r="E2345" t="s">
        <v>4684</v>
      </c>
      <c r="F2345" t="str">
        <f t="shared" si="116"/>
        <v>5101140</v>
      </c>
    </row>
    <row r="2346" spans="1:9" hidden="1" x14ac:dyDescent="0.25">
      <c r="A2346">
        <v>19343</v>
      </c>
      <c r="B2346" t="s">
        <v>10</v>
      </c>
      <c r="C2346" t="s">
        <v>4685</v>
      </c>
      <c r="D2346" t="str">
        <f t="shared" si="114"/>
        <v/>
      </c>
      <c r="E2346" t="s">
        <v>4686</v>
      </c>
      <c r="F2346" t="str">
        <f t="shared" si="116"/>
        <v>5101140</v>
      </c>
    </row>
    <row r="2347" spans="1:9" hidden="1" x14ac:dyDescent="0.25">
      <c r="A2347">
        <v>19344</v>
      </c>
      <c r="B2347" t="s">
        <v>10</v>
      </c>
      <c r="C2347" t="s">
        <v>4687</v>
      </c>
      <c r="D2347" t="str">
        <f t="shared" si="114"/>
        <v/>
      </c>
      <c r="E2347" t="s">
        <v>4688</v>
      </c>
      <c r="F2347" t="str">
        <f t="shared" si="116"/>
        <v>5101140</v>
      </c>
    </row>
    <row r="2348" spans="1:9" hidden="1" x14ac:dyDescent="0.25">
      <c r="A2348">
        <v>19345</v>
      </c>
      <c r="B2348" t="s">
        <v>10</v>
      </c>
      <c r="C2348" t="s">
        <v>4689</v>
      </c>
      <c r="D2348" t="str">
        <f t="shared" si="114"/>
        <v/>
      </c>
      <c r="E2348" t="s">
        <v>4690</v>
      </c>
      <c r="F2348" t="str">
        <f t="shared" si="116"/>
        <v>5101140</v>
      </c>
    </row>
    <row r="2349" spans="1:9" hidden="1" x14ac:dyDescent="0.25">
      <c r="A2349">
        <v>19346</v>
      </c>
      <c r="B2349" t="s">
        <v>4</v>
      </c>
      <c r="C2349" t="s">
        <v>4691</v>
      </c>
      <c r="D2349" t="str">
        <f t="shared" si="114"/>
        <v/>
      </c>
      <c r="E2349" t="s">
        <v>4692</v>
      </c>
      <c r="F2349" t="str">
        <f t="shared" si="116"/>
        <v>8708311</v>
      </c>
    </row>
    <row r="2350" spans="1:9" x14ac:dyDescent="0.25">
      <c r="A2350">
        <v>19354</v>
      </c>
      <c r="B2350" t="s">
        <v>7</v>
      </c>
      <c r="C2350" t="s">
        <v>4693</v>
      </c>
      <c r="D2350" t="str">
        <f t="shared" si="114"/>
        <v/>
      </c>
      <c r="E2350" t="s">
        <v>4694</v>
      </c>
      <c r="F2350" t="s">
        <v>6950</v>
      </c>
      <c r="I2350">
        <v>1</v>
      </c>
    </row>
    <row r="2351" spans="1:9" hidden="1" x14ac:dyDescent="0.25">
      <c r="A2351">
        <v>19355</v>
      </c>
      <c r="B2351" t="s">
        <v>10</v>
      </c>
      <c r="C2351" t="s">
        <v>4695</v>
      </c>
      <c r="D2351" t="str">
        <f t="shared" si="114"/>
        <v/>
      </c>
      <c r="E2351" t="s">
        <v>4696</v>
      </c>
      <c r="F2351" t="str">
        <f t="shared" ref="F2351:F2386" si="117">LEFT(C2351,7)</f>
        <v>1120448</v>
      </c>
    </row>
    <row r="2352" spans="1:9" hidden="1" x14ac:dyDescent="0.25">
      <c r="A2352">
        <v>19356</v>
      </c>
      <c r="B2352" t="s">
        <v>10</v>
      </c>
      <c r="C2352" t="s">
        <v>4697</v>
      </c>
      <c r="D2352" t="str">
        <f t="shared" si="114"/>
        <v/>
      </c>
      <c r="E2352" t="s">
        <v>4698</v>
      </c>
      <c r="F2352" t="str">
        <f t="shared" si="117"/>
        <v>1120448</v>
      </c>
    </row>
    <row r="2353" spans="1:6" hidden="1" x14ac:dyDescent="0.25">
      <c r="A2353">
        <v>19357</v>
      </c>
      <c r="B2353" t="s">
        <v>10</v>
      </c>
      <c r="C2353" t="s">
        <v>4699</v>
      </c>
      <c r="D2353" t="str">
        <f t="shared" si="114"/>
        <v/>
      </c>
      <c r="E2353" t="s">
        <v>4700</v>
      </c>
      <c r="F2353" t="str">
        <f t="shared" si="117"/>
        <v>1120448</v>
      </c>
    </row>
    <row r="2354" spans="1:6" hidden="1" x14ac:dyDescent="0.25">
      <c r="A2354">
        <v>19358</v>
      </c>
      <c r="B2354" t="s">
        <v>4</v>
      </c>
      <c r="C2354" t="s">
        <v>4701</v>
      </c>
      <c r="D2354" t="str">
        <f t="shared" si="114"/>
        <v/>
      </c>
      <c r="E2354" t="s">
        <v>4702</v>
      </c>
      <c r="F2354" t="str">
        <f t="shared" si="117"/>
        <v>8306101</v>
      </c>
    </row>
    <row r="2355" spans="1:6" hidden="1" x14ac:dyDescent="0.25">
      <c r="A2355">
        <v>19363</v>
      </c>
      <c r="B2355" t="s">
        <v>4</v>
      </c>
      <c r="C2355" t="s">
        <v>4703</v>
      </c>
      <c r="D2355" t="str">
        <f t="shared" si="114"/>
        <v/>
      </c>
      <c r="E2355" t="s">
        <v>4704</v>
      </c>
      <c r="F2355" t="str">
        <f t="shared" si="117"/>
        <v>8515748</v>
      </c>
    </row>
    <row r="2356" spans="1:6" hidden="1" x14ac:dyDescent="0.25">
      <c r="A2356">
        <v>19366</v>
      </c>
      <c r="B2356" t="s">
        <v>4</v>
      </c>
      <c r="C2356" t="s">
        <v>4705</v>
      </c>
      <c r="D2356" t="str">
        <f t="shared" si="114"/>
        <v/>
      </c>
      <c r="E2356" t="s">
        <v>4706</v>
      </c>
      <c r="F2356" t="str">
        <f t="shared" si="117"/>
        <v>8515746</v>
      </c>
    </row>
    <row r="2357" spans="1:6" hidden="1" x14ac:dyDescent="0.25">
      <c r="A2357">
        <v>19369</v>
      </c>
      <c r="B2357" t="s">
        <v>4</v>
      </c>
      <c r="C2357" t="s">
        <v>4707</v>
      </c>
      <c r="D2357" t="str">
        <f t="shared" si="114"/>
        <v/>
      </c>
      <c r="E2357" t="s">
        <v>4708</v>
      </c>
      <c r="F2357" t="str">
        <f t="shared" si="117"/>
        <v>8708196</v>
      </c>
    </row>
    <row r="2358" spans="1:6" hidden="1" x14ac:dyDescent="0.25">
      <c r="A2358">
        <v>19375</v>
      </c>
      <c r="B2358" t="s">
        <v>4</v>
      </c>
      <c r="C2358" t="s">
        <v>4709</v>
      </c>
      <c r="D2358" t="str">
        <f t="shared" si="114"/>
        <v/>
      </c>
      <c r="E2358" t="s">
        <v>4710</v>
      </c>
      <c r="F2358" t="str">
        <f t="shared" si="117"/>
        <v>8703197</v>
      </c>
    </row>
    <row r="2359" spans="1:6" x14ac:dyDescent="0.25">
      <c r="A2359">
        <v>19380</v>
      </c>
      <c r="B2359" t="s">
        <v>7</v>
      </c>
      <c r="C2359" t="s">
        <v>4711</v>
      </c>
      <c r="D2359" t="str">
        <f t="shared" si="114"/>
        <v/>
      </c>
      <c r="E2359" t="s">
        <v>4712</v>
      </c>
      <c r="F2359" t="str">
        <f t="shared" si="117"/>
        <v>8701542</v>
      </c>
    </row>
    <row r="2360" spans="1:6" hidden="1" x14ac:dyDescent="0.25">
      <c r="A2360">
        <v>19381</v>
      </c>
      <c r="B2360" t="s">
        <v>10</v>
      </c>
      <c r="C2360" t="s">
        <v>4713</v>
      </c>
      <c r="D2360" t="str">
        <f t="shared" si="114"/>
        <v/>
      </c>
      <c r="E2360" t="s">
        <v>4714</v>
      </c>
      <c r="F2360" t="str">
        <f t="shared" si="117"/>
        <v>8701542</v>
      </c>
    </row>
    <row r="2361" spans="1:6" hidden="1" x14ac:dyDescent="0.25">
      <c r="A2361">
        <v>19386</v>
      </c>
      <c r="B2361" t="s">
        <v>10</v>
      </c>
      <c r="C2361" t="s">
        <v>4715</v>
      </c>
      <c r="D2361" t="str">
        <f t="shared" si="114"/>
        <v/>
      </c>
      <c r="E2361" t="s">
        <v>4716</v>
      </c>
      <c r="F2361" t="str">
        <f t="shared" si="117"/>
        <v>8701542</v>
      </c>
    </row>
    <row r="2362" spans="1:6" hidden="1" x14ac:dyDescent="0.25">
      <c r="A2362">
        <v>19387</v>
      </c>
      <c r="B2362" t="s">
        <v>10</v>
      </c>
      <c r="C2362" t="s">
        <v>4717</v>
      </c>
      <c r="D2362" t="str">
        <f t="shared" si="114"/>
        <v/>
      </c>
      <c r="E2362" t="s">
        <v>4718</v>
      </c>
      <c r="F2362" t="str">
        <f t="shared" si="117"/>
        <v>8701542</v>
      </c>
    </row>
    <row r="2363" spans="1:6" hidden="1" x14ac:dyDescent="0.25">
      <c r="A2363">
        <v>19388</v>
      </c>
      <c r="B2363" t="s">
        <v>10</v>
      </c>
      <c r="C2363" t="s">
        <v>4719</v>
      </c>
      <c r="D2363" t="str">
        <f t="shared" si="114"/>
        <v/>
      </c>
      <c r="E2363" t="s">
        <v>4720</v>
      </c>
      <c r="F2363" t="str">
        <f t="shared" si="117"/>
        <v>8701542</v>
      </c>
    </row>
    <row r="2364" spans="1:6" hidden="1" x14ac:dyDescent="0.25">
      <c r="A2364">
        <v>19389</v>
      </c>
      <c r="B2364" t="s">
        <v>4</v>
      </c>
      <c r="C2364" t="s">
        <v>4721</v>
      </c>
      <c r="D2364" t="str">
        <f t="shared" ref="D2364:D2427" si="118">IF(RIGHT(LEFT(C2364,9),2)="##","",RIGHT(LEFT(C2364,10),2))</f>
        <v/>
      </c>
      <c r="E2364" t="s">
        <v>4722</v>
      </c>
      <c r="F2364" t="str">
        <f t="shared" si="117"/>
        <v>8400689</v>
      </c>
    </row>
    <row r="2365" spans="1:6" hidden="1" x14ac:dyDescent="0.25">
      <c r="A2365">
        <v>19393</v>
      </c>
      <c r="B2365" t="s">
        <v>4</v>
      </c>
      <c r="C2365" t="s">
        <v>4723</v>
      </c>
      <c r="D2365" t="str">
        <f t="shared" si="118"/>
        <v/>
      </c>
      <c r="E2365" t="s">
        <v>4724</v>
      </c>
      <c r="F2365" t="str">
        <f t="shared" si="117"/>
        <v>8400691</v>
      </c>
    </row>
    <row r="2366" spans="1:6" x14ac:dyDescent="0.25">
      <c r="A2366">
        <v>19397</v>
      </c>
      <c r="B2366" t="s">
        <v>7</v>
      </c>
      <c r="C2366" t="s">
        <v>4725</v>
      </c>
      <c r="D2366" t="str">
        <f t="shared" si="118"/>
        <v/>
      </c>
      <c r="E2366" t="s">
        <v>4726</v>
      </c>
      <c r="F2366" t="str">
        <f t="shared" si="117"/>
        <v>8305002</v>
      </c>
    </row>
    <row r="2367" spans="1:6" hidden="1" x14ac:dyDescent="0.25">
      <c r="A2367">
        <v>19398</v>
      </c>
      <c r="B2367" t="s">
        <v>10</v>
      </c>
      <c r="C2367" t="s">
        <v>4727</v>
      </c>
      <c r="D2367" t="str">
        <f t="shared" si="118"/>
        <v/>
      </c>
      <c r="E2367" t="s">
        <v>4728</v>
      </c>
      <c r="F2367" t="str">
        <f t="shared" si="117"/>
        <v>8305002</v>
      </c>
    </row>
    <row r="2368" spans="1:6" hidden="1" x14ac:dyDescent="0.25">
      <c r="A2368">
        <v>19401</v>
      </c>
      <c r="B2368" t="s">
        <v>10</v>
      </c>
      <c r="C2368" t="s">
        <v>4729</v>
      </c>
      <c r="D2368" t="str">
        <f t="shared" si="118"/>
        <v/>
      </c>
      <c r="E2368" t="s">
        <v>4730</v>
      </c>
      <c r="F2368" t="str">
        <f t="shared" si="117"/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 t="shared" si="118"/>
        <v/>
      </c>
      <c r="E2369" t="s">
        <v>4732</v>
      </c>
      <c r="F2369" t="str">
        <f t="shared" si="117"/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 t="shared" si="118"/>
        <v/>
      </c>
      <c r="E2370" t="s">
        <v>4734</v>
      </c>
      <c r="F2370" t="str">
        <f t="shared" si="117"/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 t="shared" si="118"/>
        <v/>
      </c>
      <c r="E2371" t="s">
        <v>4736</v>
      </c>
      <c r="F2371" t="str">
        <f t="shared" si="117"/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 t="shared" si="118"/>
        <v/>
      </c>
      <c r="E2372" t="s">
        <v>4738</v>
      </c>
      <c r="F2372" t="str">
        <f t="shared" si="117"/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 t="shared" si="118"/>
        <v/>
      </c>
      <c r="E2373" t="s">
        <v>4740</v>
      </c>
      <c r="F2373" t="str">
        <f t="shared" si="117"/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 t="shared" si="118"/>
        <v/>
      </c>
      <c r="E2374" t="s">
        <v>4742</v>
      </c>
      <c r="F2374" t="str">
        <f t="shared" si="117"/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 t="shared" si="118"/>
        <v/>
      </c>
      <c r="E2375" t="s">
        <v>4744</v>
      </c>
      <c r="F2375" t="str">
        <f t="shared" si="117"/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 t="shared" si="118"/>
        <v/>
      </c>
      <c r="E2376" t="s">
        <v>4746</v>
      </c>
      <c r="F2376" t="str">
        <f t="shared" si="117"/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 t="shared" si="118"/>
        <v/>
      </c>
      <c r="E2377" t="s">
        <v>4748</v>
      </c>
      <c r="F2377" t="str">
        <f t="shared" si="117"/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 t="shared" si="118"/>
        <v/>
      </c>
      <c r="E2378" t="s">
        <v>4750</v>
      </c>
      <c r="F2378" t="str">
        <f t="shared" si="117"/>
        <v>8400010</v>
      </c>
    </row>
    <row r="2379" spans="1:9" x14ac:dyDescent="0.25">
      <c r="A2379">
        <v>19418</v>
      </c>
      <c r="B2379" t="s">
        <v>7</v>
      </c>
      <c r="C2379" t="s">
        <v>4751</v>
      </c>
      <c r="D2379" t="str">
        <f t="shared" si="118"/>
        <v/>
      </c>
      <c r="E2379" t="s">
        <v>4752</v>
      </c>
      <c r="F2379" t="str">
        <f t="shared" si="117"/>
        <v>5101029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 t="shared" si="118"/>
        <v/>
      </c>
      <c r="E2380" t="s">
        <v>4754</v>
      </c>
      <c r="F2380" t="str">
        <f t="shared" si="117"/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 t="shared" si="118"/>
        <v/>
      </c>
      <c r="E2381" t="s">
        <v>4756</v>
      </c>
      <c r="F2381" t="str">
        <f t="shared" si="117"/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 t="shared" si="118"/>
        <v/>
      </c>
      <c r="E2382" t="s">
        <v>4758</v>
      </c>
      <c r="F2382" t="str">
        <f t="shared" si="117"/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 t="shared" si="118"/>
        <v/>
      </c>
      <c r="E2383" t="s">
        <v>4760</v>
      </c>
      <c r="F2383" t="str">
        <f t="shared" si="117"/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 t="shared" si="118"/>
        <v/>
      </c>
      <c r="E2384" t="s">
        <v>4762</v>
      </c>
      <c r="F2384" t="str">
        <f t="shared" si="117"/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 t="shared" si="118"/>
        <v/>
      </c>
      <c r="E2385" t="s">
        <v>4764</v>
      </c>
      <c r="F2385" t="str">
        <f t="shared" si="117"/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 t="shared" si="118"/>
        <v/>
      </c>
      <c r="E2386" t="s">
        <v>4766</v>
      </c>
      <c r="F2386" t="str">
        <f t="shared" si="117"/>
        <v>5101029</v>
      </c>
    </row>
    <row r="2387" spans="1:9" x14ac:dyDescent="0.25">
      <c r="A2387">
        <v>19430</v>
      </c>
      <c r="B2387" t="s">
        <v>7</v>
      </c>
      <c r="C2387" t="s">
        <v>4767</v>
      </c>
      <c r="D2387" t="str">
        <f t="shared" si="118"/>
        <v/>
      </c>
      <c r="E2387" t="s">
        <v>4768</v>
      </c>
      <c r="F2387" t="s">
        <v>6991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 t="shared" si="118"/>
        <v/>
      </c>
      <c r="E2388" t="s">
        <v>4770</v>
      </c>
      <c r="F2388" t="str">
        <f t="shared" ref="F2388:F2398" si="119"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 t="shared" si="118"/>
        <v/>
      </c>
      <c r="E2389" t="s">
        <v>4772</v>
      </c>
      <c r="F2389" t="str">
        <f t="shared" si="119"/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 t="shared" si="118"/>
        <v/>
      </c>
      <c r="E2390" t="s">
        <v>4774</v>
      </c>
      <c r="F2390" t="str">
        <f t="shared" si="119"/>
        <v>5101028</v>
      </c>
    </row>
    <row r="2391" spans="1:9" x14ac:dyDescent="0.25">
      <c r="A2391">
        <v>19434</v>
      </c>
      <c r="B2391" t="s">
        <v>7</v>
      </c>
      <c r="C2391" t="s">
        <v>4775</v>
      </c>
      <c r="D2391" t="str">
        <f t="shared" si="118"/>
        <v/>
      </c>
      <c r="E2391" t="s">
        <v>4776</v>
      </c>
      <c r="F2391" t="str">
        <f t="shared" si="119"/>
        <v>5101845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 t="shared" si="118"/>
        <v/>
      </c>
      <c r="E2392" t="s">
        <v>4778</v>
      </c>
      <c r="F2392" t="str">
        <f t="shared" si="119"/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 t="shared" si="118"/>
        <v/>
      </c>
      <c r="E2393" t="s">
        <v>4780</v>
      </c>
      <c r="F2393" t="str">
        <f t="shared" si="119"/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 t="shared" si="118"/>
        <v/>
      </c>
      <c r="E2394" t="s">
        <v>4782</v>
      </c>
      <c r="F2394" t="str">
        <f t="shared" si="119"/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 t="shared" si="118"/>
        <v/>
      </c>
      <c r="E2395" t="s">
        <v>4784</v>
      </c>
      <c r="F2395" t="str">
        <f t="shared" si="119"/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 t="shared" si="118"/>
        <v/>
      </c>
      <c r="E2396" t="s">
        <v>4786</v>
      </c>
      <c r="F2396" t="str">
        <f t="shared" si="119"/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 t="shared" si="118"/>
        <v/>
      </c>
      <c r="E2397" t="s">
        <v>4788</v>
      </c>
      <c r="F2397" t="str">
        <f t="shared" si="119"/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 t="shared" si="118"/>
        <v/>
      </c>
      <c r="E2398" t="s">
        <v>4790</v>
      </c>
      <c r="F2398" t="str">
        <f t="shared" si="119"/>
        <v>5101845</v>
      </c>
    </row>
    <row r="2399" spans="1:9" x14ac:dyDescent="0.25">
      <c r="A2399">
        <v>19446</v>
      </c>
      <c r="B2399" t="s">
        <v>7</v>
      </c>
      <c r="C2399" t="s">
        <v>4791</v>
      </c>
      <c r="D2399" t="str">
        <f t="shared" si="118"/>
        <v/>
      </c>
      <c r="E2399" t="s">
        <v>4792</v>
      </c>
      <c r="F2399" t="s">
        <v>6989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 t="shared" si="118"/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 t="shared" si="118"/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 t="shared" si="118"/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 t="shared" si="118"/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 t="shared" si="118"/>
        <v/>
      </c>
      <c r="E2404" t="s">
        <v>4802</v>
      </c>
      <c r="F2404" t="str">
        <f>LEFT(C2404,7)</f>
        <v>5101047</v>
      </c>
    </row>
    <row r="2405" spans="1:9" x14ac:dyDescent="0.25">
      <c r="A2405">
        <v>19454</v>
      </c>
      <c r="B2405" t="s">
        <v>7</v>
      </c>
      <c r="C2405" t="s">
        <v>4803</v>
      </c>
      <c r="D2405" t="str">
        <f t="shared" si="118"/>
        <v/>
      </c>
      <c r="E2405" t="s">
        <v>4804</v>
      </c>
      <c r="F2405" t="s">
        <v>6988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 t="shared" si="118"/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 t="shared" si="118"/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 t="shared" si="118"/>
        <v/>
      </c>
      <c r="E2408" t="s">
        <v>4810</v>
      </c>
      <c r="F2408" t="str">
        <f>LEFT(C2408,7)</f>
        <v>5101874</v>
      </c>
    </row>
    <row r="2409" spans="1:9" x14ac:dyDescent="0.25">
      <c r="A2409">
        <v>19461</v>
      </c>
      <c r="B2409" t="s">
        <v>7</v>
      </c>
      <c r="C2409" t="s">
        <v>4811</v>
      </c>
      <c r="D2409" t="str">
        <f t="shared" si="118"/>
        <v/>
      </c>
      <c r="E2409" t="s">
        <v>4812</v>
      </c>
      <c r="F2409" t="s">
        <v>6990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 t="shared" si="118"/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 t="shared" si="118"/>
        <v/>
      </c>
      <c r="E2411" t="s">
        <v>4816</v>
      </c>
      <c r="F2411" t="str">
        <f>LEFT(C2411,7)</f>
        <v>5101856</v>
      </c>
    </row>
    <row r="2412" spans="1:9" x14ac:dyDescent="0.25">
      <c r="A2412">
        <v>19464</v>
      </c>
      <c r="B2412" t="s">
        <v>7</v>
      </c>
      <c r="C2412" t="s">
        <v>4817</v>
      </c>
      <c r="D2412" t="str">
        <f t="shared" si="118"/>
        <v/>
      </c>
      <c r="E2412" t="s">
        <v>4818</v>
      </c>
      <c r="F2412" t="s">
        <v>6994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 t="shared" si="118"/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 t="shared" si="118"/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 t="shared" si="118"/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 t="shared" si="118"/>
        <v/>
      </c>
      <c r="E2416" t="s">
        <v>4826</v>
      </c>
      <c r="F2416" t="str">
        <f>LEFT(C2416,7)</f>
        <v>5101034</v>
      </c>
    </row>
    <row r="2417" spans="1:9" x14ac:dyDescent="0.25">
      <c r="A2417">
        <v>19474</v>
      </c>
      <c r="B2417" t="s">
        <v>7</v>
      </c>
      <c r="C2417" t="s">
        <v>4827</v>
      </c>
      <c r="D2417" t="str">
        <f t="shared" si="118"/>
        <v/>
      </c>
      <c r="E2417" t="s">
        <v>4828</v>
      </c>
      <c r="F2417" t="s">
        <v>6984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 t="shared" si="118"/>
        <v/>
      </c>
      <c r="E2418" t="s">
        <v>4830</v>
      </c>
      <c r="F2418" t="str">
        <f t="shared" ref="F2418:F2425" si="120"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 t="shared" si="118"/>
        <v/>
      </c>
      <c r="E2419" t="s">
        <v>4832</v>
      </c>
      <c r="F2419" t="str">
        <f t="shared" si="120"/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 t="shared" si="118"/>
        <v/>
      </c>
      <c r="E2420" t="s">
        <v>4834</v>
      </c>
      <c r="F2420" t="str">
        <f t="shared" si="120"/>
        <v>5101205</v>
      </c>
    </row>
    <row r="2421" spans="1:9" x14ac:dyDescent="0.25">
      <c r="A2421">
        <v>19478</v>
      </c>
      <c r="B2421" t="s">
        <v>7</v>
      </c>
      <c r="C2421" t="s">
        <v>4835</v>
      </c>
      <c r="D2421" t="str">
        <f t="shared" si="118"/>
        <v/>
      </c>
      <c r="E2421" t="s">
        <v>4836</v>
      </c>
      <c r="F2421" t="str">
        <f t="shared" si="120"/>
        <v>5101002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 t="shared" si="118"/>
        <v/>
      </c>
      <c r="E2422" t="s">
        <v>4838</v>
      </c>
      <c r="F2422" t="str">
        <f t="shared" si="120"/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 t="shared" si="118"/>
        <v/>
      </c>
      <c r="E2423" t="s">
        <v>4840</v>
      </c>
      <c r="F2423" t="str">
        <f t="shared" si="120"/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 t="shared" si="118"/>
        <v/>
      </c>
      <c r="E2424" t="s">
        <v>4842</v>
      </c>
      <c r="F2424" t="str">
        <f t="shared" si="120"/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 t="shared" si="118"/>
        <v/>
      </c>
      <c r="E2425" t="s">
        <v>4844</v>
      </c>
      <c r="F2425" t="str">
        <f t="shared" si="120"/>
        <v>5101002</v>
      </c>
    </row>
    <row r="2426" spans="1:9" x14ac:dyDescent="0.25">
      <c r="A2426">
        <v>19487</v>
      </c>
      <c r="B2426" t="s">
        <v>7</v>
      </c>
      <c r="C2426" t="s">
        <v>4845</v>
      </c>
      <c r="D2426" t="str">
        <f t="shared" si="118"/>
        <v/>
      </c>
      <c r="E2426" t="s">
        <v>4846</v>
      </c>
      <c r="F2426" t="s">
        <v>6996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 t="shared" si="118"/>
        <v/>
      </c>
      <c r="E2427" t="s">
        <v>4848</v>
      </c>
      <c r="F2427" t="str">
        <f t="shared" ref="F2427:F2437" si="121"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 t="shared" ref="D2428:D2491" si="122">IF(RIGHT(LEFT(C2428,9),2)="##","",RIGHT(LEFT(C2428,10),2))</f>
        <v/>
      </c>
      <c r="E2428" t="s">
        <v>4850</v>
      </c>
      <c r="F2428" t="str">
        <f t="shared" si="121"/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 t="shared" si="122"/>
        <v/>
      </c>
      <c r="E2429" t="s">
        <v>4852</v>
      </c>
      <c r="F2429" t="str">
        <f t="shared" si="121"/>
        <v>5101881</v>
      </c>
    </row>
    <row r="2430" spans="1:9" x14ac:dyDescent="0.25">
      <c r="A2430">
        <v>19491</v>
      </c>
      <c r="B2430" t="s">
        <v>7</v>
      </c>
      <c r="C2430" t="s">
        <v>4853</v>
      </c>
      <c r="D2430" t="str">
        <f t="shared" si="122"/>
        <v/>
      </c>
      <c r="E2430" t="s">
        <v>4854</v>
      </c>
      <c r="F2430" t="str">
        <f t="shared" si="121"/>
        <v>5101006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 t="shared" si="122"/>
        <v/>
      </c>
      <c r="E2431" t="s">
        <v>4856</v>
      </c>
      <c r="F2431" t="str">
        <f t="shared" si="121"/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 t="shared" si="122"/>
        <v/>
      </c>
      <c r="E2432" t="s">
        <v>4858</v>
      </c>
      <c r="F2432" t="str">
        <f t="shared" si="121"/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 t="shared" si="122"/>
        <v/>
      </c>
      <c r="E2433" t="s">
        <v>4860</v>
      </c>
      <c r="F2433" t="str">
        <f t="shared" si="121"/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 t="shared" si="122"/>
        <v/>
      </c>
      <c r="E2434" t="s">
        <v>4862</v>
      </c>
      <c r="F2434" t="str">
        <f t="shared" si="121"/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 t="shared" si="122"/>
        <v/>
      </c>
      <c r="E2435" t="s">
        <v>4864</v>
      </c>
      <c r="F2435" t="str">
        <f t="shared" si="121"/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 t="shared" si="122"/>
        <v/>
      </c>
      <c r="E2436" t="s">
        <v>4866</v>
      </c>
      <c r="F2436" t="str">
        <f t="shared" si="121"/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 t="shared" si="122"/>
        <v/>
      </c>
      <c r="E2437" t="s">
        <v>4868</v>
      </c>
      <c r="F2437" t="str">
        <f t="shared" si="121"/>
        <v>5101006</v>
      </c>
    </row>
    <row r="2438" spans="1:9" x14ac:dyDescent="0.25">
      <c r="A2438">
        <v>19503</v>
      </c>
      <c r="B2438" t="s">
        <v>7</v>
      </c>
      <c r="C2438" t="s">
        <v>4869</v>
      </c>
      <c r="D2438" t="str">
        <f t="shared" si="122"/>
        <v/>
      </c>
      <c r="E2438" t="s">
        <v>4870</v>
      </c>
      <c r="F2438" t="s">
        <v>6986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 t="shared" si="122"/>
        <v/>
      </c>
      <c r="E2439" t="s">
        <v>4872</v>
      </c>
      <c r="F2439" t="str">
        <f t="shared" ref="F2439:F2449" si="123"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 t="shared" si="122"/>
        <v/>
      </c>
      <c r="E2440" t="s">
        <v>4874</v>
      </c>
      <c r="F2440" t="str">
        <f t="shared" si="123"/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 t="shared" si="122"/>
        <v/>
      </c>
      <c r="E2441" t="s">
        <v>4876</v>
      </c>
      <c r="F2441" t="str">
        <f t="shared" si="123"/>
        <v>5101007</v>
      </c>
    </row>
    <row r="2442" spans="1:9" x14ac:dyDescent="0.25">
      <c r="A2442">
        <v>19507</v>
      </c>
      <c r="B2442" t="s">
        <v>7</v>
      </c>
      <c r="C2442" t="s">
        <v>4877</v>
      </c>
      <c r="D2442" t="str">
        <f t="shared" si="122"/>
        <v/>
      </c>
      <c r="E2442" t="s">
        <v>4878</v>
      </c>
      <c r="F2442" t="str">
        <f t="shared" si="123"/>
        <v>5101886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 t="shared" si="122"/>
        <v/>
      </c>
      <c r="E2443" t="s">
        <v>4880</v>
      </c>
      <c r="F2443" t="str">
        <f t="shared" si="123"/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 t="shared" si="122"/>
        <v/>
      </c>
      <c r="E2444" t="s">
        <v>4882</v>
      </c>
      <c r="F2444" t="str">
        <f t="shared" si="123"/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 t="shared" si="122"/>
        <v/>
      </c>
      <c r="E2445" t="s">
        <v>4884</v>
      </c>
      <c r="F2445" t="str">
        <f t="shared" si="123"/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 t="shared" si="122"/>
        <v/>
      </c>
      <c r="E2446" t="s">
        <v>4886</v>
      </c>
      <c r="F2446" t="str">
        <f t="shared" si="123"/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 t="shared" si="122"/>
        <v/>
      </c>
      <c r="E2447" t="s">
        <v>4888</v>
      </c>
      <c r="F2447" t="str">
        <f t="shared" si="123"/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 t="shared" si="122"/>
        <v/>
      </c>
      <c r="E2448" t="s">
        <v>4890</v>
      </c>
      <c r="F2448" t="str">
        <f t="shared" si="123"/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 t="shared" si="122"/>
        <v/>
      </c>
      <c r="E2449" t="s">
        <v>4892</v>
      </c>
      <c r="F2449" t="str">
        <f t="shared" si="123"/>
        <v>5101886</v>
      </c>
    </row>
    <row r="2450" spans="1:9" x14ac:dyDescent="0.25">
      <c r="A2450">
        <v>19519</v>
      </c>
      <c r="B2450" t="s">
        <v>7</v>
      </c>
      <c r="C2450" t="s">
        <v>4893</v>
      </c>
      <c r="D2450" t="str">
        <f t="shared" si="122"/>
        <v/>
      </c>
      <c r="E2450" t="s">
        <v>4894</v>
      </c>
      <c r="F2450" t="s">
        <v>6987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 t="shared" si="122"/>
        <v/>
      </c>
      <c r="E2451" t="s">
        <v>4896</v>
      </c>
      <c r="F2451" t="str">
        <f t="shared" ref="F2451:F2473" si="124"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 t="shared" si="122"/>
        <v/>
      </c>
      <c r="E2452" t="s">
        <v>4898</v>
      </c>
      <c r="F2452" t="str">
        <f t="shared" si="124"/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 t="shared" si="122"/>
        <v/>
      </c>
      <c r="E2453" t="s">
        <v>4900</v>
      </c>
      <c r="F2453" t="str">
        <f t="shared" si="124"/>
        <v>5101887</v>
      </c>
    </row>
    <row r="2454" spans="1:9" x14ac:dyDescent="0.25">
      <c r="A2454">
        <v>19523</v>
      </c>
      <c r="B2454" t="s">
        <v>7</v>
      </c>
      <c r="C2454" t="s">
        <v>4901</v>
      </c>
      <c r="D2454" t="str">
        <f t="shared" si="122"/>
        <v/>
      </c>
      <c r="E2454" t="s">
        <v>4902</v>
      </c>
      <c r="F2454" t="str">
        <f t="shared" si="124"/>
        <v>5101230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 t="shared" si="122"/>
        <v/>
      </c>
      <c r="E2455" t="s">
        <v>4904</v>
      </c>
      <c r="F2455" t="str">
        <f t="shared" si="124"/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 t="shared" si="122"/>
        <v/>
      </c>
      <c r="E2456" t="s">
        <v>4906</v>
      </c>
      <c r="F2456" t="str">
        <f t="shared" si="124"/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 t="shared" si="122"/>
        <v/>
      </c>
      <c r="E2457" t="s">
        <v>4908</v>
      </c>
      <c r="F2457" t="str">
        <f t="shared" si="124"/>
        <v>5101230</v>
      </c>
    </row>
    <row r="2458" spans="1:9" x14ac:dyDescent="0.25">
      <c r="A2458">
        <v>19533</v>
      </c>
      <c r="B2458" t="s">
        <v>7</v>
      </c>
      <c r="C2458" t="s">
        <v>4909</v>
      </c>
      <c r="D2458" t="str">
        <f t="shared" si="122"/>
        <v/>
      </c>
      <c r="E2458" t="s">
        <v>4910</v>
      </c>
      <c r="F2458" t="str">
        <f t="shared" si="124"/>
        <v>1120330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 t="shared" si="122"/>
        <v/>
      </c>
      <c r="E2459" t="s">
        <v>4912</v>
      </c>
      <c r="F2459" t="str">
        <f t="shared" si="124"/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 t="shared" si="122"/>
        <v/>
      </c>
      <c r="E2460" t="s">
        <v>4914</v>
      </c>
      <c r="F2460" t="str">
        <f t="shared" si="124"/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 t="shared" si="122"/>
        <v/>
      </c>
      <c r="E2461" t="s">
        <v>4916</v>
      </c>
      <c r="F2461" t="str">
        <f t="shared" si="124"/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 t="shared" si="122"/>
        <v/>
      </c>
      <c r="E2462" t="s">
        <v>4918</v>
      </c>
      <c r="F2462" t="str">
        <f t="shared" si="124"/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 t="shared" si="122"/>
        <v/>
      </c>
      <c r="E2463" t="s">
        <v>4920</v>
      </c>
      <c r="F2463" t="str">
        <f t="shared" si="124"/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 t="shared" si="122"/>
        <v/>
      </c>
      <c r="E2464" t="s">
        <v>4922</v>
      </c>
      <c r="F2464" t="str">
        <f t="shared" si="124"/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 t="shared" si="122"/>
        <v/>
      </c>
      <c r="E2465" t="s">
        <v>4924</v>
      </c>
      <c r="F2465" t="str">
        <f t="shared" si="124"/>
        <v>1120330</v>
      </c>
    </row>
    <row r="2466" spans="1:9" x14ac:dyDescent="0.25">
      <c r="A2466">
        <v>19545</v>
      </c>
      <c r="B2466" t="s">
        <v>7</v>
      </c>
      <c r="C2466" t="s">
        <v>4925</v>
      </c>
      <c r="D2466" t="str">
        <f t="shared" si="122"/>
        <v/>
      </c>
      <c r="E2466" t="s">
        <v>4926</v>
      </c>
      <c r="F2466" t="str">
        <f t="shared" si="124"/>
        <v>5101877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 t="shared" si="122"/>
        <v/>
      </c>
      <c r="E2467" t="s">
        <v>4928</v>
      </c>
      <c r="F2467" t="str">
        <f t="shared" si="124"/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 t="shared" si="122"/>
        <v/>
      </c>
      <c r="E2468" t="s">
        <v>4930</v>
      </c>
      <c r="F2468" t="str">
        <f t="shared" si="124"/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 t="shared" si="122"/>
        <v/>
      </c>
      <c r="E2469" t="s">
        <v>4932</v>
      </c>
      <c r="F2469" t="str">
        <f t="shared" si="124"/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 t="shared" si="122"/>
        <v/>
      </c>
      <c r="E2470" t="s">
        <v>4934</v>
      </c>
      <c r="F2470" t="str">
        <f t="shared" si="124"/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 t="shared" si="122"/>
        <v/>
      </c>
      <c r="E2471" t="s">
        <v>4936</v>
      </c>
      <c r="F2471" t="str">
        <f t="shared" si="124"/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 t="shared" si="122"/>
        <v/>
      </c>
      <c r="E2472" t="s">
        <v>4938</v>
      </c>
      <c r="F2472" t="str">
        <f t="shared" si="124"/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 t="shared" si="122"/>
        <v/>
      </c>
      <c r="E2473" t="s">
        <v>4940</v>
      </c>
      <c r="F2473" t="str">
        <f t="shared" si="124"/>
        <v>5101877</v>
      </c>
    </row>
    <row r="2474" spans="1:9" x14ac:dyDescent="0.25">
      <c r="A2474">
        <v>19557</v>
      </c>
      <c r="B2474" t="s">
        <v>7</v>
      </c>
      <c r="C2474" t="s">
        <v>4941</v>
      </c>
      <c r="D2474" t="str">
        <f t="shared" si="122"/>
        <v/>
      </c>
      <c r="E2474" t="s">
        <v>4942</v>
      </c>
      <c r="F2474" t="s">
        <v>6995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 t="shared" si="122"/>
        <v/>
      </c>
      <c r="E2475" t="s">
        <v>4944</v>
      </c>
      <c r="F2475" t="str">
        <f t="shared" ref="F2475:F2509" si="125"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 t="shared" si="122"/>
        <v/>
      </c>
      <c r="E2476" t="s">
        <v>4946</v>
      </c>
      <c r="F2476" t="str">
        <f t="shared" si="125"/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 t="shared" si="122"/>
        <v/>
      </c>
      <c r="E2477" t="s">
        <v>4948</v>
      </c>
      <c r="F2477" t="str">
        <f t="shared" si="125"/>
        <v>5101883</v>
      </c>
    </row>
    <row r="2478" spans="1:9" x14ac:dyDescent="0.25">
      <c r="A2478">
        <v>19561</v>
      </c>
      <c r="B2478" t="s">
        <v>7</v>
      </c>
      <c r="C2478" t="s">
        <v>4949</v>
      </c>
      <c r="D2478" t="str">
        <f t="shared" si="122"/>
        <v/>
      </c>
      <c r="E2478" t="s">
        <v>4950</v>
      </c>
      <c r="F2478" t="str">
        <f t="shared" si="125"/>
        <v>1120315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 t="shared" si="122"/>
        <v/>
      </c>
      <c r="E2479" t="s">
        <v>4952</v>
      </c>
      <c r="F2479" t="str">
        <f t="shared" si="125"/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 t="shared" si="122"/>
        <v/>
      </c>
      <c r="E2480" t="s">
        <v>4954</v>
      </c>
      <c r="F2480" t="str">
        <f t="shared" si="125"/>
        <v>1120315</v>
      </c>
    </row>
    <row r="2481" spans="1:6" hidden="1" x14ac:dyDescent="0.25">
      <c r="A2481">
        <v>19568</v>
      </c>
      <c r="B2481" t="s">
        <v>10</v>
      </c>
      <c r="C2481" t="s">
        <v>4955</v>
      </c>
      <c r="D2481" t="str">
        <f t="shared" si="122"/>
        <v/>
      </c>
      <c r="E2481" t="s">
        <v>4956</v>
      </c>
      <c r="F2481" t="str">
        <f t="shared" si="125"/>
        <v>1120315</v>
      </c>
    </row>
    <row r="2482" spans="1:6" hidden="1" x14ac:dyDescent="0.25">
      <c r="A2482">
        <v>19569</v>
      </c>
      <c r="B2482" t="s">
        <v>10</v>
      </c>
      <c r="C2482" t="s">
        <v>4957</v>
      </c>
      <c r="D2482" t="str">
        <f t="shared" si="122"/>
        <v/>
      </c>
      <c r="E2482" t="s">
        <v>4958</v>
      </c>
      <c r="F2482" t="str">
        <f t="shared" si="125"/>
        <v>1120315</v>
      </c>
    </row>
    <row r="2483" spans="1:6" hidden="1" x14ac:dyDescent="0.25">
      <c r="A2483">
        <v>19570</v>
      </c>
      <c r="B2483" t="s">
        <v>10</v>
      </c>
      <c r="C2483" t="s">
        <v>4959</v>
      </c>
      <c r="D2483" t="str">
        <f t="shared" si="122"/>
        <v/>
      </c>
      <c r="E2483" t="s">
        <v>4960</v>
      </c>
      <c r="F2483" t="str">
        <f t="shared" si="125"/>
        <v>1120315</v>
      </c>
    </row>
    <row r="2484" spans="1:6" hidden="1" x14ac:dyDescent="0.25">
      <c r="A2484">
        <v>19571</v>
      </c>
      <c r="B2484" t="s">
        <v>10</v>
      </c>
      <c r="C2484" t="s">
        <v>4961</v>
      </c>
      <c r="D2484" t="str">
        <f t="shared" si="122"/>
        <v/>
      </c>
      <c r="E2484" t="s">
        <v>4962</v>
      </c>
      <c r="F2484" t="str">
        <f t="shared" si="125"/>
        <v>1120315</v>
      </c>
    </row>
    <row r="2485" spans="1:6" hidden="1" x14ac:dyDescent="0.25">
      <c r="A2485">
        <v>19572</v>
      </c>
      <c r="B2485" t="s">
        <v>10</v>
      </c>
      <c r="C2485" t="s">
        <v>4963</v>
      </c>
      <c r="D2485" t="str">
        <f t="shared" si="122"/>
        <v/>
      </c>
      <c r="E2485" t="s">
        <v>4964</v>
      </c>
      <c r="F2485" t="str">
        <f t="shared" si="125"/>
        <v>1120315</v>
      </c>
    </row>
    <row r="2486" spans="1:6" hidden="1" x14ac:dyDescent="0.25">
      <c r="A2486">
        <v>19573</v>
      </c>
      <c r="B2486" t="s">
        <v>10</v>
      </c>
      <c r="C2486" t="s">
        <v>4965</v>
      </c>
      <c r="D2486" t="str">
        <f t="shared" si="122"/>
        <v/>
      </c>
      <c r="E2486" t="s">
        <v>4966</v>
      </c>
      <c r="F2486" t="str">
        <f t="shared" si="125"/>
        <v>1120315</v>
      </c>
    </row>
    <row r="2487" spans="1:6" x14ac:dyDescent="0.25">
      <c r="A2487">
        <v>19574</v>
      </c>
      <c r="B2487" t="s">
        <v>7</v>
      </c>
      <c r="C2487" t="s">
        <v>4967</v>
      </c>
      <c r="D2487" t="str">
        <f t="shared" si="122"/>
        <v/>
      </c>
      <c r="E2487" t="s">
        <v>4968</v>
      </c>
      <c r="F2487" t="str">
        <f t="shared" si="125"/>
        <v>5101001</v>
      </c>
    </row>
    <row r="2488" spans="1:6" hidden="1" x14ac:dyDescent="0.25">
      <c r="A2488">
        <v>19575</v>
      </c>
      <c r="B2488" t="s">
        <v>10</v>
      </c>
      <c r="C2488" t="s">
        <v>4969</v>
      </c>
      <c r="D2488" t="str">
        <f t="shared" si="122"/>
        <v/>
      </c>
      <c r="E2488" t="s">
        <v>4970</v>
      </c>
      <c r="F2488" t="str">
        <f t="shared" si="125"/>
        <v>5101001</v>
      </c>
    </row>
    <row r="2489" spans="1:6" hidden="1" x14ac:dyDescent="0.25">
      <c r="A2489">
        <v>19576</v>
      </c>
      <c r="B2489" t="s">
        <v>10</v>
      </c>
      <c r="C2489" t="s">
        <v>4971</v>
      </c>
      <c r="D2489" t="str">
        <f t="shared" si="122"/>
        <v/>
      </c>
      <c r="E2489" t="s">
        <v>4972</v>
      </c>
      <c r="F2489" t="str">
        <f t="shared" si="125"/>
        <v>5101001</v>
      </c>
    </row>
    <row r="2490" spans="1:6" hidden="1" x14ac:dyDescent="0.25">
      <c r="A2490">
        <v>19577</v>
      </c>
      <c r="B2490" t="s">
        <v>10</v>
      </c>
      <c r="C2490" t="s">
        <v>4973</v>
      </c>
      <c r="D2490" t="str">
        <f t="shared" si="122"/>
        <v/>
      </c>
      <c r="E2490" t="s">
        <v>4974</v>
      </c>
      <c r="F2490" t="str">
        <f t="shared" si="125"/>
        <v>5101001</v>
      </c>
    </row>
    <row r="2491" spans="1:6" hidden="1" x14ac:dyDescent="0.25">
      <c r="A2491">
        <v>19578</v>
      </c>
      <c r="B2491" t="s">
        <v>10</v>
      </c>
      <c r="C2491" t="s">
        <v>4975</v>
      </c>
      <c r="D2491" t="str">
        <f t="shared" si="122"/>
        <v/>
      </c>
      <c r="E2491" t="s">
        <v>4976</v>
      </c>
      <c r="F2491" t="str">
        <f t="shared" si="125"/>
        <v>5101001</v>
      </c>
    </row>
    <row r="2492" spans="1:6" hidden="1" x14ac:dyDescent="0.25">
      <c r="A2492">
        <v>19579</v>
      </c>
      <c r="B2492" t="s">
        <v>10</v>
      </c>
      <c r="C2492" t="s">
        <v>4977</v>
      </c>
      <c r="D2492" t="str">
        <f t="shared" ref="D2492:D2555" si="126">IF(RIGHT(LEFT(C2492,9),2)="##","",RIGHT(LEFT(C2492,10),2))</f>
        <v/>
      </c>
      <c r="E2492" t="s">
        <v>4978</v>
      </c>
      <c r="F2492" t="str">
        <f t="shared" si="125"/>
        <v>5101001</v>
      </c>
    </row>
    <row r="2493" spans="1:6" hidden="1" x14ac:dyDescent="0.25">
      <c r="A2493">
        <v>19580</v>
      </c>
      <c r="B2493" t="s">
        <v>10</v>
      </c>
      <c r="C2493" t="s">
        <v>4979</v>
      </c>
      <c r="D2493" t="str">
        <f t="shared" si="126"/>
        <v/>
      </c>
      <c r="E2493" t="s">
        <v>4980</v>
      </c>
      <c r="F2493" t="str">
        <f t="shared" si="125"/>
        <v>5101001</v>
      </c>
    </row>
    <row r="2494" spans="1:6" x14ac:dyDescent="0.25">
      <c r="A2494">
        <v>19581</v>
      </c>
      <c r="B2494" t="s">
        <v>7</v>
      </c>
      <c r="C2494" t="s">
        <v>4981</v>
      </c>
      <c r="D2494" t="str">
        <f t="shared" si="126"/>
        <v/>
      </c>
      <c r="E2494" t="s">
        <v>4982</v>
      </c>
      <c r="F2494" t="str">
        <f t="shared" si="125"/>
        <v>5102001</v>
      </c>
    </row>
    <row r="2495" spans="1:6" hidden="1" x14ac:dyDescent="0.25">
      <c r="A2495">
        <v>19582</v>
      </c>
      <c r="B2495" t="s">
        <v>10</v>
      </c>
      <c r="C2495" t="s">
        <v>4983</v>
      </c>
      <c r="D2495" t="str">
        <f t="shared" si="126"/>
        <v/>
      </c>
      <c r="E2495" t="s">
        <v>4984</v>
      </c>
      <c r="F2495" t="str">
        <f t="shared" si="125"/>
        <v>5102001</v>
      </c>
    </row>
    <row r="2496" spans="1:6" hidden="1" x14ac:dyDescent="0.25">
      <c r="A2496">
        <v>19583</v>
      </c>
      <c r="B2496" t="s">
        <v>10</v>
      </c>
      <c r="C2496" t="s">
        <v>4985</v>
      </c>
      <c r="D2496" t="str">
        <f t="shared" si="126"/>
        <v/>
      </c>
      <c r="E2496" t="s">
        <v>4986</v>
      </c>
      <c r="F2496" t="str">
        <f t="shared" si="125"/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 t="shared" si="126"/>
        <v/>
      </c>
      <c r="E2497" t="s">
        <v>4988</v>
      </c>
      <c r="F2497" t="str">
        <f t="shared" si="125"/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 t="shared" si="126"/>
        <v/>
      </c>
      <c r="E2498" t="s">
        <v>4990</v>
      </c>
      <c r="F2498" t="str">
        <f t="shared" si="125"/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 t="shared" si="126"/>
        <v/>
      </c>
      <c r="E2499" t="s">
        <v>4992</v>
      </c>
      <c r="F2499" t="str">
        <f t="shared" si="125"/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 t="shared" si="126"/>
        <v/>
      </c>
      <c r="E2500" t="s">
        <v>4994</v>
      </c>
      <c r="F2500" t="str">
        <f t="shared" si="125"/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 t="shared" si="126"/>
        <v/>
      </c>
      <c r="E2501" t="s">
        <v>4996</v>
      </c>
      <c r="F2501" t="str">
        <f t="shared" si="125"/>
        <v>5102001</v>
      </c>
    </row>
    <row r="2502" spans="1:9" x14ac:dyDescent="0.25">
      <c r="A2502">
        <v>19589</v>
      </c>
      <c r="B2502" t="s">
        <v>7</v>
      </c>
      <c r="C2502" t="s">
        <v>4997</v>
      </c>
      <c r="D2502" t="str">
        <f t="shared" si="126"/>
        <v/>
      </c>
      <c r="E2502" t="s">
        <v>4998</v>
      </c>
      <c r="F2502" t="str">
        <f t="shared" si="125"/>
        <v>2101100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 t="shared" si="126"/>
        <v/>
      </c>
      <c r="E2503" t="s">
        <v>5000</v>
      </c>
      <c r="F2503" t="str">
        <f t="shared" si="125"/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 t="shared" si="126"/>
        <v/>
      </c>
      <c r="E2504" t="s">
        <v>5002</v>
      </c>
      <c r="F2504" t="str">
        <f t="shared" si="125"/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 t="shared" si="126"/>
        <v/>
      </c>
      <c r="E2505" t="s">
        <v>5004</v>
      </c>
      <c r="F2505" t="str">
        <f t="shared" si="125"/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 t="shared" si="126"/>
        <v/>
      </c>
      <c r="E2506" t="s">
        <v>5006</v>
      </c>
      <c r="F2506" t="str">
        <f t="shared" si="125"/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 t="shared" si="126"/>
        <v/>
      </c>
      <c r="E2507" t="s">
        <v>5008</v>
      </c>
      <c r="F2507" t="str">
        <f t="shared" si="125"/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 t="shared" si="126"/>
        <v/>
      </c>
      <c r="E2508" t="s">
        <v>5010</v>
      </c>
      <c r="F2508" t="str">
        <f t="shared" si="125"/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 t="shared" si="126"/>
        <v/>
      </c>
      <c r="E2509" t="s">
        <v>5012</v>
      </c>
      <c r="F2509" t="str">
        <f t="shared" si="125"/>
        <v>2101100</v>
      </c>
    </row>
    <row r="2510" spans="1:9" x14ac:dyDescent="0.25">
      <c r="A2510">
        <v>19599</v>
      </c>
      <c r="B2510" t="s">
        <v>7</v>
      </c>
      <c r="C2510" t="s">
        <v>5013</v>
      </c>
      <c r="D2510" t="str">
        <f t="shared" si="126"/>
        <v/>
      </c>
      <c r="E2510" t="s">
        <v>5014</v>
      </c>
      <c r="F2510" t="s">
        <v>7007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 t="shared" si="126"/>
        <v/>
      </c>
      <c r="E2511" t="s">
        <v>5016</v>
      </c>
      <c r="F2511" t="str">
        <f t="shared" ref="F2511:F2521" si="127"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 t="shared" si="126"/>
        <v/>
      </c>
      <c r="E2512" t="s">
        <v>5018</v>
      </c>
      <c r="F2512" t="str">
        <f t="shared" si="127"/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 t="shared" si="126"/>
        <v/>
      </c>
      <c r="E2513" t="s">
        <v>5020</v>
      </c>
      <c r="F2513" t="str">
        <f t="shared" si="127"/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 t="shared" si="126"/>
        <v/>
      </c>
      <c r="E2514" t="s">
        <v>5022</v>
      </c>
      <c r="F2514" t="str">
        <f t="shared" si="127"/>
        <v>8708198</v>
      </c>
    </row>
    <row r="2515" spans="1:9" x14ac:dyDescent="0.25">
      <c r="A2515">
        <v>19609</v>
      </c>
      <c r="B2515" t="s">
        <v>7</v>
      </c>
      <c r="C2515" t="s">
        <v>5023</v>
      </c>
      <c r="D2515" t="str">
        <f t="shared" si="126"/>
        <v/>
      </c>
      <c r="E2515" t="s">
        <v>5024</v>
      </c>
      <c r="F2515" t="str">
        <f t="shared" si="127"/>
        <v>4120007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 t="shared" si="126"/>
        <v/>
      </c>
      <c r="E2516" t="s">
        <v>5026</v>
      </c>
      <c r="F2516" t="str">
        <f t="shared" si="127"/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 t="shared" si="126"/>
        <v/>
      </c>
      <c r="E2517" t="s">
        <v>5028</v>
      </c>
      <c r="F2517" t="str">
        <f t="shared" si="127"/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 t="shared" si="126"/>
        <v/>
      </c>
      <c r="E2518" t="s">
        <v>5030</v>
      </c>
      <c r="F2518" t="str">
        <f t="shared" si="127"/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 t="shared" si="126"/>
        <v/>
      </c>
      <c r="E2519" t="s">
        <v>5032</v>
      </c>
      <c r="F2519" t="str">
        <f t="shared" si="127"/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 t="shared" si="126"/>
        <v/>
      </c>
      <c r="E2520" t="s">
        <v>5034</v>
      </c>
      <c r="F2520" t="str">
        <f t="shared" si="127"/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 t="shared" si="126"/>
        <v/>
      </c>
      <c r="E2521" t="s">
        <v>5036</v>
      </c>
      <c r="F2521" t="str">
        <f t="shared" si="127"/>
        <v>4120007</v>
      </c>
    </row>
    <row r="2522" spans="1:9" x14ac:dyDescent="0.25">
      <c r="A2522">
        <v>19616</v>
      </c>
      <c r="B2522" t="s">
        <v>7</v>
      </c>
      <c r="C2522" t="s">
        <v>5037</v>
      </c>
      <c r="D2522" t="str">
        <f t="shared" si="126"/>
        <v/>
      </c>
      <c r="E2522" t="s">
        <v>5038</v>
      </c>
      <c r="F2522" t="s">
        <v>6952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 t="shared" si="126"/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 t="shared" si="126"/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 t="shared" si="126"/>
        <v/>
      </c>
      <c r="E2525" t="s">
        <v>5044</v>
      </c>
      <c r="F2525" t="str">
        <f>LEFT(C2525,7)</f>
        <v>4120008</v>
      </c>
    </row>
    <row r="2526" spans="1:9" x14ac:dyDescent="0.25">
      <c r="A2526">
        <v>19620</v>
      </c>
      <c r="B2526" t="s">
        <v>7</v>
      </c>
      <c r="C2526" t="s">
        <v>5045</v>
      </c>
      <c r="D2526" t="str">
        <f t="shared" si="126"/>
        <v/>
      </c>
      <c r="E2526" t="s">
        <v>5046</v>
      </c>
      <c r="F2526" t="s">
        <v>6952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 t="shared" si="126"/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 t="shared" si="126"/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 t="shared" si="126"/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 t="shared" si="126"/>
        <v/>
      </c>
      <c r="E2530" t="s">
        <v>5054</v>
      </c>
      <c r="F2530" t="str">
        <f>LEFT(C2530,7)</f>
        <v>8703207</v>
      </c>
    </row>
    <row r="2531" spans="1:9" x14ac:dyDescent="0.25">
      <c r="A2531">
        <v>19635</v>
      </c>
      <c r="B2531" t="s">
        <v>7</v>
      </c>
      <c r="C2531" t="s">
        <v>5055</v>
      </c>
      <c r="D2531" t="str">
        <f t="shared" si="126"/>
        <v/>
      </c>
      <c r="E2531" t="s">
        <v>5056</v>
      </c>
      <c r="F2531" t="s">
        <v>6927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 t="shared" si="126"/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 t="shared" si="126"/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 t="shared" si="126"/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 t="shared" si="126"/>
        <v/>
      </c>
      <c r="E2535" t="s">
        <v>5064</v>
      </c>
      <c r="F2535" t="str">
        <f>LEFT(C2535,7)</f>
        <v>8400000</v>
      </c>
    </row>
    <row r="2536" spans="1:9" x14ac:dyDescent="0.25">
      <c r="A2536">
        <v>19644</v>
      </c>
      <c r="B2536" t="s">
        <v>7</v>
      </c>
      <c r="C2536" t="s">
        <v>5065</v>
      </c>
      <c r="D2536" t="str">
        <f t="shared" si="126"/>
        <v/>
      </c>
      <c r="E2536" t="s">
        <v>5066</v>
      </c>
      <c r="F2536" t="s">
        <v>6961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 t="shared" si="126"/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 t="shared" si="126"/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 t="shared" si="126"/>
        <v/>
      </c>
      <c r="E2539" t="s">
        <v>5072</v>
      </c>
      <c r="F2539" t="str">
        <f>LEFT(C2539,7)</f>
        <v>4120569</v>
      </c>
    </row>
    <row r="2540" spans="1:9" x14ac:dyDescent="0.25">
      <c r="A2540">
        <v>19648</v>
      </c>
      <c r="B2540" t="s">
        <v>7</v>
      </c>
      <c r="C2540" t="s">
        <v>5073</v>
      </c>
      <c r="D2540" t="str">
        <f t="shared" si="126"/>
        <v/>
      </c>
      <c r="E2540" t="s">
        <v>5074</v>
      </c>
      <c r="F2540" t="s">
        <v>7012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 t="shared" si="126"/>
        <v/>
      </c>
      <c r="E2541" t="s">
        <v>5076</v>
      </c>
      <c r="F2541" t="str">
        <f t="shared" ref="F2541:F2550" si="128"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 t="shared" si="126"/>
        <v/>
      </c>
      <c r="E2542" t="s">
        <v>5078</v>
      </c>
      <c r="F2542" t="str">
        <f t="shared" si="128"/>
        <v>2101556</v>
      </c>
    </row>
    <row r="2543" spans="1:9" x14ac:dyDescent="0.25">
      <c r="A2543">
        <v>19651</v>
      </c>
      <c r="B2543" t="s">
        <v>7</v>
      </c>
      <c r="C2543" t="s">
        <v>5079</v>
      </c>
      <c r="D2543" t="str">
        <f t="shared" si="126"/>
        <v/>
      </c>
      <c r="E2543" t="s">
        <v>5080</v>
      </c>
      <c r="F2543" t="str">
        <f t="shared" si="128"/>
        <v>8708300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 t="shared" si="126"/>
        <v/>
      </c>
      <c r="E2544" t="s">
        <v>5082</v>
      </c>
      <c r="F2544" t="str">
        <f t="shared" si="128"/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 t="shared" si="126"/>
        <v/>
      </c>
      <c r="E2545" t="s">
        <v>5084</v>
      </c>
      <c r="F2545" t="str">
        <f t="shared" si="128"/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 t="shared" si="126"/>
        <v/>
      </c>
      <c r="E2546" t="s">
        <v>5086</v>
      </c>
      <c r="F2546" t="str">
        <f t="shared" si="128"/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 t="shared" si="126"/>
        <v/>
      </c>
      <c r="E2547" t="s">
        <v>5088</v>
      </c>
      <c r="F2547" t="str">
        <f t="shared" si="128"/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 t="shared" si="126"/>
        <v/>
      </c>
      <c r="E2548" t="s">
        <v>5090</v>
      </c>
      <c r="F2548" t="str">
        <f t="shared" si="128"/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 t="shared" si="126"/>
        <v/>
      </c>
      <c r="E2549" t="s">
        <v>5092</v>
      </c>
      <c r="F2549" t="str">
        <f t="shared" si="128"/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 t="shared" si="126"/>
        <v/>
      </c>
      <c r="E2550" t="s">
        <v>5094</v>
      </c>
      <c r="F2550" t="str">
        <f t="shared" si="128"/>
        <v>8708300</v>
      </c>
    </row>
    <row r="2551" spans="1:9" x14ac:dyDescent="0.25">
      <c r="A2551">
        <v>19659</v>
      </c>
      <c r="B2551" t="s">
        <v>7</v>
      </c>
      <c r="C2551" t="s">
        <v>5095</v>
      </c>
      <c r="D2551" t="str">
        <f t="shared" si="126"/>
        <v/>
      </c>
      <c r="E2551" t="s">
        <v>5096</v>
      </c>
      <c r="F2551" t="s">
        <v>7011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 t="shared" si="126"/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 t="shared" si="126"/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 t="shared" si="126"/>
        <v/>
      </c>
      <c r="E2554" t="s">
        <v>5102</v>
      </c>
      <c r="F2554" t="str">
        <f>LEFT(C2554,7)</f>
        <v>2101351</v>
      </c>
    </row>
    <row r="2555" spans="1:9" x14ac:dyDescent="0.25">
      <c r="A2555">
        <v>19663</v>
      </c>
      <c r="B2555" t="s">
        <v>7</v>
      </c>
      <c r="C2555" t="s">
        <v>5103</v>
      </c>
      <c r="D2555" t="str">
        <f t="shared" si="126"/>
        <v/>
      </c>
      <c r="E2555" t="s">
        <v>5104</v>
      </c>
      <c r="F2555" t="s">
        <v>7010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 t="shared" ref="D2556:D2593" si="129">IF(RIGHT(LEFT(C2556,9),2)="##","",RIGHT(LEFT(C2556,10),2))</f>
        <v/>
      </c>
      <c r="E2556" t="s">
        <v>5106</v>
      </c>
      <c r="F2556" t="str">
        <f t="shared" ref="F2556:F2569" si="130"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 t="shared" si="129"/>
        <v/>
      </c>
      <c r="E2557" t="s">
        <v>5108</v>
      </c>
      <c r="F2557" t="str">
        <f t="shared" si="130"/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 t="shared" si="129"/>
        <v/>
      </c>
      <c r="E2558" t="s">
        <v>5110</v>
      </c>
      <c r="F2558" t="str">
        <f t="shared" si="130"/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 t="shared" si="129"/>
        <v/>
      </c>
      <c r="E2559" t="s">
        <v>5112</v>
      </c>
      <c r="F2559" t="str">
        <f t="shared" si="130"/>
        <v>8701741</v>
      </c>
    </row>
    <row r="2560" spans="1:9" x14ac:dyDescent="0.25">
      <c r="A2560">
        <v>19673</v>
      </c>
      <c r="B2560" t="s">
        <v>7</v>
      </c>
      <c r="C2560" t="s">
        <v>5113</v>
      </c>
      <c r="D2560" t="str">
        <f t="shared" si="129"/>
        <v/>
      </c>
      <c r="E2560" t="s">
        <v>5114</v>
      </c>
      <c r="F2560" t="str">
        <f t="shared" si="130"/>
        <v>8205119</v>
      </c>
      <c r="H2560">
        <v>6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 t="shared" si="129"/>
        <v/>
      </c>
      <c r="E2561" t="s">
        <v>5116</v>
      </c>
      <c r="F2561" t="str">
        <f t="shared" si="130"/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 t="shared" si="129"/>
        <v/>
      </c>
      <c r="E2562" t="s">
        <v>5118</v>
      </c>
      <c r="F2562" t="str">
        <f t="shared" si="130"/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 t="shared" si="129"/>
        <v/>
      </c>
      <c r="E2563" t="s">
        <v>5120</v>
      </c>
      <c r="F2563" t="str">
        <f t="shared" si="130"/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 t="shared" si="129"/>
        <v/>
      </c>
      <c r="E2564" t="s">
        <v>5122</v>
      </c>
      <c r="F2564" t="str">
        <f t="shared" si="130"/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 t="shared" si="129"/>
        <v/>
      </c>
      <c r="E2565" t="s">
        <v>5124</v>
      </c>
      <c r="F2565" t="str">
        <f t="shared" si="130"/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 t="shared" si="129"/>
        <v/>
      </c>
      <c r="E2566" t="s">
        <v>5126</v>
      </c>
      <c r="F2566" t="str">
        <f t="shared" si="130"/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 t="shared" si="129"/>
        <v/>
      </c>
      <c r="E2567" t="s">
        <v>5128</v>
      </c>
      <c r="F2567" t="str">
        <f t="shared" si="130"/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 t="shared" si="129"/>
        <v/>
      </c>
      <c r="E2568" t="s">
        <v>5130</v>
      </c>
      <c r="F2568" t="str">
        <f t="shared" si="130"/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 t="shared" si="129"/>
        <v/>
      </c>
      <c r="E2569" t="s">
        <v>5132</v>
      </c>
      <c r="F2569" t="str">
        <f t="shared" si="130"/>
        <v>8205119</v>
      </c>
    </row>
    <row r="2570" spans="1:9" x14ac:dyDescent="0.25">
      <c r="A2570">
        <v>19687</v>
      </c>
      <c r="B2570" t="s">
        <v>7</v>
      </c>
      <c r="C2570" t="s">
        <v>5133</v>
      </c>
      <c r="D2570" t="str">
        <f t="shared" si="129"/>
        <v/>
      </c>
      <c r="E2570" t="s">
        <v>5134</v>
      </c>
      <c r="F2570" t="s">
        <v>7006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 t="shared" si="129"/>
        <v/>
      </c>
      <c r="E2571" t="s">
        <v>5136</v>
      </c>
      <c r="F2571" t="str">
        <f t="shared" ref="F2571:F2604" si="131"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 t="shared" si="129"/>
        <v/>
      </c>
      <c r="E2572" t="s">
        <v>5138</v>
      </c>
      <c r="F2572" t="str">
        <f t="shared" si="131"/>
        <v>2101878</v>
      </c>
    </row>
    <row r="2573" spans="1:9" x14ac:dyDescent="0.25">
      <c r="A2573">
        <v>19690</v>
      </c>
      <c r="B2573" t="s">
        <v>7</v>
      </c>
      <c r="C2573" t="s">
        <v>5139</v>
      </c>
      <c r="D2573" t="str">
        <f t="shared" si="129"/>
        <v/>
      </c>
      <c r="E2573" t="s">
        <v>5140</v>
      </c>
      <c r="F2573" t="str">
        <f t="shared" si="131"/>
        <v>2220601</v>
      </c>
      <c r="I2573">
        <v>1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 t="shared" si="129"/>
        <v/>
      </c>
      <c r="E2574" t="s">
        <v>5142</v>
      </c>
      <c r="F2574" t="str">
        <f t="shared" si="131"/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 t="shared" si="129"/>
        <v/>
      </c>
      <c r="E2575" t="s">
        <v>5144</v>
      </c>
      <c r="F2575" t="str">
        <f t="shared" si="131"/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 t="shared" si="129"/>
        <v/>
      </c>
      <c r="E2576" t="s">
        <v>5146</v>
      </c>
      <c r="F2576" t="str">
        <f t="shared" si="131"/>
        <v>2220601</v>
      </c>
    </row>
    <row r="2577" spans="1:9" hidden="1" x14ac:dyDescent="0.25">
      <c r="A2577">
        <v>19694</v>
      </c>
      <c r="B2577" t="s">
        <v>10</v>
      </c>
      <c r="C2577" t="s">
        <v>5147</v>
      </c>
      <c r="D2577" t="str">
        <f t="shared" si="129"/>
        <v/>
      </c>
      <c r="E2577" t="s">
        <v>5148</v>
      </c>
      <c r="F2577" t="str">
        <f t="shared" si="131"/>
        <v>2220601</v>
      </c>
    </row>
    <row r="2578" spans="1:9" hidden="1" x14ac:dyDescent="0.25">
      <c r="A2578">
        <v>19695</v>
      </c>
      <c r="B2578" t="s">
        <v>10</v>
      </c>
      <c r="C2578" t="s">
        <v>5149</v>
      </c>
      <c r="D2578" t="str">
        <f t="shared" si="129"/>
        <v/>
      </c>
      <c r="E2578" t="s">
        <v>5150</v>
      </c>
      <c r="F2578" t="str">
        <f t="shared" si="131"/>
        <v>2220601</v>
      </c>
    </row>
    <row r="2579" spans="1:9" hidden="1" x14ac:dyDescent="0.25">
      <c r="A2579">
        <v>19696</v>
      </c>
      <c r="B2579" t="s">
        <v>10</v>
      </c>
      <c r="C2579" t="s">
        <v>5151</v>
      </c>
      <c r="D2579" t="str">
        <f t="shared" si="129"/>
        <v/>
      </c>
      <c r="E2579" t="s">
        <v>5152</v>
      </c>
      <c r="F2579" t="str">
        <f t="shared" si="131"/>
        <v>2220601</v>
      </c>
    </row>
    <row r="2580" spans="1:9" x14ac:dyDescent="0.25">
      <c r="A2580">
        <v>19697</v>
      </c>
      <c r="B2580" t="s">
        <v>7</v>
      </c>
      <c r="C2580" t="s">
        <v>5153</v>
      </c>
      <c r="D2580" t="str">
        <f t="shared" si="129"/>
        <v/>
      </c>
      <c r="E2580" t="s">
        <v>5154</v>
      </c>
      <c r="F2580" t="str">
        <f t="shared" si="131"/>
        <v>4120496</v>
      </c>
      <c r="I2580">
        <v>1</v>
      </c>
    </row>
    <row r="2581" spans="1:9" hidden="1" x14ac:dyDescent="0.25">
      <c r="A2581">
        <v>19698</v>
      </c>
      <c r="B2581" t="s">
        <v>10</v>
      </c>
      <c r="C2581" t="s">
        <v>5155</v>
      </c>
      <c r="D2581" t="str">
        <f t="shared" si="129"/>
        <v/>
      </c>
      <c r="E2581" t="s">
        <v>5156</v>
      </c>
      <c r="F2581" t="str">
        <f t="shared" si="131"/>
        <v>4120496</v>
      </c>
    </row>
    <row r="2582" spans="1:9" hidden="1" x14ac:dyDescent="0.25">
      <c r="A2582">
        <v>19699</v>
      </c>
      <c r="B2582" t="s">
        <v>10</v>
      </c>
      <c r="C2582" t="s">
        <v>5157</v>
      </c>
      <c r="D2582" t="str">
        <f t="shared" si="129"/>
        <v/>
      </c>
      <c r="E2582" t="s">
        <v>5158</v>
      </c>
      <c r="F2582" t="str">
        <f t="shared" si="131"/>
        <v>4120496</v>
      </c>
    </row>
    <row r="2583" spans="1:9" hidden="1" x14ac:dyDescent="0.25">
      <c r="A2583">
        <v>19700</v>
      </c>
      <c r="B2583" t="s">
        <v>10</v>
      </c>
      <c r="C2583" t="s">
        <v>5159</v>
      </c>
      <c r="D2583" t="str">
        <f t="shared" si="129"/>
        <v/>
      </c>
      <c r="E2583" t="s">
        <v>5160</v>
      </c>
      <c r="F2583" t="str">
        <f t="shared" si="131"/>
        <v>4120496</v>
      </c>
    </row>
    <row r="2584" spans="1:9" x14ac:dyDescent="0.25">
      <c r="A2584">
        <v>19701</v>
      </c>
      <c r="B2584" t="s">
        <v>7</v>
      </c>
      <c r="C2584" t="s">
        <v>5161</v>
      </c>
      <c r="D2584" t="str">
        <f t="shared" si="129"/>
        <v/>
      </c>
      <c r="E2584" t="s">
        <v>5162</v>
      </c>
      <c r="F2584" t="str">
        <f t="shared" si="131"/>
        <v>2220456</v>
      </c>
      <c r="I2584">
        <v>1</v>
      </c>
    </row>
    <row r="2585" spans="1:9" hidden="1" x14ac:dyDescent="0.25">
      <c r="A2585">
        <v>19702</v>
      </c>
      <c r="B2585" t="s">
        <v>10</v>
      </c>
      <c r="C2585" t="s">
        <v>5163</v>
      </c>
      <c r="D2585" t="str">
        <f t="shared" si="129"/>
        <v/>
      </c>
      <c r="E2585" t="s">
        <v>5164</v>
      </c>
      <c r="F2585" t="str">
        <f t="shared" si="131"/>
        <v>2220456</v>
      </c>
    </row>
    <row r="2586" spans="1:9" hidden="1" x14ac:dyDescent="0.25">
      <c r="A2586">
        <v>19703</v>
      </c>
      <c r="B2586" t="s">
        <v>10</v>
      </c>
      <c r="C2586" t="s">
        <v>5165</v>
      </c>
      <c r="D2586" t="str">
        <f t="shared" si="129"/>
        <v/>
      </c>
      <c r="E2586" t="s">
        <v>5166</v>
      </c>
      <c r="F2586" t="str">
        <f t="shared" si="131"/>
        <v>2220456</v>
      </c>
    </row>
    <row r="2587" spans="1:9" hidden="1" x14ac:dyDescent="0.25">
      <c r="A2587">
        <v>19704</v>
      </c>
      <c r="B2587" t="s">
        <v>10</v>
      </c>
      <c r="C2587" t="s">
        <v>5167</v>
      </c>
      <c r="D2587" t="str">
        <f t="shared" si="129"/>
        <v/>
      </c>
      <c r="E2587" t="s">
        <v>5168</v>
      </c>
      <c r="F2587" t="str">
        <f t="shared" si="131"/>
        <v>2220456</v>
      </c>
    </row>
    <row r="2588" spans="1:9" hidden="1" x14ac:dyDescent="0.25">
      <c r="A2588">
        <v>19705</v>
      </c>
      <c r="B2588" t="s">
        <v>10</v>
      </c>
      <c r="C2588" t="s">
        <v>5169</v>
      </c>
      <c r="D2588" t="str">
        <f t="shared" si="129"/>
        <v/>
      </c>
      <c r="E2588" t="s">
        <v>5170</v>
      </c>
      <c r="F2588" t="str">
        <f t="shared" si="131"/>
        <v>2220456</v>
      </c>
    </row>
    <row r="2589" spans="1:9" hidden="1" x14ac:dyDescent="0.25">
      <c r="A2589">
        <v>19706</v>
      </c>
      <c r="B2589" t="s">
        <v>10</v>
      </c>
      <c r="C2589" t="s">
        <v>5171</v>
      </c>
      <c r="D2589" t="str">
        <f t="shared" si="129"/>
        <v/>
      </c>
      <c r="E2589" t="s">
        <v>5172</v>
      </c>
      <c r="F2589" t="str">
        <f t="shared" si="131"/>
        <v>2220456</v>
      </c>
    </row>
    <row r="2590" spans="1:9" hidden="1" x14ac:dyDescent="0.25">
      <c r="A2590">
        <v>19707</v>
      </c>
      <c r="B2590" t="s">
        <v>10</v>
      </c>
      <c r="C2590" t="s">
        <v>5173</v>
      </c>
      <c r="D2590" t="str">
        <f t="shared" si="129"/>
        <v/>
      </c>
      <c r="E2590" t="s">
        <v>5174</v>
      </c>
      <c r="F2590" t="str">
        <f t="shared" si="131"/>
        <v>2220456</v>
      </c>
    </row>
    <row r="2591" spans="1:9" hidden="1" x14ac:dyDescent="0.25">
      <c r="A2591">
        <v>19708</v>
      </c>
      <c r="B2591" t="s">
        <v>10</v>
      </c>
      <c r="C2591" t="s">
        <v>5175</v>
      </c>
      <c r="D2591" t="str">
        <f t="shared" si="129"/>
        <v/>
      </c>
      <c r="E2591" t="s">
        <v>5176</v>
      </c>
      <c r="F2591" t="str">
        <f t="shared" si="131"/>
        <v>2220456</v>
      </c>
    </row>
    <row r="2592" spans="1:9" hidden="1" x14ac:dyDescent="0.25">
      <c r="A2592">
        <v>19709</v>
      </c>
      <c r="B2592" t="s">
        <v>10</v>
      </c>
      <c r="C2592" t="s">
        <v>5177</v>
      </c>
      <c r="D2592" t="str">
        <f t="shared" si="129"/>
        <v/>
      </c>
      <c r="E2592" t="s">
        <v>5178</v>
      </c>
      <c r="F2592" t="str">
        <f t="shared" si="131"/>
        <v>2220456</v>
      </c>
    </row>
    <row r="2593" spans="1:9" hidden="1" x14ac:dyDescent="0.25">
      <c r="A2593">
        <v>19710</v>
      </c>
      <c r="B2593" t="s">
        <v>10</v>
      </c>
      <c r="C2593" t="s">
        <v>5179</v>
      </c>
      <c r="D2593" t="str">
        <f t="shared" si="129"/>
        <v/>
      </c>
      <c r="E2593" t="s">
        <v>5180</v>
      </c>
      <c r="F2593" t="str">
        <f t="shared" si="131"/>
        <v>2220456</v>
      </c>
    </row>
    <row r="2594" spans="1:9" hidden="1" x14ac:dyDescent="0.25">
      <c r="A2594">
        <v>19711</v>
      </c>
      <c r="B2594" t="s">
        <v>7</v>
      </c>
      <c r="C2594" t="s">
        <v>5181</v>
      </c>
      <c r="D2594" t="s">
        <v>6906</v>
      </c>
      <c r="E2594" t="s">
        <v>5182</v>
      </c>
      <c r="F2594" t="str">
        <f t="shared" si="131"/>
        <v>8708637</v>
      </c>
      <c r="H2594">
        <f>SUBTOTAL(9,H2595:H2596)</f>
        <v>0</v>
      </c>
    </row>
    <row r="2595" spans="1:9" hidden="1" x14ac:dyDescent="0.25">
      <c r="A2595">
        <v>19712</v>
      </c>
      <c r="B2595" t="s">
        <v>10</v>
      </c>
      <c r="C2595" t="s">
        <v>5183</v>
      </c>
      <c r="D2595" t="str">
        <f t="shared" ref="D2595:D2626" si="132">IF(RIGHT(LEFT(C2595,9),2)="##","",RIGHT(LEFT(C2595,10),2))</f>
        <v>03</v>
      </c>
      <c r="E2595" t="s">
        <v>5184</v>
      </c>
      <c r="F2595" t="str">
        <f t="shared" si="131"/>
        <v>8708637</v>
      </c>
      <c r="H2595">
        <v>1</v>
      </c>
    </row>
    <row r="2596" spans="1:9" hidden="1" x14ac:dyDescent="0.25">
      <c r="A2596">
        <v>19716</v>
      </c>
      <c r="B2596" t="s">
        <v>10</v>
      </c>
      <c r="C2596" t="s">
        <v>5185</v>
      </c>
      <c r="D2596" t="str">
        <f t="shared" si="132"/>
        <v>09</v>
      </c>
      <c r="E2596" t="s">
        <v>5186</v>
      </c>
      <c r="F2596" t="str">
        <f t="shared" si="131"/>
        <v>8708637</v>
      </c>
      <c r="H2596">
        <v>1</v>
      </c>
    </row>
    <row r="2597" spans="1:9" x14ac:dyDescent="0.25">
      <c r="A2597">
        <v>19722</v>
      </c>
      <c r="B2597" t="s">
        <v>7</v>
      </c>
      <c r="C2597" t="s">
        <v>5187</v>
      </c>
      <c r="D2597" t="str">
        <f t="shared" si="132"/>
        <v/>
      </c>
      <c r="E2597" t="s">
        <v>5188</v>
      </c>
      <c r="F2597" t="str">
        <f t="shared" si="131"/>
        <v>2101105</v>
      </c>
      <c r="I2597">
        <v>1</v>
      </c>
    </row>
    <row r="2598" spans="1:9" hidden="1" x14ac:dyDescent="0.25">
      <c r="A2598">
        <v>19723</v>
      </c>
      <c r="B2598" t="s">
        <v>10</v>
      </c>
      <c r="C2598" t="s">
        <v>5189</v>
      </c>
      <c r="D2598" t="str">
        <f t="shared" si="132"/>
        <v/>
      </c>
      <c r="E2598" t="s">
        <v>5190</v>
      </c>
      <c r="F2598" t="str">
        <f t="shared" si="131"/>
        <v>2101105</v>
      </c>
    </row>
    <row r="2599" spans="1:9" hidden="1" x14ac:dyDescent="0.25">
      <c r="A2599">
        <v>19728</v>
      </c>
      <c r="B2599" t="s">
        <v>10</v>
      </c>
      <c r="C2599" t="s">
        <v>5191</v>
      </c>
      <c r="D2599" t="str">
        <f t="shared" si="132"/>
        <v/>
      </c>
      <c r="E2599" t="s">
        <v>5192</v>
      </c>
      <c r="F2599" t="str">
        <f t="shared" si="131"/>
        <v>2101105</v>
      </c>
    </row>
    <row r="2600" spans="1:9" hidden="1" x14ac:dyDescent="0.25">
      <c r="A2600">
        <v>19729</v>
      </c>
      <c r="B2600" t="s">
        <v>10</v>
      </c>
      <c r="C2600" t="s">
        <v>5193</v>
      </c>
      <c r="D2600" t="str">
        <f t="shared" si="132"/>
        <v/>
      </c>
      <c r="E2600" t="s">
        <v>5194</v>
      </c>
      <c r="F2600" t="str">
        <f t="shared" si="131"/>
        <v>2101105</v>
      </c>
    </row>
    <row r="2601" spans="1:9" hidden="1" x14ac:dyDescent="0.25">
      <c r="A2601">
        <v>19730</v>
      </c>
      <c r="B2601" t="s">
        <v>10</v>
      </c>
      <c r="C2601" t="s">
        <v>5195</v>
      </c>
      <c r="D2601" t="str">
        <f t="shared" si="132"/>
        <v/>
      </c>
      <c r="E2601" t="s">
        <v>5196</v>
      </c>
      <c r="F2601" t="str">
        <f t="shared" si="131"/>
        <v>2101105</v>
      </c>
    </row>
    <row r="2602" spans="1:9" hidden="1" x14ac:dyDescent="0.25">
      <c r="A2602">
        <v>19731</v>
      </c>
      <c r="B2602" t="s">
        <v>10</v>
      </c>
      <c r="C2602" t="s">
        <v>5197</v>
      </c>
      <c r="D2602" t="str">
        <f t="shared" si="132"/>
        <v/>
      </c>
      <c r="E2602" t="s">
        <v>5198</v>
      </c>
      <c r="F2602" t="str">
        <f t="shared" si="131"/>
        <v>2101105</v>
      </c>
    </row>
    <row r="2603" spans="1:9" hidden="1" x14ac:dyDescent="0.25">
      <c r="A2603">
        <v>19732</v>
      </c>
      <c r="B2603" t="s">
        <v>10</v>
      </c>
      <c r="C2603" t="s">
        <v>5199</v>
      </c>
      <c r="D2603" t="str">
        <f t="shared" si="132"/>
        <v/>
      </c>
      <c r="E2603" t="s">
        <v>5200</v>
      </c>
      <c r="F2603" t="str">
        <f t="shared" si="131"/>
        <v>2101105</v>
      </c>
    </row>
    <row r="2604" spans="1:9" hidden="1" x14ac:dyDescent="0.25">
      <c r="A2604">
        <v>19733</v>
      </c>
      <c r="B2604" t="s">
        <v>10</v>
      </c>
      <c r="C2604" t="s">
        <v>5201</v>
      </c>
      <c r="D2604" t="str">
        <f t="shared" si="132"/>
        <v/>
      </c>
      <c r="E2604" t="s">
        <v>5202</v>
      </c>
      <c r="F2604" t="str">
        <f t="shared" si="131"/>
        <v>2101105</v>
      </c>
    </row>
    <row r="2605" spans="1:9" x14ac:dyDescent="0.25">
      <c r="A2605">
        <v>19734</v>
      </c>
      <c r="B2605" t="s">
        <v>7</v>
      </c>
      <c r="C2605" t="s">
        <v>5203</v>
      </c>
      <c r="D2605" t="str">
        <f t="shared" si="132"/>
        <v/>
      </c>
      <c r="E2605" t="s">
        <v>5204</v>
      </c>
      <c r="F2605" t="s">
        <v>6981</v>
      </c>
      <c r="I2605">
        <v>1</v>
      </c>
    </row>
    <row r="2606" spans="1:9" hidden="1" x14ac:dyDescent="0.25">
      <c r="A2606">
        <v>19735</v>
      </c>
      <c r="B2606" t="s">
        <v>10</v>
      </c>
      <c r="C2606" t="s">
        <v>5205</v>
      </c>
      <c r="D2606" t="str">
        <f t="shared" si="132"/>
        <v/>
      </c>
      <c r="E2606" t="s">
        <v>5206</v>
      </c>
      <c r="F2606" t="str">
        <f>LEFT(C2606,7)</f>
        <v>2101106</v>
      </c>
    </row>
    <row r="2607" spans="1:9" hidden="1" x14ac:dyDescent="0.25">
      <c r="A2607">
        <v>19740</v>
      </c>
      <c r="B2607" t="s">
        <v>10</v>
      </c>
      <c r="C2607" t="s">
        <v>5207</v>
      </c>
      <c r="D2607" t="str">
        <f t="shared" si="132"/>
        <v/>
      </c>
      <c r="E2607" t="s">
        <v>5208</v>
      </c>
      <c r="F2607" t="str">
        <f>LEFT(C2607,7)</f>
        <v>2101106</v>
      </c>
    </row>
    <row r="2608" spans="1:9" hidden="1" x14ac:dyDescent="0.25">
      <c r="A2608">
        <v>19741</v>
      </c>
      <c r="B2608" t="s">
        <v>10</v>
      </c>
      <c r="C2608" t="s">
        <v>5209</v>
      </c>
      <c r="D2608" t="str">
        <f t="shared" si="132"/>
        <v/>
      </c>
      <c r="E2608" t="s">
        <v>5210</v>
      </c>
      <c r="F2608" t="str">
        <f>LEFT(C2608,7)</f>
        <v>2101106</v>
      </c>
    </row>
    <row r="2609" spans="1:9" x14ac:dyDescent="0.25">
      <c r="A2609">
        <v>19742</v>
      </c>
      <c r="B2609" t="s">
        <v>7</v>
      </c>
      <c r="C2609" t="s">
        <v>5211</v>
      </c>
      <c r="D2609" t="str">
        <f t="shared" si="132"/>
        <v/>
      </c>
      <c r="E2609" t="s">
        <v>5212</v>
      </c>
      <c r="F2609" t="s">
        <v>6948</v>
      </c>
      <c r="I2609">
        <v>1</v>
      </c>
    </row>
    <row r="2610" spans="1:9" hidden="1" x14ac:dyDescent="0.25">
      <c r="A2610">
        <v>19743</v>
      </c>
      <c r="B2610" t="s">
        <v>10</v>
      </c>
      <c r="C2610" t="s">
        <v>5213</v>
      </c>
      <c r="D2610" t="str">
        <f t="shared" si="132"/>
        <v/>
      </c>
      <c r="E2610" t="s">
        <v>5214</v>
      </c>
      <c r="F2610" t="str">
        <f t="shared" ref="F2610:F2635" si="133">LEFT(C2610,7)</f>
        <v>1120415</v>
      </c>
    </row>
    <row r="2611" spans="1:9" hidden="1" x14ac:dyDescent="0.25">
      <c r="A2611">
        <v>19744</v>
      </c>
      <c r="B2611" t="s">
        <v>10</v>
      </c>
      <c r="C2611" t="s">
        <v>5215</v>
      </c>
      <c r="D2611" t="str">
        <f t="shared" si="132"/>
        <v/>
      </c>
      <c r="E2611" t="s">
        <v>5216</v>
      </c>
      <c r="F2611" t="str">
        <f t="shared" si="133"/>
        <v>1120415</v>
      </c>
    </row>
    <row r="2612" spans="1:9" hidden="1" x14ac:dyDescent="0.25">
      <c r="A2612">
        <v>19745</v>
      </c>
      <c r="B2612" t="s">
        <v>10</v>
      </c>
      <c r="C2612" t="s">
        <v>5217</v>
      </c>
      <c r="D2612" t="str">
        <f t="shared" si="132"/>
        <v/>
      </c>
      <c r="E2612" t="s">
        <v>5218</v>
      </c>
      <c r="F2612" t="str">
        <f t="shared" si="133"/>
        <v>1120415</v>
      </c>
    </row>
    <row r="2613" spans="1:9" x14ac:dyDescent="0.25">
      <c r="A2613">
        <v>19746</v>
      </c>
      <c r="B2613" t="s">
        <v>7</v>
      </c>
      <c r="C2613" t="s">
        <v>5219</v>
      </c>
      <c r="D2613" t="str">
        <f t="shared" si="132"/>
        <v/>
      </c>
      <c r="E2613" t="s">
        <v>5220</v>
      </c>
      <c r="F2613" t="str">
        <f t="shared" si="133"/>
        <v>2601495</v>
      </c>
      <c r="H2613">
        <v>7</v>
      </c>
      <c r="I2613">
        <v>1</v>
      </c>
    </row>
    <row r="2614" spans="1:9" hidden="1" x14ac:dyDescent="0.25">
      <c r="A2614">
        <v>19747</v>
      </c>
      <c r="B2614" t="s">
        <v>10</v>
      </c>
      <c r="C2614" t="s">
        <v>5221</v>
      </c>
      <c r="D2614" t="str">
        <f t="shared" si="132"/>
        <v/>
      </c>
      <c r="E2614" t="s">
        <v>5222</v>
      </c>
      <c r="F2614" t="str">
        <f t="shared" si="133"/>
        <v>2601495</v>
      </c>
    </row>
    <row r="2615" spans="1:9" hidden="1" x14ac:dyDescent="0.25">
      <c r="A2615">
        <v>19752</v>
      </c>
      <c r="B2615" t="s">
        <v>10</v>
      </c>
      <c r="C2615" t="s">
        <v>5223</v>
      </c>
      <c r="D2615" t="str">
        <f t="shared" si="132"/>
        <v/>
      </c>
      <c r="E2615" t="s">
        <v>5224</v>
      </c>
      <c r="F2615" t="str">
        <f t="shared" si="133"/>
        <v>2601495</v>
      </c>
    </row>
    <row r="2616" spans="1:9" hidden="1" x14ac:dyDescent="0.25">
      <c r="A2616">
        <v>19753</v>
      </c>
      <c r="B2616" t="s">
        <v>10</v>
      </c>
      <c r="C2616" t="s">
        <v>5225</v>
      </c>
      <c r="D2616" t="str">
        <f t="shared" si="132"/>
        <v/>
      </c>
      <c r="E2616" t="s">
        <v>5226</v>
      </c>
      <c r="F2616" t="str">
        <f t="shared" si="133"/>
        <v>2601495</v>
      </c>
    </row>
    <row r="2617" spans="1:9" hidden="1" x14ac:dyDescent="0.25">
      <c r="A2617">
        <v>19754</v>
      </c>
      <c r="B2617" t="s">
        <v>10</v>
      </c>
      <c r="C2617" t="s">
        <v>5227</v>
      </c>
      <c r="D2617" t="str">
        <f t="shared" si="132"/>
        <v/>
      </c>
      <c r="E2617" t="s">
        <v>5228</v>
      </c>
      <c r="F2617" t="str">
        <f t="shared" si="133"/>
        <v>2601495</v>
      </c>
    </row>
    <row r="2618" spans="1:9" hidden="1" x14ac:dyDescent="0.25">
      <c r="A2618">
        <v>19755</v>
      </c>
      <c r="B2618" t="s">
        <v>10</v>
      </c>
      <c r="C2618" t="s">
        <v>5229</v>
      </c>
      <c r="D2618" t="str">
        <f t="shared" si="132"/>
        <v/>
      </c>
      <c r="E2618" t="s">
        <v>5230</v>
      </c>
      <c r="F2618" t="str">
        <f t="shared" si="133"/>
        <v>2601495</v>
      </c>
    </row>
    <row r="2619" spans="1:9" hidden="1" x14ac:dyDescent="0.25">
      <c r="A2619">
        <v>19756</v>
      </c>
      <c r="B2619" t="s">
        <v>10</v>
      </c>
      <c r="C2619" t="s">
        <v>5231</v>
      </c>
      <c r="D2619" t="str">
        <f t="shared" si="132"/>
        <v/>
      </c>
      <c r="E2619" t="s">
        <v>5232</v>
      </c>
      <c r="F2619" t="str">
        <f t="shared" si="133"/>
        <v>2601495</v>
      </c>
    </row>
    <row r="2620" spans="1:9" x14ac:dyDescent="0.25">
      <c r="A2620">
        <v>19757</v>
      </c>
      <c r="B2620" t="s">
        <v>7</v>
      </c>
      <c r="C2620" t="s">
        <v>5233</v>
      </c>
      <c r="D2620" t="str">
        <f t="shared" si="132"/>
        <v/>
      </c>
      <c r="E2620" t="s">
        <v>5234</v>
      </c>
      <c r="F2620" t="str">
        <f t="shared" si="133"/>
        <v>1120724</v>
      </c>
      <c r="I2620">
        <v>1</v>
      </c>
    </row>
    <row r="2621" spans="1:9" hidden="1" x14ac:dyDescent="0.25">
      <c r="A2621">
        <v>19758</v>
      </c>
      <c r="B2621" t="s">
        <v>10</v>
      </c>
      <c r="C2621" t="s">
        <v>5235</v>
      </c>
      <c r="D2621" t="str">
        <f t="shared" si="132"/>
        <v/>
      </c>
      <c r="E2621" t="s">
        <v>5236</v>
      </c>
      <c r="F2621" t="str">
        <f t="shared" si="133"/>
        <v>1120724</v>
      </c>
    </row>
    <row r="2622" spans="1:9" hidden="1" x14ac:dyDescent="0.25">
      <c r="A2622">
        <v>19763</v>
      </c>
      <c r="B2622" t="s">
        <v>10</v>
      </c>
      <c r="C2622" t="s">
        <v>5237</v>
      </c>
      <c r="D2622" t="str">
        <f t="shared" si="132"/>
        <v/>
      </c>
      <c r="E2622" t="s">
        <v>5238</v>
      </c>
      <c r="F2622" t="str">
        <f t="shared" si="133"/>
        <v>1120724</v>
      </c>
    </row>
    <row r="2623" spans="1:9" hidden="1" x14ac:dyDescent="0.25">
      <c r="A2623">
        <v>19764</v>
      </c>
      <c r="B2623" t="s">
        <v>10</v>
      </c>
      <c r="C2623" t="s">
        <v>5239</v>
      </c>
      <c r="D2623" t="str">
        <f t="shared" si="132"/>
        <v/>
      </c>
      <c r="E2623" t="s">
        <v>5240</v>
      </c>
      <c r="F2623" t="str">
        <f t="shared" si="133"/>
        <v>1120724</v>
      </c>
    </row>
    <row r="2624" spans="1:9" hidden="1" x14ac:dyDescent="0.25">
      <c r="A2624">
        <v>19765</v>
      </c>
      <c r="B2624" t="s">
        <v>10</v>
      </c>
      <c r="C2624" t="s">
        <v>5241</v>
      </c>
      <c r="D2624" t="str">
        <f t="shared" si="132"/>
        <v/>
      </c>
      <c r="E2624" t="s">
        <v>5242</v>
      </c>
      <c r="F2624" t="str">
        <f t="shared" si="133"/>
        <v>1120724</v>
      </c>
    </row>
    <row r="2625" spans="1:9" hidden="1" x14ac:dyDescent="0.25">
      <c r="A2625">
        <v>19766</v>
      </c>
      <c r="B2625" t="s">
        <v>10</v>
      </c>
      <c r="C2625" t="s">
        <v>5243</v>
      </c>
      <c r="D2625" t="str">
        <f t="shared" si="132"/>
        <v/>
      </c>
      <c r="E2625" t="s">
        <v>5244</v>
      </c>
      <c r="F2625" t="str">
        <f t="shared" si="133"/>
        <v>1120724</v>
      </c>
    </row>
    <row r="2626" spans="1:9" hidden="1" x14ac:dyDescent="0.25">
      <c r="A2626">
        <v>19767</v>
      </c>
      <c r="B2626" t="s">
        <v>10</v>
      </c>
      <c r="C2626" t="s">
        <v>5245</v>
      </c>
      <c r="D2626" t="str">
        <f t="shared" si="132"/>
        <v/>
      </c>
      <c r="E2626" t="s">
        <v>5246</v>
      </c>
      <c r="F2626" t="str">
        <f t="shared" si="133"/>
        <v>1120724</v>
      </c>
    </row>
    <row r="2627" spans="1:9" hidden="1" x14ac:dyDescent="0.25">
      <c r="A2627">
        <v>19768</v>
      </c>
      <c r="B2627" t="s">
        <v>10</v>
      </c>
      <c r="C2627" t="s">
        <v>5247</v>
      </c>
      <c r="D2627" t="str">
        <f t="shared" ref="D2627:D2658" si="134">IF(RIGHT(LEFT(C2627,9),2)="##","",RIGHT(LEFT(C2627,10),2))</f>
        <v/>
      </c>
      <c r="E2627" t="s">
        <v>5248</v>
      </c>
      <c r="F2627" t="str">
        <f t="shared" si="133"/>
        <v>1120724</v>
      </c>
    </row>
    <row r="2628" spans="1:9" hidden="1" x14ac:dyDescent="0.25">
      <c r="A2628">
        <v>19769</v>
      </c>
      <c r="B2628" t="s">
        <v>4</v>
      </c>
      <c r="C2628" t="s">
        <v>5249</v>
      </c>
      <c r="D2628" t="str">
        <f t="shared" si="134"/>
        <v/>
      </c>
      <c r="E2628" t="s">
        <v>5250</v>
      </c>
      <c r="F2628" t="str">
        <f t="shared" si="133"/>
        <v>8400128</v>
      </c>
    </row>
    <row r="2629" spans="1:9" hidden="1" x14ac:dyDescent="0.25">
      <c r="A2629">
        <v>19774</v>
      </c>
      <c r="B2629" t="s">
        <v>4</v>
      </c>
      <c r="C2629" t="s">
        <v>5251</v>
      </c>
      <c r="D2629" t="str">
        <f t="shared" si="134"/>
        <v/>
      </c>
      <c r="E2629" t="s">
        <v>5252</v>
      </c>
      <c r="F2629" t="str">
        <f t="shared" si="133"/>
        <v>8400129</v>
      </c>
    </row>
    <row r="2630" spans="1:9" x14ac:dyDescent="0.25">
      <c r="A2630">
        <v>19778</v>
      </c>
      <c r="B2630" t="s">
        <v>7</v>
      </c>
      <c r="C2630" t="s">
        <v>5253</v>
      </c>
      <c r="D2630" t="str">
        <f t="shared" si="134"/>
        <v/>
      </c>
      <c r="E2630" t="s">
        <v>5254</v>
      </c>
      <c r="F2630" t="str">
        <f t="shared" si="133"/>
        <v>8708301</v>
      </c>
    </row>
    <row r="2631" spans="1:9" hidden="1" x14ac:dyDescent="0.25">
      <c r="A2631">
        <v>19779</v>
      </c>
      <c r="B2631" t="s">
        <v>10</v>
      </c>
      <c r="C2631" t="s">
        <v>5255</v>
      </c>
      <c r="D2631" t="str">
        <f t="shared" si="134"/>
        <v/>
      </c>
      <c r="E2631" t="s">
        <v>5256</v>
      </c>
      <c r="F2631" t="str">
        <f t="shared" si="133"/>
        <v>8708301</v>
      </c>
    </row>
    <row r="2632" spans="1:9" hidden="1" x14ac:dyDescent="0.25">
      <c r="A2632">
        <v>19780</v>
      </c>
      <c r="B2632" t="s">
        <v>10</v>
      </c>
      <c r="C2632" t="s">
        <v>5257</v>
      </c>
      <c r="D2632" t="str">
        <f t="shared" si="134"/>
        <v/>
      </c>
      <c r="E2632" t="s">
        <v>5258</v>
      </c>
      <c r="F2632" t="str">
        <f t="shared" si="133"/>
        <v>8708301</v>
      </c>
    </row>
    <row r="2633" spans="1:9" hidden="1" x14ac:dyDescent="0.25">
      <c r="A2633">
        <v>19781</v>
      </c>
      <c r="B2633" t="s">
        <v>10</v>
      </c>
      <c r="C2633" t="s">
        <v>5259</v>
      </c>
      <c r="D2633" t="str">
        <f t="shared" si="134"/>
        <v/>
      </c>
      <c r="E2633" t="s">
        <v>5260</v>
      </c>
      <c r="F2633" t="str">
        <f t="shared" si="133"/>
        <v>8708301</v>
      </c>
    </row>
    <row r="2634" spans="1:9" hidden="1" x14ac:dyDescent="0.25">
      <c r="A2634">
        <v>19782</v>
      </c>
      <c r="B2634" t="s">
        <v>10</v>
      </c>
      <c r="C2634" t="s">
        <v>5261</v>
      </c>
      <c r="D2634" t="str">
        <f t="shared" si="134"/>
        <v/>
      </c>
      <c r="E2634" t="s">
        <v>5262</v>
      </c>
      <c r="F2634" t="str">
        <f t="shared" si="133"/>
        <v>8708301</v>
      </c>
    </row>
    <row r="2635" spans="1:9" hidden="1" x14ac:dyDescent="0.25">
      <c r="A2635">
        <v>19783</v>
      </c>
      <c r="B2635" t="s">
        <v>10</v>
      </c>
      <c r="C2635" t="s">
        <v>5263</v>
      </c>
      <c r="D2635" t="str">
        <f t="shared" si="134"/>
        <v/>
      </c>
      <c r="E2635" t="s">
        <v>5264</v>
      </c>
      <c r="F2635" t="str">
        <f t="shared" si="133"/>
        <v>8708301</v>
      </c>
    </row>
    <row r="2636" spans="1:9" x14ac:dyDescent="0.25">
      <c r="A2636">
        <v>19784</v>
      </c>
      <c r="B2636" t="s">
        <v>7</v>
      </c>
      <c r="C2636" t="s">
        <v>5265</v>
      </c>
      <c r="D2636" t="str">
        <f t="shared" si="134"/>
        <v/>
      </c>
      <c r="E2636" t="s">
        <v>5266</v>
      </c>
      <c r="F2636" t="s">
        <v>6922</v>
      </c>
      <c r="I2636">
        <v>1</v>
      </c>
    </row>
    <row r="2637" spans="1:9" hidden="1" x14ac:dyDescent="0.25">
      <c r="A2637">
        <v>19785</v>
      </c>
      <c r="B2637" t="s">
        <v>10</v>
      </c>
      <c r="C2637" t="s">
        <v>5267</v>
      </c>
      <c r="D2637" t="str">
        <f t="shared" si="134"/>
        <v/>
      </c>
      <c r="E2637" t="s">
        <v>5268</v>
      </c>
      <c r="F2637" t="str">
        <f>LEFT(C2637,7)</f>
        <v>1200901</v>
      </c>
    </row>
    <row r="2638" spans="1:9" hidden="1" x14ac:dyDescent="0.25">
      <c r="A2638">
        <v>19786</v>
      </c>
      <c r="B2638" t="s">
        <v>10</v>
      </c>
      <c r="C2638" t="s">
        <v>5269</v>
      </c>
      <c r="D2638" t="str">
        <f t="shared" si="134"/>
        <v/>
      </c>
      <c r="E2638" t="s">
        <v>5270</v>
      </c>
      <c r="F2638" t="str">
        <f>LEFT(C2638,7)</f>
        <v>1200901</v>
      </c>
    </row>
    <row r="2639" spans="1:9" hidden="1" x14ac:dyDescent="0.25">
      <c r="A2639">
        <v>19787</v>
      </c>
      <c r="B2639" t="s">
        <v>10</v>
      </c>
      <c r="C2639" t="s">
        <v>5271</v>
      </c>
      <c r="D2639" t="str">
        <f t="shared" si="134"/>
        <v/>
      </c>
      <c r="E2639" t="s">
        <v>5272</v>
      </c>
      <c r="F2639" t="str">
        <f>LEFT(C2639,7)</f>
        <v>1200901</v>
      </c>
    </row>
    <row r="2640" spans="1:9" x14ac:dyDescent="0.25">
      <c r="A2640">
        <v>19788</v>
      </c>
      <c r="B2640" t="s">
        <v>7</v>
      </c>
      <c r="C2640" t="s">
        <v>5273</v>
      </c>
      <c r="D2640" t="str">
        <f t="shared" si="134"/>
        <v/>
      </c>
      <c r="E2640" t="s">
        <v>5274</v>
      </c>
      <c r="F2640" t="s">
        <v>6921</v>
      </c>
      <c r="I2640">
        <v>1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 t="shared" si="134"/>
        <v/>
      </c>
      <c r="E2641" t="s">
        <v>5276</v>
      </c>
      <c r="F2641" t="str">
        <f t="shared" ref="F2641:F2646" si="135"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 t="shared" si="134"/>
        <v/>
      </c>
      <c r="E2642" t="s">
        <v>5278</v>
      </c>
      <c r="F2642" t="str">
        <f t="shared" si="135"/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 t="shared" si="134"/>
        <v/>
      </c>
      <c r="E2643" t="s">
        <v>5280</v>
      </c>
      <c r="F2643" t="str">
        <f t="shared" si="135"/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 t="shared" si="134"/>
        <v/>
      </c>
      <c r="E2644" t="s">
        <v>5282</v>
      </c>
      <c r="F2644" t="str">
        <f t="shared" si="135"/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 t="shared" si="134"/>
        <v/>
      </c>
      <c r="E2645" t="s">
        <v>5284</v>
      </c>
      <c r="F2645" t="str">
        <f t="shared" si="135"/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 t="shared" si="134"/>
        <v/>
      </c>
      <c r="E2646" t="s">
        <v>5286</v>
      </c>
      <c r="F2646" t="str">
        <f t="shared" si="135"/>
        <v>8401012</v>
      </c>
    </row>
    <row r="2647" spans="1:9" x14ac:dyDescent="0.25">
      <c r="A2647">
        <v>19804</v>
      </c>
      <c r="B2647" t="s">
        <v>7</v>
      </c>
      <c r="C2647" t="s">
        <v>5287</v>
      </c>
      <c r="D2647" t="str">
        <f t="shared" si="134"/>
        <v/>
      </c>
      <c r="E2647" t="s">
        <v>5288</v>
      </c>
      <c r="F2647" t="s">
        <v>6919</v>
      </c>
      <c r="I2647">
        <v>1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 t="shared" si="134"/>
        <v/>
      </c>
      <c r="E2648" t="s">
        <v>5290</v>
      </c>
      <c r="F2648" t="str">
        <f t="shared" ref="F2648:F2674" si="136"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 t="shared" si="134"/>
        <v/>
      </c>
      <c r="E2649" t="s">
        <v>5292</v>
      </c>
      <c r="F2649" t="str">
        <f t="shared" si="136"/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 t="shared" si="134"/>
        <v/>
      </c>
      <c r="E2650" t="s">
        <v>5294</v>
      </c>
      <c r="F2650" t="str">
        <f t="shared" si="136"/>
        <v>1120190</v>
      </c>
    </row>
    <row r="2651" spans="1:9" x14ac:dyDescent="0.25">
      <c r="A2651">
        <v>19808</v>
      </c>
      <c r="B2651" t="s">
        <v>7</v>
      </c>
      <c r="C2651" t="s">
        <v>5295</v>
      </c>
      <c r="D2651" t="str">
        <f t="shared" si="134"/>
        <v/>
      </c>
      <c r="E2651" t="s">
        <v>5296</v>
      </c>
      <c r="F2651" t="str">
        <f t="shared" si="136"/>
        <v>2601900</v>
      </c>
      <c r="H2651">
        <v>5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 t="shared" si="134"/>
        <v/>
      </c>
      <c r="E2652" t="s">
        <v>5298</v>
      </c>
      <c r="F2652" t="str">
        <f t="shared" si="136"/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 t="shared" si="134"/>
        <v/>
      </c>
      <c r="E2653" t="s">
        <v>5300</v>
      </c>
      <c r="F2653" t="str">
        <f t="shared" si="136"/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 t="shared" si="134"/>
        <v/>
      </c>
      <c r="E2654" t="s">
        <v>5302</v>
      </c>
      <c r="F2654" t="str">
        <f t="shared" si="136"/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 t="shared" si="134"/>
        <v/>
      </c>
      <c r="E2655" t="s">
        <v>5304</v>
      </c>
      <c r="F2655" t="str">
        <f t="shared" si="136"/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 t="shared" si="134"/>
        <v/>
      </c>
      <c r="E2656" t="s">
        <v>5306</v>
      </c>
      <c r="F2656" t="str">
        <f t="shared" si="136"/>
        <v>2601900</v>
      </c>
    </row>
    <row r="2657" spans="1:9" hidden="1" x14ac:dyDescent="0.25">
      <c r="A2657">
        <v>19817</v>
      </c>
      <c r="B2657" t="s">
        <v>10</v>
      </c>
      <c r="C2657" t="s">
        <v>5307</v>
      </c>
      <c r="D2657" t="str">
        <f t="shared" si="134"/>
        <v/>
      </c>
      <c r="E2657" t="s">
        <v>5308</v>
      </c>
      <c r="F2657" t="str">
        <f t="shared" si="136"/>
        <v>2601900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 t="shared" si="134"/>
        <v/>
      </c>
      <c r="E2658" t="s">
        <v>5310</v>
      </c>
      <c r="F2658" t="str">
        <f t="shared" si="136"/>
        <v>8520936</v>
      </c>
    </row>
    <row r="2659" spans="1:9" x14ac:dyDescent="0.25">
      <c r="A2659">
        <v>19824</v>
      </c>
      <c r="B2659" t="s">
        <v>7</v>
      </c>
      <c r="C2659" t="s">
        <v>5311</v>
      </c>
      <c r="D2659" t="str">
        <f t="shared" ref="D2659:D2686" si="137">IF(RIGHT(LEFT(C2659,9),2)="##","",RIGHT(LEFT(C2659,10),2))</f>
        <v/>
      </c>
      <c r="E2659" t="s">
        <v>5312</v>
      </c>
      <c r="F2659" t="str">
        <f t="shared" si="136"/>
        <v>5101048</v>
      </c>
      <c r="I2659">
        <v>1</v>
      </c>
    </row>
    <row r="2660" spans="1:9" hidden="1" x14ac:dyDescent="0.25">
      <c r="A2660">
        <v>19825</v>
      </c>
      <c r="B2660" t="s">
        <v>10</v>
      </c>
      <c r="C2660" t="s">
        <v>5313</v>
      </c>
      <c r="D2660" t="str">
        <f t="shared" si="137"/>
        <v/>
      </c>
      <c r="E2660" t="s">
        <v>5314</v>
      </c>
      <c r="F2660" t="str">
        <f t="shared" si="136"/>
        <v>5101048</v>
      </c>
    </row>
    <row r="2661" spans="1:9" hidden="1" x14ac:dyDescent="0.25">
      <c r="A2661">
        <v>19830</v>
      </c>
      <c r="B2661" t="s">
        <v>10</v>
      </c>
      <c r="C2661" t="s">
        <v>5315</v>
      </c>
      <c r="D2661" t="str">
        <f t="shared" si="137"/>
        <v/>
      </c>
      <c r="E2661" t="s">
        <v>5316</v>
      </c>
      <c r="F2661" t="str">
        <f t="shared" si="136"/>
        <v>5101048</v>
      </c>
    </row>
    <row r="2662" spans="1:9" hidden="1" x14ac:dyDescent="0.25">
      <c r="A2662">
        <v>19831</v>
      </c>
      <c r="B2662" t="s">
        <v>10</v>
      </c>
      <c r="C2662" t="s">
        <v>5317</v>
      </c>
      <c r="D2662" t="str">
        <f t="shared" si="137"/>
        <v/>
      </c>
      <c r="E2662" t="s">
        <v>5318</v>
      </c>
      <c r="F2662" t="str">
        <f t="shared" si="136"/>
        <v>5101048</v>
      </c>
    </row>
    <row r="2663" spans="1:9" hidden="1" x14ac:dyDescent="0.25">
      <c r="A2663">
        <v>19832</v>
      </c>
      <c r="B2663" t="s">
        <v>10</v>
      </c>
      <c r="C2663" t="s">
        <v>5319</v>
      </c>
      <c r="D2663" t="str">
        <f t="shared" si="137"/>
        <v/>
      </c>
      <c r="E2663" t="s">
        <v>5320</v>
      </c>
      <c r="F2663" t="str">
        <f t="shared" si="136"/>
        <v>5101048</v>
      </c>
    </row>
    <row r="2664" spans="1:9" hidden="1" x14ac:dyDescent="0.25">
      <c r="A2664">
        <v>19833</v>
      </c>
      <c r="B2664" t="s">
        <v>10</v>
      </c>
      <c r="C2664" t="s">
        <v>5321</v>
      </c>
      <c r="D2664" t="str">
        <f t="shared" si="137"/>
        <v/>
      </c>
      <c r="E2664" t="s">
        <v>5322</v>
      </c>
      <c r="F2664" t="str">
        <f t="shared" si="136"/>
        <v>5101048</v>
      </c>
    </row>
    <row r="2665" spans="1:9" hidden="1" x14ac:dyDescent="0.25">
      <c r="A2665">
        <v>19834</v>
      </c>
      <c r="B2665" t="s">
        <v>10</v>
      </c>
      <c r="C2665" t="s">
        <v>5323</v>
      </c>
      <c r="D2665" t="str">
        <f t="shared" si="137"/>
        <v/>
      </c>
      <c r="E2665" t="s">
        <v>5324</v>
      </c>
      <c r="F2665" t="str">
        <f t="shared" si="136"/>
        <v>5101048</v>
      </c>
    </row>
    <row r="2666" spans="1:9" hidden="1" x14ac:dyDescent="0.25">
      <c r="A2666">
        <v>19835</v>
      </c>
      <c r="B2666" t="s">
        <v>10</v>
      </c>
      <c r="C2666" t="s">
        <v>5325</v>
      </c>
      <c r="D2666" t="str">
        <f t="shared" si="137"/>
        <v/>
      </c>
      <c r="E2666" t="s">
        <v>5326</v>
      </c>
      <c r="F2666" t="str">
        <f t="shared" si="136"/>
        <v>5101048</v>
      </c>
    </row>
    <row r="2667" spans="1:9" x14ac:dyDescent="0.25">
      <c r="A2667">
        <v>19836</v>
      </c>
      <c r="B2667" t="s">
        <v>7</v>
      </c>
      <c r="C2667" t="s">
        <v>5327</v>
      </c>
      <c r="D2667" t="str">
        <f t="shared" si="137"/>
        <v/>
      </c>
      <c r="E2667" t="s">
        <v>5328</v>
      </c>
      <c r="F2667" t="str">
        <f t="shared" si="136"/>
        <v>5101052</v>
      </c>
      <c r="I2667">
        <v>1</v>
      </c>
    </row>
    <row r="2668" spans="1:9" hidden="1" x14ac:dyDescent="0.25">
      <c r="A2668">
        <v>19837</v>
      </c>
      <c r="B2668" t="s">
        <v>10</v>
      </c>
      <c r="C2668" t="s">
        <v>5329</v>
      </c>
      <c r="D2668" t="str">
        <f t="shared" si="137"/>
        <v/>
      </c>
      <c r="E2668" t="s">
        <v>5330</v>
      </c>
      <c r="F2668" t="str">
        <f t="shared" si="136"/>
        <v>5101052</v>
      </c>
    </row>
    <row r="2669" spans="1:9" hidden="1" x14ac:dyDescent="0.25">
      <c r="A2669">
        <v>19842</v>
      </c>
      <c r="B2669" t="s">
        <v>10</v>
      </c>
      <c r="C2669" t="s">
        <v>5331</v>
      </c>
      <c r="D2669" t="str">
        <f t="shared" si="137"/>
        <v/>
      </c>
      <c r="E2669" t="s">
        <v>5332</v>
      </c>
      <c r="F2669" t="str">
        <f t="shared" si="136"/>
        <v>5101052</v>
      </c>
    </row>
    <row r="2670" spans="1:9" hidden="1" x14ac:dyDescent="0.25">
      <c r="A2670">
        <v>19843</v>
      </c>
      <c r="B2670" t="s">
        <v>10</v>
      </c>
      <c r="C2670" t="s">
        <v>5333</v>
      </c>
      <c r="D2670" t="str">
        <f t="shared" si="137"/>
        <v/>
      </c>
      <c r="E2670" t="s">
        <v>5334</v>
      </c>
      <c r="F2670" t="str">
        <f t="shared" si="136"/>
        <v>5101052</v>
      </c>
    </row>
    <row r="2671" spans="1:9" hidden="1" x14ac:dyDescent="0.25">
      <c r="A2671">
        <v>19844</v>
      </c>
      <c r="B2671" t="s">
        <v>10</v>
      </c>
      <c r="C2671" t="s">
        <v>5335</v>
      </c>
      <c r="D2671" t="str">
        <f t="shared" si="137"/>
        <v/>
      </c>
      <c r="E2671" t="s">
        <v>5336</v>
      </c>
      <c r="F2671" t="str">
        <f t="shared" si="136"/>
        <v>5101052</v>
      </c>
    </row>
    <row r="2672" spans="1:9" hidden="1" x14ac:dyDescent="0.25">
      <c r="A2672">
        <v>19845</v>
      </c>
      <c r="B2672" t="s">
        <v>10</v>
      </c>
      <c r="C2672" t="s">
        <v>5337</v>
      </c>
      <c r="D2672" t="str">
        <f t="shared" si="137"/>
        <v/>
      </c>
      <c r="E2672" t="s">
        <v>5338</v>
      </c>
      <c r="F2672" t="str">
        <f t="shared" si="136"/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 t="shared" si="137"/>
        <v/>
      </c>
      <c r="E2673" t="s">
        <v>5340</v>
      </c>
      <c r="F2673" t="str">
        <f t="shared" si="136"/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 t="shared" si="137"/>
        <v/>
      </c>
      <c r="E2674" t="s">
        <v>5342</v>
      </c>
      <c r="F2674" t="str">
        <f t="shared" si="136"/>
        <v>5101052</v>
      </c>
    </row>
    <row r="2675" spans="1:9" x14ac:dyDescent="0.25">
      <c r="A2675">
        <v>19848</v>
      </c>
      <c r="B2675" t="s">
        <v>7</v>
      </c>
      <c r="C2675" t="s">
        <v>5343</v>
      </c>
      <c r="D2675" t="str">
        <f t="shared" si="137"/>
        <v/>
      </c>
      <c r="E2675" t="s">
        <v>5344</v>
      </c>
      <c r="F2675" t="s">
        <v>6982</v>
      </c>
      <c r="I2675">
        <v>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 t="shared" si="137"/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 t="shared" si="137"/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 t="shared" si="137"/>
        <v/>
      </c>
      <c r="E2678" t="s">
        <v>5350</v>
      </c>
      <c r="F2678" t="str">
        <f>LEFT(C2678,7)</f>
        <v>5101049</v>
      </c>
    </row>
    <row r="2679" spans="1:9" x14ac:dyDescent="0.25">
      <c r="A2679">
        <v>19852</v>
      </c>
      <c r="B2679" t="s">
        <v>7</v>
      </c>
      <c r="C2679" t="s">
        <v>5351</v>
      </c>
      <c r="D2679" t="str">
        <f t="shared" si="137"/>
        <v/>
      </c>
      <c r="E2679" t="s">
        <v>5352</v>
      </c>
      <c r="F2679" t="s">
        <v>6983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 t="shared" si="137"/>
        <v/>
      </c>
      <c r="E2680" t="s">
        <v>5354</v>
      </c>
      <c r="F2680" t="str">
        <f t="shared" ref="F2680:F2716" si="138"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 t="shared" si="137"/>
        <v/>
      </c>
      <c r="E2681" t="s">
        <v>5356</v>
      </c>
      <c r="F2681" t="str">
        <f t="shared" si="138"/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 t="shared" si="137"/>
        <v/>
      </c>
      <c r="E2682" t="s">
        <v>5358</v>
      </c>
      <c r="F2682" t="str">
        <f t="shared" si="138"/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 t="shared" si="137"/>
        <v/>
      </c>
      <c r="E2683" t="s">
        <v>5360</v>
      </c>
      <c r="F2683" t="str">
        <f t="shared" si="138"/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 t="shared" si="137"/>
        <v/>
      </c>
      <c r="E2684" t="s">
        <v>5362</v>
      </c>
      <c r="F2684" t="str">
        <f t="shared" si="138"/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 t="shared" si="137"/>
        <v/>
      </c>
      <c r="E2685" t="s">
        <v>5364</v>
      </c>
      <c r="F2685" t="str">
        <f t="shared" si="138"/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 t="shared" si="137"/>
        <v/>
      </c>
      <c r="E2686" t="s">
        <v>5366</v>
      </c>
      <c r="F2686" t="str">
        <f t="shared" si="138"/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6906</v>
      </c>
      <c r="E2687" t="s">
        <v>5368</v>
      </c>
      <c r="F2687" t="str">
        <f t="shared" si="138"/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 t="shared" ref="D2688:D2719" si="139">IF(RIGHT(LEFT(C2688,9),2)="##","",RIGHT(LEFT(C2688,10),2))</f>
        <v>06</v>
      </c>
      <c r="E2688" t="s">
        <v>5370</v>
      </c>
      <c r="F2688" t="str">
        <f t="shared" si="138"/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 t="shared" si="139"/>
        <v>09</v>
      </c>
      <c r="E2689" t="s">
        <v>5372</v>
      </c>
      <c r="F2689" t="str">
        <f t="shared" si="138"/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 t="shared" si="139"/>
        <v/>
      </c>
      <c r="E2690" t="s">
        <v>5374</v>
      </c>
      <c r="F2690" t="str">
        <f t="shared" si="138"/>
        <v>8701494</v>
      </c>
    </row>
    <row r="2691" spans="1:9" x14ac:dyDescent="0.25">
      <c r="A2691">
        <v>19891</v>
      </c>
      <c r="B2691" t="s">
        <v>7</v>
      </c>
      <c r="C2691" t="s">
        <v>5375</v>
      </c>
      <c r="D2691" t="str">
        <f t="shared" si="139"/>
        <v/>
      </c>
      <c r="E2691" t="s">
        <v>5376</v>
      </c>
      <c r="F2691" t="str">
        <f t="shared" si="138"/>
        <v>8301558</v>
      </c>
      <c r="H2691">
        <v>3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 t="shared" si="139"/>
        <v/>
      </c>
      <c r="E2692" t="s">
        <v>5378</v>
      </c>
      <c r="F2692" t="str">
        <f t="shared" si="138"/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 t="shared" si="139"/>
        <v/>
      </c>
      <c r="E2693" t="s">
        <v>5380</v>
      </c>
      <c r="F2693" t="str">
        <f t="shared" si="138"/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 t="shared" si="139"/>
        <v/>
      </c>
      <c r="E2694" t="s">
        <v>5382</v>
      </c>
      <c r="F2694" t="str">
        <f t="shared" si="138"/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 t="shared" si="139"/>
        <v/>
      </c>
      <c r="E2695" t="s">
        <v>5384</v>
      </c>
      <c r="F2695" t="str">
        <f t="shared" si="138"/>
        <v>8705037</v>
      </c>
    </row>
    <row r="2696" spans="1:9" x14ac:dyDescent="0.25">
      <c r="A2696">
        <v>19902</v>
      </c>
      <c r="B2696" t="s">
        <v>7</v>
      </c>
      <c r="C2696" t="s">
        <v>5385</v>
      </c>
      <c r="D2696" t="str">
        <f t="shared" si="139"/>
        <v/>
      </c>
      <c r="E2696" t="s">
        <v>5386</v>
      </c>
      <c r="F2696" t="str">
        <f t="shared" si="138"/>
        <v>8205016</v>
      </c>
      <c r="I2696">
        <v>1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 t="shared" si="139"/>
        <v/>
      </c>
      <c r="E2697" t="s">
        <v>5388</v>
      </c>
      <c r="F2697" t="str">
        <f t="shared" si="138"/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 t="shared" si="139"/>
        <v/>
      </c>
      <c r="E2698" t="s">
        <v>5390</v>
      </c>
      <c r="F2698" t="str">
        <f t="shared" si="138"/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 t="shared" si="139"/>
        <v/>
      </c>
      <c r="E2699" t="s">
        <v>5392</v>
      </c>
      <c r="F2699" t="str">
        <f t="shared" si="138"/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 t="shared" si="139"/>
        <v/>
      </c>
      <c r="E2700" t="s">
        <v>5394</v>
      </c>
      <c r="F2700" t="str">
        <f t="shared" si="138"/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 t="shared" si="139"/>
        <v/>
      </c>
      <c r="E2701" t="s">
        <v>5396</v>
      </c>
      <c r="F2701" t="str">
        <f t="shared" si="138"/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 t="shared" si="139"/>
        <v/>
      </c>
      <c r="E2702" t="s">
        <v>5398</v>
      </c>
      <c r="F2702" t="str">
        <f t="shared" si="138"/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 t="shared" si="139"/>
        <v/>
      </c>
      <c r="E2703" t="s">
        <v>5400</v>
      </c>
      <c r="F2703" t="str">
        <f t="shared" si="138"/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 t="shared" si="139"/>
        <v/>
      </c>
      <c r="E2704" t="s">
        <v>5402</v>
      </c>
      <c r="F2704" t="str">
        <f t="shared" si="138"/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 t="shared" si="139"/>
        <v/>
      </c>
      <c r="E2705" t="s">
        <v>5404</v>
      </c>
      <c r="F2705" t="str">
        <f t="shared" si="138"/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 t="shared" si="139"/>
        <v/>
      </c>
      <c r="E2706" t="s">
        <v>5406</v>
      </c>
      <c r="F2706" t="str">
        <f t="shared" si="138"/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 t="shared" si="139"/>
        <v/>
      </c>
      <c r="E2707" t="s">
        <v>5408</v>
      </c>
      <c r="F2707" t="str">
        <f t="shared" si="138"/>
        <v>8708313</v>
      </c>
    </row>
    <row r="2708" spans="1:9" x14ac:dyDescent="0.25">
      <c r="A2708">
        <v>19955</v>
      </c>
      <c r="B2708" t="s">
        <v>7</v>
      </c>
      <c r="C2708" t="s">
        <v>5409</v>
      </c>
      <c r="D2708" t="str">
        <f t="shared" si="139"/>
        <v/>
      </c>
      <c r="E2708" t="s">
        <v>5410</v>
      </c>
      <c r="F2708" t="str">
        <f t="shared" si="138"/>
        <v>1120201</v>
      </c>
      <c r="H2708">
        <v>5</v>
      </c>
      <c r="I2708">
        <v>1</v>
      </c>
    </row>
    <row r="2709" spans="1:9" hidden="1" x14ac:dyDescent="0.25">
      <c r="A2709">
        <v>19956</v>
      </c>
      <c r="B2709" t="s">
        <v>10</v>
      </c>
      <c r="C2709" t="s">
        <v>5411</v>
      </c>
      <c r="D2709" t="str">
        <f t="shared" si="139"/>
        <v/>
      </c>
      <c r="E2709" t="s">
        <v>5412</v>
      </c>
      <c r="F2709" t="str">
        <f t="shared" si="138"/>
        <v>1120201</v>
      </c>
    </row>
    <row r="2710" spans="1:9" hidden="1" x14ac:dyDescent="0.25">
      <c r="A2710">
        <v>19957</v>
      </c>
      <c r="B2710" t="s">
        <v>10</v>
      </c>
      <c r="C2710" t="s">
        <v>5413</v>
      </c>
      <c r="D2710" t="str">
        <f t="shared" si="139"/>
        <v/>
      </c>
      <c r="E2710" t="s">
        <v>5414</v>
      </c>
      <c r="F2710" t="str">
        <f t="shared" si="138"/>
        <v>1120201</v>
      </c>
    </row>
    <row r="2711" spans="1:9" hidden="1" x14ac:dyDescent="0.25">
      <c r="A2711">
        <v>19958</v>
      </c>
      <c r="B2711" t="s">
        <v>10</v>
      </c>
      <c r="C2711" t="s">
        <v>5415</v>
      </c>
      <c r="D2711" t="str">
        <f t="shared" si="139"/>
        <v/>
      </c>
      <c r="E2711" t="s">
        <v>5416</v>
      </c>
      <c r="F2711" t="str">
        <f t="shared" si="138"/>
        <v>1120201</v>
      </c>
    </row>
    <row r="2712" spans="1:9" hidden="1" x14ac:dyDescent="0.25">
      <c r="A2712">
        <v>19959</v>
      </c>
      <c r="B2712" t="s">
        <v>10</v>
      </c>
      <c r="C2712" t="s">
        <v>5417</v>
      </c>
      <c r="D2712" t="str">
        <f t="shared" si="139"/>
        <v/>
      </c>
      <c r="E2712" t="s">
        <v>5418</v>
      </c>
      <c r="F2712" t="str">
        <f t="shared" si="138"/>
        <v>1120201</v>
      </c>
    </row>
    <row r="2713" spans="1:9" hidden="1" x14ac:dyDescent="0.25">
      <c r="A2713">
        <v>19960</v>
      </c>
      <c r="B2713" t="s">
        <v>10</v>
      </c>
      <c r="C2713" t="s">
        <v>5419</v>
      </c>
      <c r="D2713" t="str">
        <f t="shared" si="139"/>
        <v/>
      </c>
      <c r="E2713" t="s">
        <v>5420</v>
      </c>
      <c r="F2713" t="str">
        <f t="shared" si="138"/>
        <v>1120201</v>
      </c>
    </row>
    <row r="2714" spans="1:9" hidden="1" x14ac:dyDescent="0.25">
      <c r="A2714">
        <v>19961</v>
      </c>
      <c r="B2714" t="s">
        <v>10</v>
      </c>
      <c r="C2714" t="s">
        <v>5421</v>
      </c>
      <c r="D2714" t="str">
        <f t="shared" si="139"/>
        <v/>
      </c>
      <c r="E2714" t="s">
        <v>5422</v>
      </c>
      <c r="F2714" t="str">
        <f t="shared" si="138"/>
        <v>1120201</v>
      </c>
    </row>
    <row r="2715" spans="1:9" hidden="1" x14ac:dyDescent="0.25">
      <c r="A2715">
        <v>19962</v>
      </c>
      <c r="B2715" t="s">
        <v>10</v>
      </c>
      <c r="C2715" t="s">
        <v>5423</v>
      </c>
      <c r="D2715" t="str">
        <f t="shared" si="139"/>
        <v/>
      </c>
      <c r="E2715" t="s">
        <v>5424</v>
      </c>
      <c r="F2715" t="str">
        <f t="shared" si="138"/>
        <v>1120201</v>
      </c>
    </row>
    <row r="2716" spans="1:9" hidden="1" x14ac:dyDescent="0.25">
      <c r="A2716">
        <v>19963</v>
      </c>
      <c r="B2716" t="s">
        <v>10</v>
      </c>
      <c r="C2716" t="s">
        <v>5425</v>
      </c>
      <c r="D2716" t="str">
        <f t="shared" si="139"/>
        <v/>
      </c>
      <c r="E2716" t="s">
        <v>5426</v>
      </c>
      <c r="F2716" t="str">
        <f t="shared" si="138"/>
        <v>1120201</v>
      </c>
    </row>
    <row r="2717" spans="1:9" x14ac:dyDescent="0.25">
      <c r="A2717">
        <v>19964</v>
      </c>
      <c r="B2717" t="s">
        <v>7</v>
      </c>
      <c r="C2717" t="s">
        <v>5427</v>
      </c>
      <c r="D2717" t="str">
        <f t="shared" si="139"/>
        <v/>
      </c>
      <c r="E2717" t="s">
        <v>5428</v>
      </c>
      <c r="F2717" t="s">
        <v>6945</v>
      </c>
      <c r="I2717">
        <v>1</v>
      </c>
    </row>
    <row r="2718" spans="1:9" hidden="1" x14ac:dyDescent="0.25">
      <c r="A2718">
        <v>19965</v>
      </c>
      <c r="B2718" t="s">
        <v>10</v>
      </c>
      <c r="C2718" t="s">
        <v>5429</v>
      </c>
      <c r="D2718" t="str">
        <f t="shared" si="139"/>
        <v/>
      </c>
      <c r="E2718" t="s">
        <v>5430</v>
      </c>
      <c r="F2718" t="str">
        <f t="shared" ref="F2718:F2727" si="140">LEFT(C2718,7)</f>
        <v>1120725</v>
      </c>
    </row>
    <row r="2719" spans="1:9" hidden="1" x14ac:dyDescent="0.25">
      <c r="A2719">
        <v>19966</v>
      </c>
      <c r="B2719" t="s">
        <v>10</v>
      </c>
      <c r="C2719" t="s">
        <v>5431</v>
      </c>
      <c r="D2719" t="str">
        <f t="shared" si="139"/>
        <v/>
      </c>
      <c r="E2719" t="s">
        <v>5432</v>
      </c>
      <c r="F2719" t="str">
        <f t="shared" si="140"/>
        <v>1120725</v>
      </c>
    </row>
    <row r="2720" spans="1:9" hidden="1" x14ac:dyDescent="0.25">
      <c r="A2720">
        <v>19967</v>
      </c>
      <c r="B2720" t="s">
        <v>10</v>
      </c>
      <c r="C2720" t="s">
        <v>5433</v>
      </c>
      <c r="D2720" t="str">
        <f t="shared" ref="D2720:D2739" si="141">IF(RIGHT(LEFT(C2720,9),2)="##","",RIGHT(LEFT(C2720,10),2))</f>
        <v/>
      </c>
      <c r="E2720" t="s">
        <v>5434</v>
      </c>
      <c r="F2720" t="str">
        <f t="shared" si="140"/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 t="shared" si="141"/>
        <v/>
      </c>
      <c r="E2721" t="s">
        <v>5436</v>
      </c>
      <c r="F2721" t="str">
        <f t="shared" si="140"/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 t="shared" si="141"/>
        <v/>
      </c>
      <c r="E2722" t="s">
        <v>5438</v>
      </c>
      <c r="F2722" t="str">
        <f t="shared" si="140"/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 t="shared" si="141"/>
        <v/>
      </c>
      <c r="E2723" t="s">
        <v>5440</v>
      </c>
      <c r="F2723" t="str">
        <f t="shared" si="140"/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 t="shared" si="141"/>
        <v/>
      </c>
      <c r="E2724" t="s">
        <v>5442</v>
      </c>
      <c r="F2724" t="str">
        <f t="shared" si="140"/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 t="shared" si="141"/>
        <v/>
      </c>
      <c r="E2725" t="s">
        <v>5444</v>
      </c>
      <c r="F2725" t="str">
        <f t="shared" si="140"/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 t="shared" si="141"/>
        <v/>
      </c>
      <c r="E2726" t="s">
        <v>5446</v>
      </c>
      <c r="F2726" t="str">
        <f t="shared" si="140"/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 t="shared" si="141"/>
        <v/>
      </c>
      <c r="E2727" t="s">
        <v>5448</v>
      </c>
      <c r="F2727" t="str">
        <f t="shared" si="140"/>
        <v>8703300</v>
      </c>
    </row>
    <row r="2728" spans="1:9" x14ac:dyDescent="0.25">
      <c r="A2728">
        <v>20000</v>
      </c>
      <c r="B2728" t="s">
        <v>7</v>
      </c>
      <c r="C2728" t="s">
        <v>5449</v>
      </c>
      <c r="D2728" t="str">
        <f t="shared" si="141"/>
        <v/>
      </c>
      <c r="E2728" t="s">
        <v>5450</v>
      </c>
      <c r="F2728" t="s">
        <v>6940</v>
      </c>
      <c r="H2728">
        <v>6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 t="shared" si="141"/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 t="shared" si="141"/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 t="shared" si="141"/>
        <v/>
      </c>
      <c r="E2731" t="s">
        <v>5456</v>
      </c>
      <c r="F2731" t="str">
        <f>LEFT(C2731,7)</f>
        <v>1120502</v>
      </c>
    </row>
    <row r="2732" spans="1:9" x14ac:dyDescent="0.25">
      <c r="A2732">
        <v>20004</v>
      </c>
      <c r="B2732" t="s">
        <v>7</v>
      </c>
      <c r="C2732" t="s">
        <v>5457</v>
      </c>
      <c r="D2732" t="str">
        <f t="shared" si="141"/>
        <v/>
      </c>
      <c r="E2732" t="s">
        <v>5458</v>
      </c>
      <c r="F2732" t="s">
        <v>7001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 t="shared" si="141"/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 t="shared" si="141"/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 t="shared" si="141"/>
        <v/>
      </c>
      <c r="E2735" t="s">
        <v>5464</v>
      </c>
      <c r="F2735" t="str">
        <f>LEFT(C2735,7)</f>
        <v>1120781</v>
      </c>
    </row>
    <row r="2736" spans="1:9" x14ac:dyDescent="0.25">
      <c r="A2736">
        <v>20011</v>
      </c>
      <c r="B2736" t="s">
        <v>7</v>
      </c>
      <c r="C2736" t="s">
        <v>5465</v>
      </c>
      <c r="D2736" t="str">
        <f t="shared" si="141"/>
        <v/>
      </c>
      <c r="E2736" t="s">
        <v>5466</v>
      </c>
      <c r="F2736" t="s">
        <v>6920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 t="shared" si="141"/>
        <v/>
      </c>
      <c r="E2737" t="s">
        <v>5468</v>
      </c>
      <c r="F2737" t="str">
        <f t="shared" ref="F2737:F2757" si="142"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 t="shared" si="141"/>
        <v/>
      </c>
      <c r="E2738" t="s">
        <v>5470</v>
      </c>
      <c r="F2738" t="str">
        <f t="shared" si="142"/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 t="shared" si="141"/>
        <v/>
      </c>
      <c r="E2739" t="s">
        <v>5472</v>
      </c>
      <c r="F2739" t="str">
        <f t="shared" si="142"/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6906</v>
      </c>
      <c r="E2740" t="s">
        <v>5474</v>
      </c>
      <c r="F2740" t="str">
        <f t="shared" si="142"/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 t="shared" ref="D2741:D2772" si="143">IF(RIGHT(LEFT(C2741,9),2)="##","",RIGHT(LEFT(C2741,10),2))</f>
        <v>01</v>
      </c>
      <c r="E2741" t="s">
        <v>5476</v>
      </c>
      <c r="F2741" t="str">
        <f t="shared" si="142"/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 t="shared" si="143"/>
        <v>02</v>
      </c>
      <c r="E2742" t="s">
        <v>5478</v>
      </c>
      <c r="F2742" t="str">
        <f t="shared" si="142"/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 t="shared" si="143"/>
        <v>03</v>
      </c>
      <c r="E2743" t="s">
        <v>5480</v>
      </c>
      <c r="F2743" t="str">
        <f t="shared" si="142"/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 t="shared" si="143"/>
        <v>04</v>
      </c>
      <c r="E2744" t="s">
        <v>5482</v>
      </c>
      <c r="F2744" t="str">
        <f t="shared" si="142"/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 t="shared" si="143"/>
        <v>05</v>
      </c>
      <c r="E2745" t="s">
        <v>5484</v>
      </c>
      <c r="F2745" t="str">
        <f t="shared" si="142"/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 t="shared" si="143"/>
        <v>06</v>
      </c>
      <c r="E2746" t="s">
        <v>5486</v>
      </c>
      <c r="F2746" t="str">
        <f t="shared" si="142"/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 t="shared" si="143"/>
        <v>07</v>
      </c>
      <c r="E2747" t="s">
        <v>5488</v>
      </c>
      <c r="F2747" t="str">
        <f t="shared" si="142"/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 t="shared" si="143"/>
        <v>08</v>
      </c>
      <c r="E2748" t="s">
        <v>5490</v>
      </c>
      <c r="F2748" t="str">
        <f t="shared" si="142"/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 t="shared" si="143"/>
        <v>09</v>
      </c>
      <c r="E2749" t="s">
        <v>5492</v>
      </c>
      <c r="F2749" t="str">
        <f t="shared" si="142"/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 t="shared" si="143"/>
        <v>10</v>
      </c>
      <c r="E2750" t="s">
        <v>5494</v>
      </c>
      <c r="F2750" t="str">
        <f t="shared" si="142"/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 t="shared" si="143"/>
        <v>11</v>
      </c>
      <c r="E2751" t="s">
        <v>5496</v>
      </c>
      <c r="F2751" t="str">
        <f t="shared" si="142"/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 t="shared" si="143"/>
        <v>12</v>
      </c>
      <c r="E2752" t="s">
        <v>5498</v>
      </c>
      <c r="F2752" t="str">
        <f t="shared" si="142"/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 t="shared" si="143"/>
        <v>13</v>
      </c>
      <c r="E2753" t="s">
        <v>5500</v>
      </c>
      <c r="F2753" t="str">
        <f t="shared" si="142"/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 t="shared" si="143"/>
        <v>14</v>
      </c>
      <c r="E2754" t="s">
        <v>5502</v>
      </c>
      <c r="F2754" t="str">
        <f t="shared" si="142"/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 t="shared" si="143"/>
        <v>15</v>
      </c>
      <c r="E2755" t="s">
        <v>5504</v>
      </c>
      <c r="F2755" t="str">
        <f t="shared" si="142"/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 t="shared" si="143"/>
        <v>16</v>
      </c>
      <c r="E2756" t="s">
        <v>5506</v>
      </c>
      <c r="F2756" t="str">
        <f t="shared" si="142"/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 t="shared" si="143"/>
        <v>17</v>
      </c>
      <c r="E2757" t="s">
        <v>5508</v>
      </c>
      <c r="F2757" t="str">
        <f t="shared" si="142"/>
        <v>8708601</v>
      </c>
      <c r="H2757">
        <v>1</v>
      </c>
    </row>
    <row r="2758" spans="1:9" x14ac:dyDescent="0.25">
      <c r="A2758">
        <v>20059</v>
      </c>
      <c r="B2758" t="s">
        <v>7</v>
      </c>
      <c r="C2758" t="s">
        <v>5509</v>
      </c>
      <c r="D2758" t="str">
        <f t="shared" si="143"/>
        <v/>
      </c>
      <c r="E2758" t="s">
        <v>5510</v>
      </c>
      <c r="F2758" t="s">
        <v>6919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 t="shared" si="143"/>
        <v/>
      </c>
      <c r="E2759" t="s">
        <v>5512</v>
      </c>
      <c r="F2759" t="str">
        <f t="shared" ref="F2759:F2770" si="144"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 t="shared" si="143"/>
        <v/>
      </c>
      <c r="E2760" t="s">
        <v>5514</v>
      </c>
      <c r="F2760" t="str">
        <f t="shared" si="144"/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 t="shared" si="143"/>
        <v/>
      </c>
      <c r="E2761" t="s">
        <v>5516</v>
      </c>
      <c r="F2761" t="str">
        <f t="shared" si="144"/>
        <v>1120195</v>
      </c>
    </row>
    <row r="2762" spans="1:9" x14ac:dyDescent="0.25">
      <c r="A2762">
        <v>20063</v>
      </c>
      <c r="B2762" t="s">
        <v>7</v>
      </c>
      <c r="C2762" t="s">
        <v>5517</v>
      </c>
      <c r="D2762" t="str">
        <f t="shared" si="143"/>
        <v/>
      </c>
      <c r="E2762" t="s">
        <v>5518</v>
      </c>
      <c r="F2762" t="str">
        <f t="shared" si="144"/>
        <v>1120196</v>
      </c>
      <c r="H2762">
        <v>5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 t="shared" si="143"/>
        <v/>
      </c>
      <c r="E2763" t="s">
        <v>5520</v>
      </c>
      <c r="F2763" t="str">
        <f t="shared" si="144"/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 t="shared" si="143"/>
        <v/>
      </c>
      <c r="E2764" t="s">
        <v>5522</v>
      </c>
      <c r="F2764" t="str">
        <f t="shared" si="144"/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 t="shared" si="143"/>
        <v/>
      </c>
      <c r="E2765" t="s">
        <v>5524</v>
      </c>
      <c r="F2765" t="str">
        <f t="shared" si="144"/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 t="shared" si="143"/>
        <v/>
      </c>
      <c r="E2766" t="s">
        <v>5526</v>
      </c>
      <c r="F2766" t="str">
        <f t="shared" si="144"/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 t="shared" si="143"/>
        <v/>
      </c>
      <c r="E2767" t="s">
        <v>5528</v>
      </c>
      <c r="F2767" t="str">
        <f t="shared" si="144"/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 t="shared" si="143"/>
        <v/>
      </c>
      <c r="E2768" t="s">
        <v>5530</v>
      </c>
      <c r="F2768" t="str">
        <f t="shared" si="144"/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 t="shared" si="143"/>
        <v/>
      </c>
      <c r="E2769" t="s">
        <v>5532</v>
      </c>
      <c r="F2769" t="str">
        <f t="shared" si="144"/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 t="shared" si="143"/>
        <v/>
      </c>
      <c r="E2770" t="s">
        <v>5534</v>
      </c>
      <c r="F2770" t="str">
        <f t="shared" si="144"/>
        <v>1120196</v>
      </c>
    </row>
    <row r="2771" spans="1:9" x14ac:dyDescent="0.25">
      <c r="A2771">
        <v>20072</v>
      </c>
      <c r="B2771" t="s">
        <v>7</v>
      </c>
      <c r="C2771" t="s">
        <v>5535</v>
      </c>
      <c r="D2771" t="str">
        <f t="shared" si="143"/>
        <v/>
      </c>
      <c r="E2771" t="s">
        <v>5536</v>
      </c>
      <c r="F2771" t="s">
        <v>6937</v>
      </c>
      <c r="H2771">
        <v>5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 t="shared" si="143"/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 t="shared" ref="D2773:D2804" si="145"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 t="shared" si="145"/>
        <v/>
      </c>
      <c r="E2774" t="s">
        <v>5542</v>
      </c>
      <c r="F2774" t="str">
        <f>LEFT(C2774,7)</f>
        <v>1120197</v>
      </c>
    </row>
    <row r="2775" spans="1:9" x14ac:dyDescent="0.25">
      <c r="A2775">
        <v>20076</v>
      </c>
      <c r="B2775" t="s">
        <v>7</v>
      </c>
      <c r="C2775" t="s">
        <v>5543</v>
      </c>
      <c r="D2775" t="str">
        <f t="shared" si="145"/>
        <v/>
      </c>
      <c r="E2775" t="s">
        <v>5544</v>
      </c>
      <c r="F2775" t="s">
        <v>6937</v>
      </c>
      <c r="H2775">
        <v>5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 t="shared" si="145"/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 t="shared" si="145"/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 t="shared" si="145"/>
        <v/>
      </c>
      <c r="E2778" t="s">
        <v>5550</v>
      </c>
      <c r="F2778" t="str">
        <f>LEFT(C2778,7)</f>
        <v>1120188</v>
      </c>
    </row>
    <row r="2779" spans="1:9" x14ac:dyDescent="0.25">
      <c r="A2779">
        <v>20080</v>
      </c>
      <c r="B2779" t="s">
        <v>7</v>
      </c>
      <c r="C2779" t="s">
        <v>5551</v>
      </c>
      <c r="D2779" t="str">
        <f t="shared" si="145"/>
        <v/>
      </c>
      <c r="E2779" t="s">
        <v>5552</v>
      </c>
      <c r="F2779" t="s">
        <v>6938</v>
      </c>
      <c r="H2779">
        <v>5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 t="shared" si="145"/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 t="shared" si="145"/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 t="shared" si="145"/>
        <v/>
      </c>
      <c r="E2782" t="s">
        <v>5558</v>
      </c>
      <c r="F2782" t="str">
        <f>LEFT(C2782,7)</f>
        <v>1120202</v>
      </c>
    </row>
    <row r="2783" spans="1:9" x14ac:dyDescent="0.25">
      <c r="A2783">
        <v>20084</v>
      </c>
      <c r="B2783" t="s">
        <v>7</v>
      </c>
      <c r="C2783" t="s">
        <v>5559</v>
      </c>
      <c r="D2783" t="str">
        <f t="shared" si="145"/>
        <v/>
      </c>
      <c r="E2783" t="s">
        <v>5560</v>
      </c>
      <c r="F2783" t="s">
        <v>6938</v>
      </c>
      <c r="H2783">
        <v>5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 t="shared" si="145"/>
        <v/>
      </c>
      <c r="E2784" t="s">
        <v>5562</v>
      </c>
      <c r="F2784" t="str">
        <f t="shared" ref="F2784:F2795" si="146">LEFT(C2784,7)</f>
        <v>1120203</v>
      </c>
    </row>
    <row r="2785" spans="1:9" hidden="1" x14ac:dyDescent="0.25">
      <c r="A2785">
        <v>20086</v>
      </c>
      <c r="B2785" t="s">
        <v>10</v>
      </c>
      <c r="C2785" t="s">
        <v>5563</v>
      </c>
      <c r="D2785" t="str">
        <f t="shared" si="145"/>
        <v/>
      </c>
      <c r="E2785" t="s">
        <v>5564</v>
      </c>
      <c r="F2785" t="str">
        <f t="shared" si="146"/>
        <v>1120203</v>
      </c>
    </row>
    <row r="2786" spans="1:9" hidden="1" x14ac:dyDescent="0.25">
      <c r="A2786">
        <v>20087</v>
      </c>
      <c r="B2786" t="s">
        <v>10</v>
      </c>
      <c r="C2786" t="s">
        <v>5565</v>
      </c>
      <c r="D2786" t="str">
        <f t="shared" si="145"/>
        <v/>
      </c>
      <c r="E2786" t="s">
        <v>5566</v>
      </c>
      <c r="F2786" t="str">
        <f t="shared" si="146"/>
        <v>1120203</v>
      </c>
    </row>
    <row r="2787" spans="1:9" x14ac:dyDescent="0.25">
      <c r="A2787">
        <v>20088</v>
      </c>
      <c r="B2787" t="s">
        <v>7</v>
      </c>
      <c r="C2787" t="s">
        <v>5567</v>
      </c>
      <c r="D2787" t="str">
        <f t="shared" si="145"/>
        <v/>
      </c>
      <c r="E2787" t="s">
        <v>5568</v>
      </c>
      <c r="F2787" t="str">
        <f t="shared" si="146"/>
        <v>1120445</v>
      </c>
      <c r="H2787">
        <v>4</v>
      </c>
      <c r="I2787">
        <v>1</v>
      </c>
    </row>
    <row r="2788" spans="1:9" hidden="1" x14ac:dyDescent="0.25">
      <c r="A2788">
        <v>20089</v>
      </c>
      <c r="B2788" t="s">
        <v>10</v>
      </c>
      <c r="C2788" t="s">
        <v>5569</v>
      </c>
      <c r="D2788" t="str">
        <f t="shared" si="145"/>
        <v/>
      </c>
      <c r="E2788" t="s">
        <v>5570</v>
      </c>
      <c r="F2788" t="str">
        <f t="shared" si="146"/>
        <v>1120445</v>
      </c>
    </row>
    <row r="2789" spans="1:9" hidden="1" x14ac:dyDescent="0.25">
      <c r="A2789">
        <v>20094</v>
      </c>
      <c r="B2789" t="s">
        <v>10</v>
      </c>
      <c r="C2789" t="s">
        <v>5571</v>
      </c>
      <c r="D2789" t="str">
        <f t="shared" si="145"/>
        <v/>
      </c>
      <c r="E2789" t="s">
        <v>5572</v>
      </c>
      <c r="F2789" t="str">
        <f t="shared" si="146"/>
        <v>1120445</v>
      </c>
    </row>
    <row r="2790" spans="1:9" hidden="1" x14ac:dyDescent="0.25">
      <c r="A2790">
        <v>20095</v>
      </c>
      <c r="B2790" t="s">
        <v>10</v>
      </c>
      <c r="C2790" t="s">
        <v>5573</v>
      </c>
      <c r="D2790" t="str">
        <f t="shared" si="145"/>
        <v/>
      </c>
      <c r="E2790" t="s">
        <v>5574</v>
      </c>
      <c r="F2790" t="str">
        <f t="shared" si="146"/>
        <v>1120445</v>
      </c>
    </row>
    <row r="2791" spans="1:9" hidden="1" x14ac:dyDescent="0.25">
      <c r="A2791">
        <v>20096</v>
      </c>
      <c r="B2791" t="s">
        <v>10</v>
      </c>
      <c r="C2791" t="s">
        <v>5575</v>
      </c>
      <c r="D2791" t="str">
        <f t="shared" si="145"/>
        <v/>
      </c>
      <c r="E2791" t="s">
        <v>5576</v>
      </c>
      <c r="F2791" t="str">
        <f t="shared" si="146"/>
        <v>1120445</v>
      </c>
    </row>
    <row r="2792" spans="1:9" hidden="1" x14ac:dyDescent="0.25">
      <c r="A2792">
        <v>20097</v>
      </c>
      <c r="B2792" t="s">
        <v>10</v>
      </c>
      <c r="C2792" t="s">
        <v>5577</v>
      </c>
      <c r="D2792" t="str">
        <f t="shared" si="145"/>
        <v/>
      </c>
      <c r="E2792" t="s">
        <v>5578</v>
      </c>
      <c r="F2792" t="str">
        <f t="shared" si="146"/>
        <v>1120445</v>
      </c>
    </row>
    <row r="2793" spans="1:9" hidden="1" x14ac:dyDescent="0.25">
      <c r="A2793">
        <v>20098</v>
      </c>
      <c r="B2793" t="s">
        <v>10</v>
      </c>
      <c r="C2793" t="s">
        <v>5579</v>
      </c>
      <c r="D2793" t="str">
        <f t="shared" si="145"/>
        <v/>
      </c>
      <c r="E2793" t="s">
        <v>5580</v>
      </c>
      <c r="F2793" t="str">
        <f t="shared" si="146"/>
        <v>1120445</v>
      </c>
    </row>
    <row r="2794" spans="1:9" hidden="1" x14ac:dyDescent="0.25">
      <c r="A2794">
        <v>20099</v>
      </c>
      <c r="B2794" t="s">
        <v>10</v>
      </c>
      <c r="C2794" t="s">
        <v>5581</v>
      </c>
      <c r="D2794" t="str">
        <f t="shared" si="145"/>
        <v/>
      </c>
      <c r="E2794" t="s">
        <v>5582</v>
      </c>
      <c r="F2794" t="str">
        <f t="shared" si="146"/>
        <v>1120445</v>
      </c>
    </row>
    <row r="2795" spans="1:9" hidden="1" x14ac:dyDescent="0.25">
      <c r="A2795">
        <v>20100</v>
      </c>
      <c r="B2795" t="s">
        <v>10</v>
      </c>
      <c r="C2795" t="s">
        <v>5583</v>
      </c>
      <c r="D2795" t="str">
        <f t="shared" si="145"/>
        <v/>
      </c>
      <c r="E2795" t="s">
        <v>5584</v>
      </c>
      <c r="F2795" t="str">
        <f t="shared" si="146"/>
        <v>1120445</v>
      </c>
    </row>
    <row r="2796" spans="1:9" x14ac:dyDescent="0.25">
      <c r="A2796">
        <v>20101</v>
      </c>
      <c r="B2796" t="s">
        <v>7</v>
      </c>
      <c r="C2796" t="s">
        <v>5585</v>
      </c>
      <c r="D2796" t="str">
        <f t="shared" si="145"/>
        <v/>
      </c>
      <c r="E2796" t="s">
        <v>5586</v>
      </c>
      <c r="F2796" t="s">
        <v>6910</v>
      </c>
      <c r="H2796">
        <v>4</v>
      </c>
      <c r="I2796">
        <v>1</v>
      </c>
    </row>
    <row r="2797" spans="1:9" hidden="1" x14ac:dyDescent="0.25">
      <c r="A2797">
        <v>20102</v>
      </c>
      <c r="B2797" t="s">
        <v>10</v>
      </c>
      <c r="C2797" t="s">
        <v>5587</v>
      </c>
      <c r="D2797" t="str">
        <f t="shared" si="145"/>
        <v/>
      </c>
      <c r="E2797" t="s">
        <v>5588</v>
      </c>
      <c r="F2797" t="str">
        <f>LEFT(C2797,7)</f>
        <v>1120446</v>
      </c>
    </row>
    <row r="2798" spans="1:9" hidden="1" x14ac:dyDescent="0.25">
      <c r="A2798">
        <v>20103</v>
      </c>
      <c r="B2798" t="s">
        <v>10</v>
      </c>
      <c r="C2798" t="s">
        <v>5589</v>
      </c>
      <c r="D2798" t="str">
        <f t="shared" si="145"/>
        <v/>
      </c>
      <c r="E2798" t="s">
        <v>5590</v>
      </c>
      <c r="F2798" t="str">
        <f>LEFT(C2798,7)</f>
        <v>1120446</v>
      </c>
    </row>
    <row r="2799" spans="1:9" hidden="1" x14ac:dyDescent="0.25">
      <c r="A2799">
        <v>20104</v>
      </c>
      <c r="B2799" t="s">
        <v>10</v>
      </c>
      <c r="C2799" t="s">
        <v>5591</v>
      </c>
      <c r="D2799" t="str">
        <f t="shared" si="145"/>
        <v/>
      </c>
      <c r="E2799" t="s">
        <v>5592</v>
      </c>
      <c r="F2799" t="str">
        <f>LEFT(C2799,7)</f>
        <v>1120446</v>
      </c>
    </row>
    <row r="2800" spans="1:9" x14ac:dyDescent="0.25">
      <c r="A2800">
        <v>20105</v>
      </c>
      <c r="B2800" t="s">
        <v>7</v>
      </c>
      <c r="C2800" t="s">
        <v>5593</v>
      </c>
      <c r="D2800" t="str">
        <f t="shared" si="145"/>
        <v/>
      </c>
      <c r="E2800" t="s">
        <v>5594</v>
      </c>
      <c r="F2800" t="s">
        <v>6910</v>
      </c>
      <c r="H2800">
        <v>4</v>
      </c>
      <c r="I2800">
        <v>1</v>
      </c>
    </row>
    <row r="2801" spans="1:9" hidden="1" x14ac:dyDescent="0.25">
      <c r="A2801">
        <v>20106</v>
      </c>
      <c r="B2801" t="s">
        <v>10</v>
      </c>
      <c r="C2801" t="s">
        <v>5595</v>
      </c>
      <c r="D2801" t="str">
        <f t="shared" si="145"/>
        <v/>
      </c>
      <c r="E2801" t="s">
        <v>5596</v>
      </c>
      <c r="F2801" t="str">
        <f>LEFT(C2801,7)</f>
        <v>1120433</v>
      </c>
    </row>
    <row r="2802" spans="1:9" hidden="1" x14ac:dyDescent="0.25">
      <c r="A2802">
        <v>20107</v>
      </c>
      <c r="B2802" t="s">
        <v>10</v>
      </c>
      <c r="C2802" t="s">
        <v>5597</v>
      </c>
      <c r="D2802" t="str">
        <f t="shared" si="145"/>
        <v/>
      </c>
      <c r="E2802" t="s">
        <v>5598</v>
      </c>
      <c r="F2802" t="str">
        <f>LEFT(C2802,7)</f>
        <v>1120433</v>
      </c>
    </row>
    <row r="2803" spans="1:9" hidden="1" x14ac:dyDescent="0.25">
      <c r="A2803">
        <v>20108</v>
      </c>
      <c r="B2803" t="s">
        <v>10</v>
      </c>
      <c r="C2803" t="s">
        <v>5599</v>
      </c>
      <c r="D2803" t="str">
        <f t="shared" si="145"/>
        <v/>
      </c>
      <c r="E2803" t="s">
        <v>5600</v>
      </c>
      <c r="F2803" t="str">
        <f>LEFT(C2803,7)</f>
        <v>1120433</v>
      </c>
    </row>
    <row r="2804" spans="1:9" x14ac:dyDescent="0.25">
      <c r="A2804">
        <v>20109</v>
      </c>
      <c r="B2804" t="s">
        <v>7</v>
      </c>
      <c r="C2804" t="s">
        <v>5601</v>
      </c>
      <c r="D2804" t="str">
        <f t="shared" si="145"/>
        <v/>
      </c>
      <c r="E2804" t="s">
        <v>5602</v>
      </c>
      <c r="F2804" t="s">
        <v>6910</v>
      </c>
      <c r="H2804">
        <v>4</v>
      </c>
      <c r="I2804">
        <v>1</v>
      </c>
    </row>
    <row r="2805" spans="1:9" hidden="1" x14ac:dyDescent="0.25">
      <c r="A2805">
        <v>20110</v>
      </c>
      <c r="B2805" t="s">
        <v>10</v>
      </c>
      <c r="C2805" t="s">
        <v>5603</v>
      </c>
      <c r="D2805" t="str">
        <f t="shared" ref="D2805:D2832" si="147">IF(RIGHT(LEFT(C2805,9),2)="##","",RIGHT(LEFT(C2805,10),2))</f>
        <v/>
      </c>
      <c r="E2805" t="s">
        <v>5604</v>
      </c>
      <c r="F2805" t="str">
        <f>LEFT(C2805,7)</f>
        <v>1120434</v>
      </c>
    </row>
    <row r="2806" spans="1:9" hidden="1" x14ac:dyDescent="0.25">
      <c r="A2806">
        <v>20111</v>
      </c>
      <c r="B2806" t="s">
        <v>10</v>
      </c>
      <c r="C2806" t="s">
        <v>5605</v>
      </c>
      <c r="D2806" t="str">
        <f t="shared" si="147"/>
        <v/>
      </c>
      <c r="E2806" t="s">
        <v>5606</v>
      </c>
      <c r="F2806" t="str">
        <f>LEFT(C2806,7)</f>
        <v>1120434</v>
      </c>
    </row>
    <row r="2807" spans="1:9" hidden="1" x14ac:dyDescent="0.25">
      <c r="A2807">
        <v>20112</v>
      </c>
      <c r="B2807" t="s">
        <v>10</v>
      </c>
      <c r="C2807" t="s">
        <v>5607</v>
      </c>
      <c r="D2807" t="str">
        <f t="shared" si="147"/>
        <v/>
      </c>
      <c r="E2807" t="s">
        <v>5608</v>
      </c>
      <c r="F2807" t="str">
        <f>LEFT(C2807,7)</f>
        <v>1120434</v>
      </c>
    </row>
    <row r="2808" spans="1:9" x14ac:dyDescent="0.25">
      <c r="A2808">
        <v>20113</v>
      </c>
      <c r="B2808" t="s">
        <v>7</v>
      </c>
      <c r="C2808" t="s">
        <v>5609</v>
      </c>
      <c r="D2808" t="str">
        <f t="shared" si="147"/>
        <v/>
      </c>
      <c r="E2808" t="s">
        <v>5610</v>
      </c>
      <c r="F2808" t="s">
        <v>6912</v>
      </c>
      <c r="H2808">
        <v>4</v>
      </c>
      <c r="I2808">
        <v>1</v>
      </c>
    </row>
    <row r="2809" spans="1:9" hidden="1" x14ac:dyDescent="0.25">
      <c r="A2809">
        <v>20114</v>
      </c>
      <c r="B2809" t="s">
        <v>10</v>
      </c>
      <c r="C2809" t="s">
        <v>5611</v>
      </c>
      <c r="D2809" t="str">
        <f t="shared" si="147"/>
        <v/>
      </c>
      <c r="E2809" t="s">
        <v>5612</v>
      </c>
      <c r="F2809" t="str">
        <f>LEFT(C2809,7)</f>
        <v>1120641</v>
      </c>
    </row>
    <row r="2810" spans="1:9" hidden="1" x14ac:dyDescent="0.25">
      <c r="A2810">
        <v>20115</v>
      </c>
      <c r="B2810" t="s">
        <v>10</v>
      </c>
      <c r="C2810" t="s">
        <v>5613</v>
      </c>
      <c r="D2810" t="str">
        <f t="shared" si="147"/>
        <v/>
      </c>
      <c r="E2810" t="s">
        <v>5614</v>
      </c>
      <c r="F2810" t="str">
        <f>LEFT(C2810,7)</f>
        <v>1120641</v>
      </c>
    </row>
    <row r="2811" spans="1:9" hidden="1" x14ac:dyDescent="0.25">
      <c r="A2811">
        <v>20116</v>
      </c>
      <c r="B2811" t="s">
        <v>10</v>
      </c>
      <c r="C2811" t="s">
        <v>5615</v>
      </c>
      <c r="D2811" t="str">
        <f t="shared" si="147"/>
        <v/>
      </c>
      <c r="E2811" t="s">
        <v>5616</v>
      </c>
      <c r="F2811" t="str">
        <f>LEFT(C2811,7)</f>
        <v>1120641</v>
      </c>
    </row>
    <row r="2812" spans="1:9" x14ac:dyDescent="0.25">
      <c r="A2812">
        <v>20117</v>
      </c>
      <c r="B2812" t="s">
        <v>7</v>
      </c>
      <c r="C2812" t="s">
        <v>5617</v>
      </c>
      <c r="D2812" t="str">
        <f t="shared" si="147"/>
        <v/>
      </c>
      <c r="E2812" t="s">
        <v>5618</v>
      </c>
      <c r="F2812" t="s">
        <v>6912</v>
      </c>
      <c r="H2812">
        <v>4</v>
      </c>
      <c r="I2812">
        <v>1</v>
      </c>
    </row>
    <row r="2813" spans="1:9" hidden="1" x14ac:dyDescent="0.25">
      <c r="A2813">
        <v>20118</v>
      </c>
      <c r="B2813" t="s">
        <v>10</v>
      </c>
      <c r="C2813" t="s">
        <v>5619</v>
      </c>
      <c r="D2813" t="str">
        <f t="shared" si="147"/>
        <v/>
      </c>
      <c r="E2813" t="s">
        <v>5620</v>
      </c>
      <c r="F2813" t="str">
        <f t="shared" ref="F2813:F2844" si="148">LEFT(C2813,7)</f>
        <v>1120642</v>
      </c>
    </row>
    <row r="2814" spans="1:9" hidden="1" x14ac:dyDescent="0.25">
      <c r="A2814">
        <v>20119</v>
      </c>
      <c r="B2814" t="s">
        <v>10</v>
      </c>
      <c r="C2814" t="s">
        <v>5621</v>
      </c>
      <c r="D2814" t="str">
        <f t="shared" si="147"/>
        <v/>
      </c>
      <c r="E2814" t="s">
        <v>5622</v>
      </c>
      <c r="F2814" t="str">
        <f t="shared" si="148"/>
        <v>1120642</v>
      </c>
    </row>
    <row r="2815" spans="1:9" hidden="1" x14ac:dyDescent="0.25">
      <c r="A2815">
        <v>20120</v>
      </c>
      <c r="B2815" t="s">
        <v>10</v>
      </c>
      <c r="C2815" t="s">
        <v>5623</v>
      </c>
      <c r="D2815" t="str">
        <f t="shared" si="147"/>
        <v/>
      </c>
      <c r="E2815" t="s">
        <v>5624</v>
      </c>
      <c r="F2815" t="str">
        <f t="shared" si="148"/>
        <v>1120642</v>
      </c>
    </row>
    <row r="2816" spans="1:9" hidden="1" x14ac:dyDescent="0.25">
      <c r="A2816">
        <v>20121</v>
      </c>
      <c r="B2816" t="s">
        <v>4</v>
      </c>
      <c r="C2816" t="s">
        <v>5625</v>
      </c>
      <c r="D2816" t="str">
        <f t="shared" si="147"/>
        <v/>
      </c>
      <c r="E2816" t="s">
        <v>5626</v>
      </c>
      <c r="F2816" t="str">
        <f t="shared" si="148"/>
        <v>8521014</v>
      </c>
    </row>
    <row r="2817" spans="1:9" hidden="1" x14ac:dyDescent="0.25">
      <c r="A2817">
        <v>20127</v>
      </c>
      <c r="B2817" t="s">
        <v>4</v>
      </c>
      <c r="C2817" t="s">
        <v>5627</v>
      </c>
      <c r="D2817" t="str">
        <f t="shared" si="147"/>
        <v/>
      </c>
      <c r="E2817" t="s">
        <v>5628</v>
      </c>
      <c r="F2817" t="str">
        <f t="shared" si="148"/>
        <v>8521063</v>
      </c>
    </row>
    <row r="2818" spans="1:9" hidden="1" x14ac:dyDescent="0.25">
      <c r="A2818">
        <v>20132</v>
      </c>
      <c r="B2818" t="s">
        <v>4</v>
      </c>
      <c r="C2818" t="s">
        <v>5629</v>
      </c>
      <c r="D2818" t="str">
        <f t="shared" si="147"/>
        <v/>
      </c>
      <c r="E2818" t="s">
        <v>5630</v>
      </c>
      <c r="F2818" t="str">
        <f t="shared" si="148"/>
        <v>8521036</v>
      </c>
    </row>
    <row r="2819" spans="1:9" hidden="1" x14ac:dyDescent="0.25">
      <c r="A2819">
        <v>20137</v>
      </c>
      <c r="B2819" t="s">
        <v>4</v>
      </c>
      <c r="C2819" t="s">
        <v>5631</v>
      </c>
      <c r="D2819" t="str">
        <f t="shared" si="147"/>
        <v/>
      </c>
      <c r="E2819" t="s">
        <v>5632</v>
      </c>
      <c r="F2819" t="str">
        <f t="shared" si="148"/>
        <v>8520230</v>
      </c>
    </row>
    <row r="2820" spans="1:9" hidden="1" x14ac:dyDescent="0.25">
      <c r="A2820">
        <v>20142</v>
      </c>
      <c r="B2820" t="s">
        <v>4</v>
      </c>
      <c r="C2820" t="s">
        <v>5633</v>
      </c>
      <c r="D2820" t="str">
        <f t="shared" si="147"/>
        <v/>
      </c>
      <c r="E2820" t="s">
        <v>5634</v>
      </c>
      <c r="F2820" t="str">
        <f t="shared" si="148"/>
        <v>8520162</v>
      </c>
    </row>
    <row r="2821" spans="1:9" x14ac:dyDescent="0.25">
      <c r="A2821">
        <v>20148</v>
      </c>
      <c r="B2821" t="s">
        <v>7</v>
      </c>
      <c r="C2821" t="s">
        <v>5635</v>
      </c>
      <c r="D2821" t="str">
        <f t="shared" si="147"/>
        <v/>
      </c>
      <c r="E2821" t="s">
        <v>5636</v>
      </c>
      <c r="F2821" t="str">
        <f t="shared" si="148"/>
        <v>8205051</v>
      </c>
      <c r="H2821">
        <v>10</v>
      </c>
      <c r="I2821">
        <v>1</v>
      </c>
    </row>
    <row r="2822" spans="1:9" hidden="1" x14ac:dyDescent="0.25">
      <c r="A2822">
        <v>20149</v>
      </c>
      <c r="B2822" t="s">
        <v>10</v>
      </c>
      <c r="C2822" t="s">
        <v>5637</v>
      </c>
      <c r="D2822" t="str">
        <f t="shared" si="147"/>
        <v/>
      </c>
      <c r="E2822" t="s">
        <v>5638</v>
      </c>
      <c r="F2822" t="str">
        <f t="shared" si="148"/>
        <v>8205051</v>
      </c>
    </row>
    <row r="2823" spans="1:9" hidden="1" x14ac:dyDescent="0.25">
      <c r="A2823">
        <v>20154</v>
      </c>
      <c r="B2823" t="s">
        <v>10</v>
      </c>
      <c r="C2823" t="s">
        <v>5639</v>
      </c>
      <c r="D2823" t="str">
        <f t="shared" si="147"/>
        <v/>
      </c>
      <c r="E2823" t="s">
        <v>5640</v>
      </c>
      <c r="F2823" t="str">
        <f t="shared" si="148"/>
        <v>8205051</v>
      </c>
    </row>
    <row r="2824" spans="1:9" hidden="1" x14ac:dyDescent="0.25">
      <c r="A2824">
        <v>20155</v>
      </c>
      <c r="B2824" t="s">
        <v>10</v>
      </c>
      <c r="C2824" t="s">
        <v>5641</v>
      </c>
      <c r="D2824" t="str">
        <f t="shared" si="147"/>
        <v/>
      </c>
      <c r="E2824" t="s">
        <v>5642</v>
      </c>
      <c r="F2824" t="str">
        <f t="shared" si="148"/>
        <v>8205051</v>
      </c>
    </row>
    <row r="2825" spans="1:9" hidden="1" x14ac:dyDescent="0.25">
      <c r="A2825">
        <v>20156</v>
      </c>
      <c r="B2825" t="s">
        <v>10</v>
      </c>
      <c r="C2825" t="s">
        <v>5643</v>
      </c>
      <c r="D2825" t="str">
        <f t="shared" si="147"/>
        <v/>
      </c>
      <c r="E2825" t="s">
        <v>5644</v>
      </c>
      <c r="F2825" t="str">
        <f t="shared" si="148"/>
        <v>8205051</v>
      </c>
    </row>
    <row r="2826" spans="1:9" hidden="1" x14ac:dyDescent="0.25">
      <c r="A2826">
        <v>20157</v>
      </c>
      <c r="B2826" t="s">
        <v>10</v>
      </c>
      <c r="C2826" t="s">
        <v>5645</v>
      </c>
      <c r="D2826" t="str">
        <f t="shared" si="147"/>
        <v/>
      </c>
      <c r="E2826" t="s">
        <v>5646</v>
      </c>
      <c r="F2826" t="str">
        <f t="shared" si="148"/>
        <v>8205051</v>
      </c>
    </row>
    <row r="2827" spans="1:9" hidden="1" x14ac:dyDescent="0.25">
      <c r="A2827">
        <v>20158</v>
      </c>
      <c r="B2827" t="s">
        <v>10</v>
      </c>
      <c r="C2827" t="s">
        <v>5647</v>
      </c>
      <c r="D2827" t="str">
        <f t="shared" si="147"/>
        <v/>
      </c>
      <c r="E2827" t="s">
        <v>5648</v>
      </c>
      <c r="F2827" t="str">
        <f t="shared" si="148"/>
        <v>8205051</v>
      </c>
    </row>
    <row r="2828" spans="1:9" hidden="1" x14ac:dyDescent="0.25">
      <c r="A2828">
        <v>20159</v>
      </c>
      <c r="B2828" t="s">
        <v>10</v>
      </c>
      <c r="C2828" t="s">
        <v>5649</v>
      </c>
      <c r="D2828" t="str">
        <f t="shared" si="147"/>
        <v/>
      </c>
      <c r="E2828" t="s">
        <v>5650</v>
      </c>
      <c r="F2828" t="str">
        <f t="shared" si="148"/>
        <v>8205051</v>
      </c>
    </row>
    <row r="2829" spans="1:9" hidden="1" x14ac:dyDescent="0.25">
      <c r="A2829">
        <v>20160</v>
      </c>
      <c r="B2829" t="s">
        <v>10</v>
      </c>
      <c r="C2829" t="s">
        <v>5651</v>
      </c>
      <c r="D2829" t="str">
        <f t="shared" si="147"/>
        <v/>
      </c>
      <c r="E2829" t="s">
        <v>5652</v>
      </c>
      <c r="F2829" t="str">
        <f t="shared" si="148"/>
        <v>8205051</v>
      </c>
    </row>
    <row r="2830" spans="1:9" hidden="1" x14ac:dyDescent="0.25">
      <c r="A2830">
        <v>20161</v>
      </c>
      <c r="B2830" t="s">
        <v>10</v>
      </c>
      <c r="C2830" t="s">
        <v>5653</v>
      </c>
      <c r="D2830" t="str">
        <f t="shared" si="147"/>
        <v/>
      </c>
      <c r="E2830" t="s">
        <v>5654</v>
      </c>
      <c r="F2830" t="str">
        <f t="shared" si="148"/>
        <v>8205051</v>
      </c>
    </row>
    <row r="2831" spans="1:9" hidden="1" x14ac:dyDescent="0.25">
      <c r="A2831">
        <v>20162</v>
      </c>
      <c r="B2831" t="s">
        <v>10</v>
      </c>
      <c r="C2831" t="s">
        <v>5655</v>
      </c>
      <c r="D2831" t="str">
        <f t="shared" si="147"/>
        <v/>
      </c>
      <c r="E2831" t="s">
        <v>5656</v>
      </c>
      <c r="F2831" t="str">
        <f t="shared" si="148"/>
        <v>8205051</v>
      </c>
    </row>
    <row r="2832" spans="1:9" hidden="1" x14ac:dyDescent="0.25">
      <c r="A2832">
        <v>20163</v>
      </c>
      <c r="B2832" t="s">
        <v>10</v>
      </c>
      <c r="C2832" t="s">
        <v>5657</v>
      </c>
      <c r="D2832" t="str">
        <f t="shared" si="147"/>
        <v/>
      </c>
      <c r="E2832" t="s">
        <v>5658</v>
      </c>
      <c r="F2832" t="str">
        <f t="shared" si="148"/>
        <v>8205051</v>
      </c>
    </row>
    <row r="2833" spans="1:9" hidden="1" x14ac:dyDescent="0.25">
      <c r="A2833">
        <v>20164</v>
      </c>
      <c r="B2833" t="s">
        <v>7</v>
      </c>
      <c r="C2833" t="s">
        <v>5659</v>
      </c>
      <c r="D2833" t="s">
        <v>6906</v>
      </c>
      <c r="E2833" t="s">
        <v>5660</v>
      </c>
      <c r="F2833" t="str">
        <f t="shared" si="148"/>
        <v>8708815</v>
      </c>
      <c r="H2833">
        <f>SUBTOTAL(9,H2834:H2841)</f>
        <v>0</v>
      </c>
    </row>
    <row r="2834" spans="1:9" hidden="1" x14ac:dyDescent="0.25">
      <c r="A2834">
        <v>20165</v>
      </c>
      <c r="B2834" t="s">
        <v>10</v>
      </c>
      <c r="C2834" t="s">
        <v>5661</v>
      </c>
      <c r="D2834" t="str">
        <f t="shared" ref="D2834:D2852" si="149">IF(RIGHT(LEFT(C2834,9),2)="##","",RIGHT(LEFT(C2834,10),2))</f>
        <v>01</v>
      </c>
      <c r="E2834" t="s">
        <v>5662</v>
      </c>
      <c r="F2834" t="str">
        <f t="shared" si="148"/>
        <v>8708815</v>
      </c>
      <c r="H2834">
        <v>1</v>
      </c>
    </row>
    <row r="2835" spans="1:9" hidden="1" x14ac:dyDescent="0.25">
      <c r="A2835">
        <v>20166</v>
      </c>
      <c r="B2835" t="s">
        <v>10</v>
      </c>
      <c r="C2835" t="s">
        <v>5663</v>
      </c>
      <c r="D2835" t="str">
        <f t="shared" si="149"/>
        <v>03</v>
      </c>
      <c r="E2835" t="s">
        <v>5664</v>
      </c>
      <c r="F2835" t="str">
        <f t="shared" si="148"/>
        <v>8708815</v>
      </c>
      <c r="H2835">
        <v>1</v>
      </c>
    </row>
    <row r="2836" spans="1:9" hidden="1" x14ac:dyDescent="0.25">
      <c r="A2836">
        <v>20167</v>
      </c>
      <c r="B2836" t="s">
        <v>10</v>
      </c>
      <c r="C2836" t="s">
        <v>5665</v>
      </c>
      <c r="D2836" t="str">
        <f t="shared" si="149"/>
        <v>04</v>
      </c>
      <c r="E2836" t="s">
        <v>5666</v>
      </c>
      <c r="F2836" t="str">
        <f t="shared" si="148"/>
        <v>8708815</v>
      </c>
      <c r="H2836">
        <v>1</v>
      </c>
    </row>
    <row r="2837" spans="1:9" hidden="1" x14ac:dyDescent="0.25">
      <c r="A2837">
        <v>20168</v>
      </c>
      <c r="B2837" t="s">
        <v>10</v>
      </c>
      <c r="C2837" t="s">
        <v>5667</v>
      </c>
      <c r="D2837" t="str">
        <f t="shared" si="149"/>
        <v>06</v>
      </c>
      <c r="E2837" t="s">
        <v>5668</v>
      </c>
      <c r="F2837" t="str">
        <f t="shared" si="148"/>
        <v>8708815</v>
      </c>
      <c r="H2837">
        <v>1</v>
      </c>
    </row>
    <row r="2838" spans="1:9" hidden="1" x14ac:dyDescent="0.25">
      <c r="A2838">
        <v>20169</v>
      </c>
      <c r="B2838" t="s">
        <v>10</v>
      </c>
      <c r="C2838" t="s">
        <v>5669</v>
      </c>
      <c r="D2838" t="str">
        <f t="shared" si="149"/>
        <v>08</v>
      </c>
      <c r="E2838" t="s">
        <v>5670</v>
      </c>
      <c r="F2838" t="str">
        <f t="shared" si="148"/>
        <v>8708815</v>
      </c>
      <c r="H2838">
        <v>1</v>
      </c>
    </row>
    <row r="2839" spans="1:9" hidden="1" x14ac:dyDescent="0.25">
      <c r="A2839">
        <v>20170</v>
      </c>
      <c r="B2839" t="s">
        <v>10</v>
      </c>
      <c r="C2839" t="s">
        <v>5671</v>
      </c>
      <c r="D2839" t="str">
        <f t="shared" si="149"/>
        <v>09</v>
      </c>
      <c r="E2839" t="s">
        <v>5672</v>
      </c>
      <c r="F2839" t="str">
        <f t="shared" si="148"/>
        <v>8708815</v>
      </c>
      <c r="H2839">
        <v>1</v>
      </c>
    </row>
    <row r="2840" spans="1:9" hidden="1" x14ac:dyDescent="0.25">
      <c r="A2840">
        <v>20171</v>
      </c>
      <c r="B2840" t="s">
        <v>10</v>
      </c>
      <c r="C2840" t="s">
        <v>5673</v>
      </c>
      <c r="D2840" t="str">
        <f t="shared" si="149"/>
        <v>10</v>
      </c>
      <c r="E2840" t="s">
        <v>5674</v>
      </c>
      <c r="F2840" t="str">
        <f t="shared" si="148"/>
        <v>8708815</v>
      </c>
      <c r="H2840">
        <v>1</v>
      </c>
    </row>
    <row r="2841" spans="1:9" hidden="1" x14ac:dyDescent="0.25">
      <c r="A2841">
        <v>20172</v>
      </c>
      <c r="B2841" t="s">
        <v>10</v>
      </c>
      <c r="C2841" t="s">
        <v>5675</v>
      </c>
      <c r="D2841" t="str">
        <f t="shared" si="149"/>
        <v>11</v>
      </c>
      <c r="E2841" t="s">
        <v>5676</v>
      </c>
      <c r="F2841" t="str">
        <f t="shared" si="148"/>
        <v>8708815</v>
      </c>
      <c r="H2841">
        <v>1</v>
      </c>
    </row>
    <row r="2842" spans="1:9" hidden="1" x14ac:dyDescent="0.25">
      <c r="A2842">
        <v>20173</v>
      </c>
      <c r="B2842" t="s">
        <v>4</v>
      </c>
      <c r="C2842" t="s">
        <v>5677</v>
      </c>
      <c r="D2842" t="str">
        <f t="shared" si="149"/>
        <v/>
      </c>
      <c r="E2842" t="s">
        <v>5678</v>
      </c>
      <c r="F2842" t="str">
        <f t="shared" si="148"/>
        <v>8520513</v>
      </c>
    </row>
    <row r="2843" spans="1:9" hidden="1" x14ac:dyDescent="0.25">
      <c r="A2843">
        <v>20177</v>
      </c>
      <c r="B2843" t="s">
        <v>4</v>
      </c>
      <c r="C2843" t="s">
        <v>5679</v>
      </c>
      <c r="D2843" t="str">
        <f t="shared" si="149"/>
        <v/>
      </c>
      <c r="E2843" t="s">
        <v>5680</v>
      </c>
      <c r="F2843" t="str">
        <f t="shared" si="148"/>
        <v>8708001</v>
      </c>
    </row>
    <row r="2844" spans="1:9" x14ac:dyDescent="0.25">
      <c r="A2844">
        <v>20183</v>
      </c>
      <c r="B2844" t="s">
        <v>7</v>
      </c>
      <c r="C2844" t="s">
        <v>5681</v>
      </c>
      <c r="D2844" t="str">
        <f t="shared" si="149"/>
        <v/>
      </c>
      <c r="E2844" t="s">
        <v>5682</v>
      </c>
      <c r="F2844" t="str">
        <f t="shared" si="148"/>
        <v>2103495</v>
      </c>
      <c r="I2844">
        <v>1</v>
      </c>
    </row>
    <row r="2845" spans="1:9" hidden="1" x14ac:dyDescent="0.25">
      <c r="A2845">
        <v>20184</v>
      </c>
      <c r="B2845" t="s">
        <v>10</v>
      </c>
      <c r="C2845" t="s">
        <v>5683</v>
      </c>
      <c r="D2845" t="str">
        <f t="shared" si="149"/>
        <v/>
      </c>
      <c r="E2845" t="s">
        <v>5684</v>
      </c>
      <c r="F2845" t="str">
        <f t="shared" ref="F2845:F2876" si="150">LEFT(C2845,7)</f>
        <v>2103495</v>
      </c>
    </row>
    <row r="2846" spans="1:9" hidden="1" x14ac:dyDescent="0.25">
      <c r="A2846">
        <v>20189</v>
      </c>
      <c r="B2846" t="s">
        <v>10</v>
      </c>
      <c r="C2846" t="s">
        <v>5685</v>
      </c>
      <c r="D2846" t="str">
        <f t="shared" si="149"/>
        <v/>
      </c>
      <c r="E2846" t="s">
        <v>5686</v>
      </c>
      <c r="F2846" t="str">
        <f t="shared" si="150"/>
        <v>2103495</v>
      </c>
    </row>
    <row r="2847" spans="1:9" hidden="1" x14ac:dyDescent="0.25">
      <c r="A2847">
        <v>20190</v>
      </c>
      <c r="B2847" t="s">
        <v>10</v>
      </c>
      <c r="C2847" t="s">
        <v>5687</v>
      </c>
      <c r="D2847" t="str">
        <f t="shared" si="149"/>
        <v/>
      </c>
      <c r="E2847" t="s">
        <v>5688</v>
      </c>
      <c r="F2847" t="str">
        <f t="shared" si="150"/>
        <v>2103495</v>
      </c>
    </row>
    <row r="2848" spans="1:9" hidden="1" x14ac:dyDescent="0.25">
      <c r="A2848">
        <v>20191</v>
      </c>
      <c r="B2848" t="s">
        <v>10</v>
      </c>
      <c r="C2848" t="s">
        <v>5689</v>
      </c>
      <c r="D2848" t="str">
        <f t="shared" si="149"/>
        <v/>
      </c>
      <c r="E2848" t="s">
        <v>5690</v>
      </c>
      <c r="F2848" t="str">
        <f t="shared" si="150"/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 t="shared" si="149"/>
        <v/>
      </c>
      <c r="E2849" t="s">
        <v>5692</v>
      </c>
      <c r="F2849" t="str">
        <f t="shared" si="150"/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 t="shared" si="149"/>
        <v/>
      </c>
      <c r="E2850" t="s">
        <v>5694</v>
      </c>
      <c r="F2850" t="str">
        <f t="shared" si="150"/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 t="shared" si="149"/>
        <v/>
      </c>
      <c r="E2851" t="s">
        <v>5696</v>
      </c>
      <c r="F2851" t="str">
        <f t="shared" si="150"/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 t="shared" si="149"/>
        <v/>
      </c>
      <c r="E2852" t="s">
        <v>5698</v>
      </c>
      <c r="F2852" t="str">
        <f t="shared" si="150"/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6906</v>
      </c>
      <c r="E2853" t="s">
        <v>5700</v>
      </c>
      <c r="F2853" t="str">
        <f t="shared" si="150"/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 t="shared" ref="D2854:D2862" si="151">IF(RIGHT(LEFT(C2854,9),2)="##","",RIGHT(LEFT(C2854,10),2))</f>
        <v>03</v>
      </c>
      <c r="E2854" t="s">
        <v>5702</v>
      </c>
      <c r="F2854" t="str">
        <f t="shared" si="150"/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 t="shared" si="151"/>
        <v>09</v>
      </c>
      <c r="E2855" t="s">
        <v>5704</v>
      </c>
      <c r="F2855" t="str">
        <f t="shared" si="150"/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 t="shared" si="151"/>
        <v>06</v>
      </c>
      <c r="E2856" t="s">
        <v>5706</v>
      </c>
      <c r="F2856" t="str">
        <f t="shared" si="150"/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 t="shared" si="151"/>
        <v/>
      </c>
      <c r="E2857" t="s">
        <v>5708</v>
      </c>
      <c r="F2857" t="str">
        <f t="shared" si="150"/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 t="shared" si="151"/>
        <v/>
      </c>
      <c r="E2858" t="s">
        <v>5710</v>
      </c>
      <c r="F2858" t="str">
        <f t="shared" si="150"/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 t="shared" si="151"/>
        <v/>
      </c>
      <c r="E2859" t="s">
        <v>5712</v>
      </c>
      <c r="F2859" t="str">
        <f t="shared" si="150"/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 t="shared" si="151"/>
        <v/>
      </c>
      <c r="E2860" t="s">
        <v>5714</v>
      </c>
      <c r="F2860" t="str">
        <f t="shared" si="150"/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 t="shared" si="151"/>
        <v/>
      </c>
      <c r="E2861" t="s">
        <v>5716</v>
      </c>
      <c r="F2861" t="str">
        <f t="shared" si="150"/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 t="shared" si="151"/>
        <v/>
      </c>
      <c r="E2862" t="s">
        <v>5718</v>
      </c>
      <c r="F2862" t="str">
        <f t="shared" si="150"/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6906</v>
      </c>
      <c r="E2863" t="s">
        <v>5720</v>
      </c>
      <c r="F2863" t="str">
        <f t="shared" si="150"/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 t="shared" ref="D2864:D2874" si="152">IF(RIGHT(LEFT(C2864,9),2)="##","",RIGHT(LEFT(C2864,10),2))</f>
        <v>03</v>
      </c>
      <c r="E2864" t="s">
        <v>5722</v>
      </c>
      <c r="F2864" t="str">
        <f t="shared" si="150"/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 t="shared" si="152"/>
        <v>05</v>
      </c>
      <c r="E2865" t="s">
        <v>5724</v>
      </c>
      <c r="F2865" t="str">
        <f t="shared" si="150"/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 t="shared" si="152"/>
        <v>06</v>
      </c>
      <c r="E2866" t="s">
        <v>5726</v>
      </c>
      <c r="F2866" t="str">
        <f t="shared" si="150"/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 t="shared" si="152"/>
        <v>07</v>
      </c>
      <c r="E2867" t="s">
        <v>5728</v>
      </c>
      <c r="F2867" t="str">
        <f t="shared" si="150"/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 t="shared" si="152"/>
        <v>08</v>
      </c>
      <c r="E2868" t="s">
        <v>5730</v>
      </c>
      <c r="F2868" t="str">
        <f t="shared" si="150"/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 t="shared" si="152"/>
        <v>09</v>
      </c>
      <c r="E2869" t="s">
        <v>5732</v>
      </c>
      <c r="F2869" t="str">
        <f t="shared" si="150"/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 t="shared" si="152"/>
        <v>10</v>
      </c>
      <c r="E2870" t="s">
        <v>5734</v>
      </c>
      <c r="F2870" t="str">
        <f t="shared" si="150"/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 t="shared" si="152"/>
        <v>11</v>
      </c>
      <c r="E2871" t="s">
        <v>5736</v>
      </c>
      <c r="F2871" t="str">
        <f t="shared" si="150"/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 t="shared" si="152"/>
        <v>15</v>
      </c>
      <c r="E2872" t="s">
        <v>5738</v>
      </c>
      <c r="F2872" t="str">
        <f t="shared" si="150"/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 t="shared" si="152"/>
        <v>16</v>
      </c>
      <c r="E2873" t="s">
        <v>5740</v>
      </c>
      <c r="F2873" t="str">
        <f t="shared" si="150"/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 t="shared" si="152"/>
        <v>17</v>
      </c>
      <c r="E2874" t="s">
        <v>5742</v>
      </c>
      <c r="F2874" t="str">
        <f t="shared" si="150"/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6906</v>
      </c>
      <c r="E2875" t="s">
        <v>5744</v>
      </c>
      <c r="F2875" t="str">
        <f t="shared" si="150"/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 t="shared" ref="D2876:D2885" si="153">IF(RIGHT(LEFT(C2876,9),2)="##","",RIGHT(LEFT(C2876,10),2))</f>
        <v>01</v>
      </c>
      <c r="E2876" t="s">
        <v>5746</v>
      </c>
      <c r="F2876" t="str">
        <f t="shared" si="150"/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 t="shared" si="153"/>
        <v>03</v>
      </c>
      <c r="E2877" t="s">
        <v>5748</v>
      </c>
      <c r="F2877" t="str">
        <f t="shared" ref="F2877:F2908" si="154"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 t="shared" si="153"/>
        <v>04</v>
      </c>
      <c r="E2878" t="s">
        <v>5750</v>
      </c>
      <c r="F2878" t="str">
        <f t="shared" si="154"/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 t="shared" si="153"/>
        <v>05</v>
      </c>
      <c r="E2879" t="s">
        <v>5752</v>
      </c>
      <c r="F2879" t="str">
        <f t="shared" si="154"/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 t="shared" si="153"/>
        <v>06</v>
      </c>
      <c r="E2880" t="s">
        <v>5754</v>
      </c>
      <c r="F2880" t="str">
        <f t="shared" si="154"/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 t="shared" si="153"/>
        <v>07</v>
      </c>
      <c r="E2881" t="s">
        <v>5756</v>
      </c>
      <c r="F2881" t="str">
        <f t="shared" si="154"/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 t="shared" si="153"/>
        <v>08</v>
      </c>
      <c r="E2882" t="s">
        <v>5758</v>
      </c>
      <c r="F2882" t="str">
        <f t="shared" si="154"/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 t="shared" si="153"/>
        <v>09</v>
      </c>
      <c r="E2883" t="s">
        <v>5760</v>
      </c>
      <c r="F2883" t="str">
        <f t="shared" si="154"/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 t="shared" si="153"/>
        <v>10</v>
      </c>
      <c r="E2884" t="s">
        <v>5762</v>
      </c>
      <c r="F2884" t="str">
        <f t="shared" si="154"/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 t="shared" si="153"/>
        <v>11</v>
      </c>
      <c r="E2885" t="s">
        <v>5764</v>
      </c>
      <c r="F2885" t="str">
        <f t="shared" si="154"/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6906</v>
      </c>
      <c r="E2886" t="s">
        <v>5766</v>
      </c>
      <c r="F2886" t="str">
        <f t="shared" si="154"/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 t="shared" ref="D2887:D2900" si="155">IF(RIGHT(LEFT(C2887,9),2)="##","",RIGHT(LEFT(C2887,10),2))</f>
        <v>01</v>
      </c>
      <c r="E2887" t="s">
        <v>5768</v>
      </c>
      <c r="F2887" t="str">
        <f t="shared" si="154"/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 t="shared" si="155"/>
        <v>02</v>
      </c>
      <c r="E2888" t="s">
        <v>5770</v>
      </c>
      <c r="F2888" t="str">
        <f t="shared" si="154"/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 t="shared" si="155"/>
        <v>03</v>
      </c>
      <c r="E2889" t="s">
        <v>5772</v>
      </c>
      <c r="F2889" t="str">
        <f t="shared" si="154"/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 t="shared" si="155"/>
        <v>04</v>
      </c>
      <c r="E2890" t="s">
        <v>5774</v>
      </c>
      <c r="F2890" t="str">
        <f t="shared" si="154"/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 t="shared" si="155"/>
        <v>05</v>
      </c>
      <c r="E2891" t="s">
        <v>5776</v>
      </c>
      <c r="F2891" t="str">
        <f t="shared" si="154"/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 t="shared" si="155"/>
        <v>06</v>
      </c>
      <c r="E2892" t="s">
        <v>5778</v>
      </c>
      <c r="F2892" t="str">
        <f t="shared" si="154"/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 t="shared" si="155"/>
        <v>07</v>
      </c>
      <c r="E2893" t="s">
        <v>5780</v>
      </c>
      <c r="F2893" t="str">
        <f t="shared" si="154"/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 t="shared" si="155"/>
        <v>08</v>
      </c>
      <c r="E2894" t="s">
        <v>5782</v>
      </c>
      <c r="F2894" t="str">
        <f t="shared" si="154"/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 t="shared" si="155"/>
        <v>09</v>
      </c>
      <c r="E2895" t="s">
        <v>5784</v>
      </c>
      <c r="F2895" t="str">
        <f t="shared" si="154"/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 t="shared" si="155"/>
        <v>10</v>
      </c>
      <c r="E2896" t="s">
        <v>5786</v>
      </c>
      <c r="F2896" t="str">
        <f t="shared" si="154"/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 t="shared" si="155"/>
        <v>11</v>
      </c>
      <c r="E2897" t="s">
        <v>5788</v>
      </c>
      <c r="F2897" t="str">
        <f t="shared" si="154"/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 t="shared" si="155"/>
        <v>12</v>
      </c>
      <c r="E2898" t="s">
        <v>5790</v>
      </c>
      <c r="F2898" t="str">
        <f t="shared" si="154"/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 t="shared" si="155"/>
        <v>14</v>
      </c>
      <c r="E2899" t="s">
        <v>5792</v>
      </c>
      <c r="F2899" t="str">
        <f t="shared" si="154"/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 t="shared" si="155"/>
        <v>15</v>
      </c>
      <c r="E2900" t="s">
        <v>5794</v>
      </c>
      <c r="F2900" t="str">
        <f t="shared" si="154"/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6906</v>
      </c>
      <c r="E2901" t="s">
        <v>5796</v>
      </c>
      <c r="F2901" t="str">
        <f t="shared" si="154"/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 t="shared" ref="D2902:D2907" si="156">IF(RIGHT(LEFT(C2902,9),2)="##","",RIGHT(LEFT(C2902,10),2))</f>
        <v>03</v>
      </c>
      <c r="E2902" t="s">
        <v>5798</v>
      </c>
      <c r="F2902" t="str">
        <f t="shared" si="154"/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 t="shared" si="156"/>
        <v>05</v>
      </c>
      <c r="E2903" t="s">
        <v>5800</v>
      </c>
      <c r="F2903" t="str">
        <f t="shared" si="154"/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 t="shared" si="156"/>
        <v>07</v>
      </c>
      <c r="E2904" t="s">
        <v>5802</v>
      </c>
      <c r="F2904" t="str">
        <f t="shared" si="154"/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 t="shared" si="156"/>
        <v>08</v>
      </c>
      <c r="E2905" t="s">
        <v>5804</v>
      </c>
      <c r="F2905" t="str">
        <f t="shared" si="154"/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 t="shared" si="156"/>
        <v>09</v>
      </c>
      <c r="E2906" t="s">
        <v>5806</v>
      </c>
      <c r="F2906" t="str">
        <f t="shared" si="154"/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 t="shared" si="156"/>
        <v>11</v>
      </c>
      <c r="E2907" t="s">
        <v>5808</v>
      </c>
      <c r="F2907" t="str">
        <f t="shared" si="154"/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6906</v>
      </c>
      <c r="E2908" t="s">
        <v>5810</v>
      </c>
      <c r="F2908" t="str">
        <f t="shared" si="154"/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 t="shared" ref="D2909:D2917" si="157">IF(RIGHT(LEFT(C2909,9),2)="##","",RIGHT(LEFT(C2909,10),2))</f>
        <v>03</v>
      </c>
      <c r="E2909" t="s">
        <v>5812</v>
      </c>
      <c r="F2909" t="str">
        <f t="shared" ref="F2909:F2940" si="158"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 t="shared" si="157"/>
        <v>04</v>
      </c>
      <c r="E2910" t="s">
        <v>5814</v>
      </c>
      <c r="F2910" t="str">
        <f t="shared" si="158"/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 t="shared" si="157"/>
        <v>05</v>
      </c>
      <c r="E2911" t="s">
        <v>5816</v>
      </c>
      <c r="F2911" t="str">
        <f t="shared" si="158"/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 t="shared" si="157"/>
        <v>06</v>
      </c>
      <c r="E2912" t="s">
        <v>5818</v>
      </c>
      <c r="F2912" t="str">
        <f t="shared" si="158"/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 t="shared" si="157"/>
        <v>07</v>
      </c>
      <c r="E2913" t="s">
        <v>5820</v>
      </c>
      <c r="F2913" t="str">
        <f t="shared" si="158"/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 t="shared" si="157"/>
        <v>08</v>
      </c>
      <c r="E2914" t="s">
        <v>5822</v>
      </c>
      <c r="F2914" t="str">
        <f t="shared" si="158"/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 t="shared" si="157"/>
        <v>09</v>
      </c>
      <c r="E2915" t="s">
        <v>5824</v>
      </c>
      <c r="F2915" t="str">
        <f t="shared" si="158"/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 t="shared" si="157"/>
        <v>10</v>
      </c>
      <c r="E2916" t="s">
        <v>5826</v>
      </c>
      <c r="F2916" t="str">
        <f t="shared" si="158"/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 t="shared" si="157"/>
        <v>11</v>
      </c>
      <c r="E2917" t="s">
        <v>5828</v>
      </c>
      <c r="F2917" t="str">
        <f t="shared" si="158"/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6906</v>
      </c>
      <c r="E2918" t="s">
        <v>5830</v>
      </c>
      <c r="F2918" t="str">
        <f t="shared" si="158"/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 t="shared" ref="D2919:D2927" si="159">IF(RIGHT(LEFT(C2919,9),2)="##","",RIGHT(LEFT(C2919,10),2))</f>
        <v>03</v>
      </c>
      <c r="E2919" t="s">
        <v>5832</v>
      </c>
      <c r="F2919" t="str">
        <f t="shared" si="158"/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 t="shared" si="159"/>
        <v>04</v>
      </c>
      <c r="E2920" t="s">
        <v>5834</v>
      </c>
      <c r="F2920" t="str">
        <f t="shared" si="158"/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 t="shared" si="159"/>
        <v>05</v>
      </c>
      <c r="E2921" t="s">
        <v>5836</v>
      </c>
      <c r="F2921" t="str">
        <f t="shared" si="158"/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 t="shared" si="159"/>
        <v>06</v>
      </c>
      <c r="E2922" t="s">
        <v>5838</v>
      </c>
      <c r="F2922" t="str">
        <f t="shared" si="158"/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 t="shared" si="159"/>
        <v>07</v>
      </c>
      <c r="E2923" t="s">
        <v>5840</v>
      </c>
      <c r="F2923" t="str">
        <f t="shared" si="158"/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 t="shared" si="159"/>
        <v>08</v>
      </c>
      <c r="E2924" t="s">
        <v>5842</v>
      </c>
      <c r="F2924" t="str">
        <f t="shared" si="158"/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 t="shared" si="159"/>
        <v>09</v>
      </c>
      <c r="E2925" t="s">
        <v>5844</v>
      </c>
      <c r="F2925" t="str">
        <f t="shared" si="158"/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 t="shared" si="159"/>
        <v>11</v>
      </c>
      <c r="E2926" t="s">
        <v>5846</v>
      </c>
      <c r="F2926" t="str">
        <f t="shared" si="158"/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 t="shared" si="159"/>
        <v>10</v>
      </c>
      <c r="E2927" t="s">
        <v>5848</v>
      </c>
      <c r="F2927" t="str">
        <f t="shared" si="158"/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6906</v>
      </c>
      <c r="E2928" t="s">
        <v>5850</v>
      </c>
      <c r="F2928" t="str">
        <f t="shared" si="158"/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 t="shared" ref="D2929:D2937" si="160">IF(RIGHT(LEFT(C2929,9),2)="##","",RIGHT(LEFT(C2929,10),2))</f>
        <v>03</v>
      </c>
      <c r="E2929" t="s">
        <v>5852</v>
      </c>
      <c r="F2929" t="str">
        <f t="shared" si="158"/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 t="shared" si="160"/>
        <v>04</v>
      </c>
      <c r="E2930" t="s">
        <v>5854</v>
      </c>
      <c r="F2930" t="str">
        <f t="shared" si="158"/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 t="shared" si="160"/>
        <v>05</v>
      </c>
      <c r="E2931" t="s">
        <v>5856</v>
      </c>
      <c r="F2931" t="str">
        <f t="shared" si="158"/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 t="shared" si="160"/>
        <v>06</v>
      </c>
      <c r="E2932" t="s">
        <v>5858</v>
      </c>
      <c r="F2932" t="str">
        <f t="shared" si="158"/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 t="shared" si="160"/>
        <v>07</v>
      </c>
      <c r="E2933" t="s">
        <v>5860</v>
      </c>
      <c r="F2933" t="str">
        <f t="shared" si="158"/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 t="shared" si="160"/>
        <v>08</v>
      </c>
      <c r="E2934" t="s">
        <v>5862</v>
      </c>
      <c r="F2934" t="str">
        <f t="shared" si="158"/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 t="shared" si="160"/>
        <v>09</v>
      </c>
      <c r="E2935" t="s">
        <v>5864</v>
      </c>
      <c r="F2935" t="str">
        <f t="shared" si="158"/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 t="shared" si="160"/>
        <v>10</v>
      </c>
      <c r="E2936" t="s">
        <v>5866</v>
      </c>
      <c r="F2936" t="str">
        <f t="shared" si="158"/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 t="shared" si="160"/>
        <v>11</v>
      </c>
      <c r="E2937" t="s">
        <v>5868</v>
      </c>
      <c r="F2937" t="str">
        <f t="shared" si="158"/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6906</v>
      </c>
      <c r="E2938" t="s">
        <v>5870</v>
      </c>
      <c r="F2938" t="str">
        <f t="shared" si="158"/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 t="shared" si="158"/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 t="shared" si="158"/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 t="shared" ref="F2941:F2972" si="161"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 t="shared" si="161"/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 t="shared" si="161"/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6906</v>
      </c>
      <c r="E2944" t="s">
        <v>5882</v>
      </c>
      <c r="F2944" t="str">
        <f t="shared" si="161"/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 t="shared" si="161"/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 t="shared" si="161"/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 t="shared" si="161"/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6906</v>
      </c>
      <c r="E2948" t="s">
        <v>5890</v>
      </c>
      <c r="F2948" t="str">
        <f t="shared" si="161"/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 t="shared" si="161"/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 t="shared" si="161"/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 t="shared" si="161"/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 t="shared" si="161"/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6906</v>
      </c>
      <c r="E2953" t="s">
        <v>5900</v>
      </c>
      <c r="F2953" t="str">
        <f t="shared" si="161"/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 t="shared" si="161"/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 t="shared" si="161"/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 t="shared" si="161"/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 t="shared" si="161"/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6906</v>
      </c>
      <c r="E2958" t="s">
        <v>5910</v>
      </c>
      <c r="F2958" t="str">
        <f t="shared" si="161"/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 t="shared" ref="D2959:D2965" si="162">IF(RIGHT(LEFT(C2959,9),2)="##","",RIGHT(LEFT(C2959,10),2))</f>
        <v>03</v>
      </c>
      <c r="E2959" t="s">
        <v>5912</v>
      </c>
      <c r="F2959" t="str">
        <f t="shared" si="161"/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 t="shared" si="162"/>
        <v>04</v>
      </c>
      <c r="E2960" t="s">
        <v>5914</v>
      </c>
      <c r="F2960" t="str">
        <f t="shared" si="161"/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 t="shared" si="162"/>
        <v>06</v>
      </c>
      <c r="E2961" t="s">
        <v>5916</v>
      </c>
      <c r="F2961" t="str">
        <f t="shared" si="161"/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 t="shared" si="162"/>
        <v>07</v>
      </c>
      <c r="E2962" t="s">
        <v>5918</v>
      </c>
      <c r="F2962" t="str">
        <f t="shared" si="161"/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 t="shared" si="162"/>
        <v>08</v>
      </c>
      <c r="E2963" t="s">
        <v>5920</v>
      </c>
      <c r="F2963" t="str">
        <f t="shared" si="161"/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 t="shared" si="162"/>
        <v>09</v>
      </c>
      <c r="E2964" t="s">
        <v>5922</v>
      </c>
      <c r="F2964" t="str">
        <f t="shared" si="161"/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 t="shared" si="162"/>
        <v>10</v>
      </c>
      <c r="E2965" t="s">
        <v>5924</v>
      </c>
      <c r="F2965" t="str">
        <f t="shared" si="161"/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6906</v>
      </c>
      <c r="E2966" t="s">
        <v>5926</v>
      </c>
      <c r="F2966" t="str">
        <f t="shared" si="161"/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 t="shared" si="161"/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 t="shared" si="161"/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 t="shared" si="161"/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6906</v>
      </c>
      <c r="E2970" t="s">
        <v>5934</v>
      </c>
      <c r="F2970" t="str">
        <f t="shared" si="161"/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 t="shared" ref="D2971:D3000" si="163">IF(RIGHT(LEFT(C2971,9),2)="##","",RIGHT(LEFT(C2971,10),2))</f>
        <v>01</v>
      </c>
      <c r="E2971" t="s">
        <v>5936</v>
      </c>
      <c r="F2971" t="str">
        <f t="shared" si="161"/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 t="shared" si="163"/>
        <v>02</v>
      </c>
      <c r="E2972" t="s">
        <v>5938</v>
      </c>
      <c r="F2972" t="str">
        <f t="shared" si="161"/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 t="shared" si="163"/>
        <v>03</v>
      </c>
      <c r="E2973" t="s">
        <v>5940</v>
      </c>
      <c r="F2973" t="str">
        <f t="shared" ref="F2973:F2980" si="164"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 t="shared" si="163"/>
        <v>04</v>
      </c>
      <c r="E2974" t="s">
        <v>5942</v>
      </c>
      <c r="F2974" t="str">
        <f t="shared" si="164"/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 t="shared" si="163"/>
        <v>05</v>
      </c>
      <c r="E2975" t="s">
        <v>5944</v>
      </c>
      <c r="F2975" t="str">
        <f t="shared" si="164"/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 t="shared" si="163"/>
        <v>06</v>
      </c>
      <c r="E2976" t="s">
        <v>5946</v>
      </c>
      <c r="F2976" t="str">
        <f t="shared" si="164"/>
        <v>8708604</v>
      </c>
      <c r="H2976">
        <v>1</v>
      </c>
    </row>
    <row r="2977" spans="1:9" hidden="1" x14ac:dyDescent="0.25">
      <c r="A2977">
        <v>20469</v>
      </c>
      <c r="B2977" t="s">
        <v>10</v>
      </c>
      <c r="C2977" t="s">
        <v>5947</v>
      </c>
      <c r="D2977" t="str">
        <f t="shared" si="163"/>
        <v>07</v>
      </c>
      <c r="E2977" t="s">
        <v>5948</v>
      </c>
      <c r="F2977" t="str">
        <f t="shared" si="164"/>
        <v>8708604</v>
      </c>
      <c r="H2977">
        <v>1</v>
      </c>
    </row>
    <row r="2978" spans="1:9" hidden="1" x14ac:dyDescent="0.25">
      <c r="A2978">
        <v>20470</v>
      </c>
      <c r="B2978" t="s">
        <v>10</v>
      </c>
      <c r="C2978" t="s">
        <v>5949</v>
      </c>
      <c r="D2978" t="str">
        <f t="shared" si="163"/>
        <v>08</v>
      </c>
      <c r="E2978" t="s">
        <v>5950</v>
      </c>
      <c r="F2978" t="str">
        <f t="shared" si="164"/>
        <v>8708604</v>
      </c>
      <c r="H2978">
        <v>1</v>
      </c>
    </row>
    <row r="2979" spans="1:9" hidden="1" x14ac:dyDescent="0.25">
      <c r="A2979">
        <v>20471</v>
      </c>
      <c r="B2979" t="s">
        <v>10</v>
      </c>
      <c r="C2979" t="s">
        <v>5951</v>
      </c>
      <c r="D2979" t="str">
        <f t="shared" si="163"/>
        <v>09</v>
      </c>
      <c r="E2979" t="s">
        <v>5952</v>
      </c>
      <c r="F2979" t="str">
        <f t="shared" si="164"/>
        <v>8708604</v>
      </c>
      <c r="H2979">
        <v>1</v>
      </c>
    </row>
    <row r="2980" spans="1:9" hidden="1" x14ac:dyDescent="0.25">
      <c r="A2980">
        <v>20472</v>
      </c>
      <c r="B2980" t="s">
        <v>10</v>
      </c>
      <c r="C2980" t="s">
        <v>5953</v>
      </c>
      <c r="D2980" t="str">
        <f t="shared" si="163"/>
        <v>11</v>
      </c>
      <c r="E2980" t="s">
        <v>5954</v>
      </c>
      <c r="F2980" t="str">
        <f t="shared" si="164"/>
        <v>8708604</v>
      </c>
      <c r="H2980">
        <v>1</v>
      </c>
    </row>
    <row r="2981" spans="1:9" x14ac:dyDescent="0.25">
      <c r="A2981">
        <v>20474</v>
      </c>
      <c r="B2981" t="s">
        <v>7</v>
      </c>
      <c r="C2981" t="s">
        <v>5955</v>
      </c>
      <c r="D2981" t="str">
        <f t="shared" si="163"/>
        <v/>
      </c>
      <c r="E2981" t="s">
        <v>5956</v>
      </c>
      <c r="F2981" t="s">
        <v>6908</v>
      </c>
      <c r="H2981">
        <v>9</v>
      </c>
      <c r="I2981">
        <v>1</v>
      </c>
    </row>
    <row r="2982" spans="1:9" hidden="1" x14ac:dyDescent="0.25">
      <c r="A2982">
        <v>20475</v>
      </c>
      <c r="B2982" t="s">
        <v>10</v>
      </c>
      <c r="C2982" t="s">
        <v>5957</v>
      </c>
      <c r="D2982" t="str">
        <f t="shared" si="163"/>
        <v/>
      </c>
      <c r="E2982" t="s">
        <v>5958</v>
      </c>
      <c r="F2982" t="str">
        <f>LEFT(C2982,7)</f>
        <v>1120111</v>
      </c>
    </row>
    <row r="2983" spans="1:9" hidden="1" x14ac:dyDescent="0.25">
      <c r="A2983">
        <v>20476</v>
      </c>
      <c r="B2983" t="s">
        <v>10</v>
      </c>
      <c r="C2983" t="s">
        <v>5959</v>
      </c>
      <c r="D2983" t="str">
        <f t="shared" si="163"/>
        <v/>
      </c>
      <c r="E2983" t="s">
        <v>5960</v>
      </c>
      <c r="F2983" t="str">
        <f>LEFT(C2983,7)</f>
        <v>1120111</v>
      </c>
    </row>
    <row r="2984" spans="1:9" hidden="1" x14ac:dyDescent="0.25">
      <c r="A2984">
        <v>20477</v>
      </c>
      <c r="B2984" t="s">
        <v>10</v>
      </c>
      <c r="C2984" t="s">
        <v>5961</v>
      </c>
      <c r="D2984" t="str">
        <f t="shared" si="163"/>
        <v/>
      </c>
      <c r="E2984" t="s">
        <v>5962</v>
      </c>
      <c r="F2984" t="str">
        <f>LEFT(C2984,7)</f>
        <v>1120111</v>
      </c>
    </row>
    <row r="2985" spans="1:9" x14ac:dyDescent="0.25">
      <c r="A2985">
        <v>20478</v>
      </c>
      <c r="B2985" t="s">
        <v>7</v>
      </c>
      <c r="C2985" t="s">
        <v>5963</v>
      </c>
      <c r="D2985" t="str">
        <f t="shared" si="163"/>
        <v/>
      </c>
      <c r="E2985" t="s">
        <v>5964</v>
      </c>
      <c r="F2985" t="s">
        <v>6927</v>
      </c>
      <c r="I2985">
        <v>1</v>
      </c>
    </row>
    <row r="2986" spans="1:9" hidden="1" x14ac:dyDescent="0.25">
      <c r="A2986">
        <v>20479</v>
      </c>
      <c r="B2986" t="s">
        <v>10</v>
      </c>
      <c r="C2986" t="s">
        <v>5965</v>
      </c>
      <c r="D2986" t="str">
        <f t="shared" si="163"/>
        <v/>
      </c>
      <c r="E2986" t="s">
        <v>5966</v>
      </c>
      <c r="F2986" t="str">
        <f>LEFT(C2986,7)</f>
        <v>1120185</v>
      </c>
    </row>
    <row r="2987" spans="1:9" hidden="1" x14ac:dyDescent="0.25">
      <c r="A2987">
        <v>20480</v>
      </c>
      <c r="B2987" t="s">
        <v>10</v>
      </c>
      <c r="C2987" t="s">
        <v>5967</v>
      </c>
      <c r="D2987" t="str">
        <f t="shared" si="163"/>
        <v/>
      </c>
      <c r="E2987" t="s">
        <v>5968</v>
      </c>
      <c r="F2987" t="str">
        <f>LEFT(C2987,7)</f>
        <v>1120185</v>
      </c>
    </row>
    <row r="2988" spans="1:9" hidden="1" x14ac:dyDescent="0.25">
      <c r="A2988">
        <v>20481</v>
      </c>
      <c r="B2988" t="s">
        <v>10</v>
      </c>
      <c r="C2988" t="s">
        <v>5969</v>
      </c>
      <c r="D2988" t="str">
        <f t="shared" si="163"/>
        <v/>
      </c>
      <c r="E2988" t="s">
        <v>5970</v>
      </c>
      <c r="F2988" t="str">
        <f>LEFT(C2988,7)</f>
        <v>1120185</v>
      </c>
    </row>
    <row r="2989" spans="1:9" x14ac:dyDescent="0.25">
      <c r="A2989">
        <v>20482</v>
      </c>
      <c r="B2989" t="s">
        <v>7</v>
      </c>
      <c r="C2989" t="s">
        <v>5971</v>
      </c>
      <c r="D2989" t="str">
        <f t="shared" si="163"/>
        <v/>
      </c>
      <c r="E2989" t="s">
        <v>5972</v>
      </c>
      <c r="F2989" t="s">
        <v>6915</v>
      </c>
      <c r="H2989">
        <v>4</v>
      </c>
      <c r="I2989">
        <v>1</v>
      </c>
    </row>
    <row r="2990" spans="1:9" hidden="1" x14ac:dyDescent="0.25">
      <c r="A2990">
        <v>20483</v>
      </c>
      <c r="B2990" t="s">
        <v>10</v>
      </c>
      <c r="C2990" t="s">
        <v>5973</v>
      </c>
      <c r="D2990" t="str">
        <f t="shared" si="163"/>
        <v/>
      </c>
      <c r="E2990" t="s">
        <v>5974</v>
      </c>
      <c r="F2990" t="str">
        <f>LEFT(C2990,7)</f>
        <v>1120863</v>
      </c>
    </row>
    <row r="2991" spans="1:9" hidden="1" x14ac:dyDescent="0.25">
      <c r="A2991">
        <v>20484</v>
      </c>
      <c r="B2991" t="s">
        <v>10</v>
      </c>
      <c r="C2991" t="s">
        <v>5975</v>
      </c>
      <c r="D2991" t="str">
        <f t="shared" si="163"/>
        <v/>
      </c>
      <c r="E2991" t="s">
        <v>5976</v>
      </c>
      <c r="F2991" t="str">
        <f>LEFT(C2991,7)</f>
        <v>1120863</v>
      </c>
    </row>
    <row r="2992" spans="1:9" hidden="1" x14ac:dyDescent="0.25">
      <c r="A2992">
        <v>20485</v>
      </c>
      <c r="B2992" t="s">
        <v>10</v>
      </c>
      <c r="C2992" t="s">
        <v>5977</v>
      </c>
      <c r="D2992" t="str">
        <f t="shared" si="163"/>
        <v/>
      </c>
      <c r="E2992" t="s">
        <v>5978</v>
      </c>
      <c r="F2992" t="str">
        <f>LEFT(C2992,7)</f>
        <v>1120863</v>
      </c>
    </row>
    <row r="2993" spans="1:9" x14ac:dyDescent="0.25">
      <c r="A2993">
        <v>20486</v>
      </c>
      <c r="B2993" t="s">
        <v>7</v>
      </c>
      <c r="C2993" t="s">
        <v>5979</v>
      </c>
      <c r="D2993" t="str">
        <f t="shared" si="163"/>
        <v/>
      </c>
      <c r="E2993" t="s">
        <v>5980</v>
      </c>
      <c r="F2993" t="s">
        <v>6911</v>
      </c>
      <c r="H2993">
        <v>4</v>
      </c>
      <c r="I2993">
        <v>1</v>
      </c>
    </row>
    <row r="2994" spans="1:9" hidden="1" x14ac:dyDescent="0.25">
      <c r="A2994">
        <v>20487</v>
      </c>
      <c r="B2994" t="s">
        <v>10</v>
      </c>
      <c r="C2994" t="s">
        <v>5981</v>
      </c>
      <c r="D2994" t="str">
        <f t="shared" si="163"/>
        <v/>
      </c>
      <c r="E2994" t="s">
        <v>5982</v>
      </c>
      <c r="F2994" t="str">
        <f t="shared" ref="F2994:F3025" si="165">LEFT(C2994,7)</f>
        <v>1120861</v>
      </c>
    </row>
    <row r="2995" spans="1:9" hidden="1" x14ac:dyDescent="0.25">
      <c r="A2995">
        <v>20488</v>
      </c>
      <c r="B2995" t="s">
        <v>10</v>
      </c>
      <c r="C2995" t="s">
        <v>5983</v>
      </c>
      <c r="D2995" t="str">
        <f t="shared" si="163"/>
        <v/>
      </c>
      <c r="E2995" t="s">
        <v>5984</v>
      </c>
      <c r="F2995" t="str">
        <f t="shared" si="165"/>
        <v>1120861</v>
      </c>
    </row>
    <row r="2996" spans="1:9" hidden="1" x14ac:dyDescent="0.25">
      <c r="A2996">
        <v>20489</v>
      </c>
      <c r="B2996" t="s">
        <v>10</v>
      </c>
      <c r="C2996" t="s">
        <v>5985</v>
      </c>
      <c r="D2996" t="str">
        <f t="shared" si="163"/>
        <v/>
      </c>
      <c r="E2996" t="s">
        <v>5986</v>
      </c>
      <c r="F2996" t="str">
        <f t="shared" si="165"/>
        <v>1120861</v>
      </c>
    </row>
    <row r="2997" spans="1:9" hidden="1" x14ac:dyDescent="0.25">
      <c r="A2997">
        <v>20490</v>
      </c>
      <c r="B2997" t="s">
        <v>4</v>
      </c>
      <c r="C2997" t="s">
        <v>5987</v>
      </c>
      <c r="D2997" t="str">
        <f t="shared" si="163"/>
        <v/>
      </c>
      <c r="E2997" t="s">
        <v>5988</v>
      </c>
      <c r="F2997" t="str">
        <f t="shared" si="165"/>
        <v>8303299</v>
      </c>
    </row>
    <row r="2998" spans="1:9" hidden="1" x14ac:dyDescent="0.25">
      <c r="A2998">
        <v>20495</v>
      </c>
      <c r="B2998" t="s">
        <v>4</v>
      </c>
      <c r="C2998" t="s">
        <v>5989</v>
      </c>
      <c r="D2998" t="str">
        <f t="shared" si="163"/>
        <v/>
      </c>
      <c r="E2998" t="s">
        <v>5990</v>
      </c>
      <c r="F2998" t="str">
        <f t="shared" si="165"/>
        <v>8503125</v>
      </c>
    </row>
    <row r="2999" spans="1:9" hidden="1" x14ac:dyDescent="0.25">
      <c r="A2999">
        <v>20499</v>
      </c>
      <c r="B2999" t="s">
        <v>4</v>
      </c>
      <c r="C2999" t="s">
        <v>5991</v>
      </c>
      <c r="D2999" t="str">
        <f t="shared" si="163"/>
        <v/>
      </c>
      <c r="E2999" t="s">
        <v>5992</v>
      </c>
      <c r="F2999" t="str">
        <f t="shared" si="165"/>
        <v>8503303</v>
      </c>
    </row>
    <row r="3000" spans="1:9" hidden="1" x14ac:dyDescent="0.25">
      <c r="A3000">
        <v>20504</v>
      </c>
      <c r="B3000" t="s">
        <v>4</v>
      </c>
      <c r="C3000" t="s">
        <v>5993</v>
      </c>
      <c r="D3000" t="str">
        <f t="shared" si="163"/>
        <v/>
      </c>
      <c r="E3000" t="s">
        <v>5994</v>
      </c>
      <c r="F3000" t="str">
        <f t="shared" si="165"/>
        <v>8503600</v>
      </c>
    </row>
    <row r="3001" spans="1:9" hidden="1" x14ac:dyDescent="0.25">
      <c r="A3001">
        <v>20508</v>
      </c>
      <c r="B3001" t="s">
        <v>7</v>
      </c>
      <c r="C3001" t="s">
        <v>5995</v>
      </c>
      <c r="D3001" t="s">
        <v>6906</v>
      </c>
      <c r="E3001" t="s">
        <v>5996</v>
      </c>
      <c r="F3001" t="str">
        <f t="shared" si="165"/>
        <v>8518014</v>
      </c>
      <c r="H3001">
        <f>SUBTOTAL(9,H3002:H3004)</f>
        <v>0</v>
      </c>
    </row>
    <row r="3002" spans="1:9" hidden="1" x14ac:dyDescent="0.25">
      <c r="A3002">
        <v>20509</v>
      </c>
      <c r="B3002" t="s">
        <v>10</v>
      </c>
      <c r="C3002" t="s">
        <v>5997</v>
      </c>
      <c r="D3002" t="str">
        <f t="shared" ref="D3002:D3033" si="166">IF(RIGHT(LEFT(C3002,9),2)="##","",RIGHT(LEFT(C3002,10),2))</f>
        <v>03</v>
      </c>
      <c r="E3002" t="s">
        <v>5998</v>
      </c>
      <c r="F3002" t="str">
        <f t="shared" si="165"/>
        <v>8518014</v>
      </c>
      <c r="H3002">
        <v>1</v>
      </c>
    </row>
    <row r="3003" spans="1:9" hidden="1" x14ac:dyDescent="0.25">
      <c r="A3003">
        <v>20510</v>
      </c>
      <c r="B3003" t="s">
        <v>10</v>
      </c>
      <c r="C3003" t="s">
        <v>5999</v>
      </c>
      <c r="D3003" t="str">
        <f t="shared" si="166"/>
        <v>09</v>
      </c>
      <c r="E3003" t="s">
        <v>6000</v>
      </c>
      <c r="F3003" t="str">
        <f t="shared" si="165"/>
        <v>8518014</v>
      </c>
      <c r="H3003">
        <v>1</v>
      </c>
    </row>
    <row r="3004" spans="1:9" hidden="1" x14ac:dyDescent="0.25">
      <c r="A3004">
        <v>20512</v>
      </c>
      <c r="B3004" t="s">
        <v>10</v>
      </c>
      <c r="C3004" t="s">
        <v>6001</v>
      </c>
      <c r="D3004" t="str">
        <f t="shared" si="166"/>
        <v>06</v>
      </c>
      <c r="E3004" t="s">
        <v>6002</v>
      </c>
      <c r="F3004" t="str">
        <f t="shared" si="165"/>
        <v>8518014</v>
      </c>
      <c r="H3004">
        <v>1</v>
      </c>
    </row>
    <row r="3005" spans="1:9" hidden="1" x14ac:dyDescent="0.25">
      <c r="A3005">
        <v>20514</v>
      </c>
      <c r="B3005" t="s">
        <v>4</v>
      </c>
      <c r="C3005" t="s">
        <v>6003</v>
      </c>
      <c r="D3005" t="str">
        <f t="shared" si="166"/>
        <v/>
      </c>
      <c r="E3005" t="s">
        <v>6004</v>
      </c>
      <c r="F3005" t="str">
        <f t="shared" si="165"/>
        <v>8520003</v>
      </c>
    </row>
    <row r="3006" spans="1:9" hidden="1" x14ac:dyDescent="0.25">
      <c r="A3006">
        <v>20519</v>
      </c>
      <c r="B3006" t="s">
        <v>4</v>
      </c>
      <c r="C3006" t="s">
        <v>6005</v>
      </c>
      <c r="D3006" t="str">
        <f t="shared" si="166"/>
        <v/>
      </c>
      <c r="E3006" t="s">
        <v>6006</v>
      </c>
      <c r="F3006" t="str">
        <f t="shared" si="165"/>
        <v>8520005</v>
      </c>
    </row>
    <row r="3007" spans="1:9" hidden="1" x14ac:dyDescent="0.25">
      <c r="A3007">
        <v>20524</v>
      </c>
      <c r="B3007" t="s">
        <v>4</v>
      </c>
      <c r="C3007" t="s">
        <v>6007</v>
      </c>
      <c r="D3007" t="str">
        <f t="shared" si="166"/>
        <v/>
      </c>
      <c r="E3007" t="s">
        <v>6008</v>
      </c>
      <c r="F3007" t="str">
        <f t="shared" si="165"/>
        <v>8520014</v>
      </c>
    </row>
    <row r="3008" spans="1:9" hidden="1" x14ac:dyDescent="0.25">
      <c r="A3008">
        <v>20530</v>
      </c>
      <c r="B3008" t="s">
        <v>4</v>
      </c>
      <c r="C3008" t="s">
        <v>6009</v>
      </c>
      <c r="D3008" t="str">
        <f t="shared" si="166"/>
        <v/>
      </c>
      <c r="E3008" t="s">
        <v>6010</v>
      </c>
      <c r="F3008" t="str">
        <f t="shared" si="165"/>
        <v>8520016</v>
      </c>
    </row>
    <row r="3009" spans="1:9" hidden="1" x14ac:dyDescent="0.25">
      <c r="A3009">
        <v>20536</v>
      </c>
      <c r="B3009" t="s">
        <v>4</v>
      </c>
      <c r="C3009" t="s">
        <v>6011</v>
      </c>
      <c r="D3009" t="str">
        <f t="shared" si="166"/>
        <v/>
      </c>
      <c r="E3009" t="s">
        <v>6012</v>
      </c>
      <c r="F3009" t="str">
        <f t="shared" si="165"/>
        <v>8520025</v>
      </c>
    </row>
    <row r="3010" spans="1:9" hidden="1" x14ac:dyDescent="0.25">
      <c r="A3010">
        <v>20546</v>
      </c>
      <c r="B3010" t="s">
        <v>4</v>
      </c>
      <c r="C3010" t="s">
        <v>6013</v>
      </c>
      <c r="D3010" t="str">
        <f t="shared" si="166"/>
        <v/>
      </c>
      <c r="E3010" t="s">
        <v>6014</v>
      </c>
      <c r="F3010" t="str">
        <f t="shared" si="165"/>
        <v>8520102</v>
      </c>
    </row>
    <row r="3011" spans="1:9" hidden="1" x14ac:dyDescent="0.25">
      <c r="A3011">
        <v>20551</v>
      </c>
      <c r="B3011" t="s">
        <v>4</v>
      </c>
      <c r="C3011" t="s">
        <v>6015</v>
      </c>
      <c r="D3011" t="str">
        <f t="shared" si="166"/>
        <v/>
      </c>
      <c r="E3011" t="s">
        <v>6016</v>
      </c>
      <c r="F3011" t="str">
        <f t="shared" si="165"/>
        <v>8520118</v>
      </c>
    </row>
    <row r="3012" spans="1:9" hidden="1" x14ac:dyDescent="0.25">
      <c r="A3012">
        <v>20559</v>
      </c>
      <c r="B3012" t="s">
        <v>4</v>
      </c>
      <c r="C3012" t="s">
        <v>6017</v>
      </c>
      <c r="D3012" t="str">
        <f t="shared" si="166"/>
        <v/>
      </c>
      <c r="E3012" t="s">
        <v>6018</v>
      </c>
      <c r="F3012" t="str">
        <f t="shared" si="165"/>
        <v>8520733</v>
      </c>
    </row>
    <row r="3013" spans="1:9" hidden="1" x14ac:dyDescent="0.25">
      <c r="A3013">
        <v>20570</v>
      </c>
      <c r="B3013" t="s">
        <v>4</v>
      </c>
      <c r="C3013" t="s">
        <v>6019</v>
      </c>
      <c r="D3013" t="str">
        <f t="shared" si="166"/>
        <v/>
      </c>
      <c r="E3013" t="s">
        <v>6020</v>
      </c>
      <c r="F3013" t="str">
        <f t="shared" si="165"/>
        <v>8520813</v>
      </c>
    </row>
    <row r="3014" spans="1:9" hidden="1" x14ac:dyDescent="0.25">
      <c r="A3014">
        <v>20575</v>
      </c>
      <c r="B3014" t="s">
        <v>4</v>
      </c>
      <c r="C3014" t="s">
        <v>6021</v>
      </c>
      <c r="D3014" t="str">
        <f t="shared" si="166"/>
        <v/>
      </c>
      <c r="E3014" t="s">
        <v>6022</v>
      </c>
      <c r="F3014" t="str">
        <f t="shared" si="165"/>
        <v>8708020</v>
      </c>
    </row>
    <row r="3015" spans="1:9" hidden="1" x14ac:dyDescent="0.25">
      <c r="A3015">
        <v>20582</v>
      </c>
      <c r="B3015" t="s">
        <v>4</v>
      </c>
      <c r="C3015" t="s">
        <v>6023</v>
      </c>
      <c r="D3015" t="str">
        <f t="shared" si="166"/>
        <v/>
      </c>
      <c r="E3015" t="s">
        <v>6024</v>
      </c>
      <c r="F3015" t="str">
        <f t="shared" si="165"/>
        <v>8708249</v>
      </c>
    </row>
    <row r="3016" spans="1:9" x14ac:dyDescent="0.25">
      <c r="A3016">
        <v>20590</v>
      </c>
      <c r="B3016" t="s">
        <v>7</v>
      </c>
      <c r="C3016" t="s">
        <v>6025</v>
      </c>
      <c r="D3016" t="str">
        <f t="shared" si="166"/>
        <v/>
      </c>
      <c r="E3016" t="s">
        <v>6026</v>
      </c>
      <c r="F3016" t="str">
        <f t="shared" si="165"/>
        <v>8205881</v>
      </c>
      <c r="H3016">
        <v>5</v>
      </c>
      <c r="I3016">
        <v>1</v>
      </c>
    </row>
    <row r="3017" spans="1:9" hidden="1" x14ac:dyDescent="0.25">
      <c r="A3017">
        <v>20591</v>
      </c>
      <c r="B3017" t="s">
        <v>10</v>
      </c>
      <c r="C3017" t="s">
        <v>6027</v>
      </c>
      <c r="D3017" t="str">
        <f t="shared" si="166"/>
        <v/>
      </c>
      <c r="E3017" t="s">
        <v>6028</v>
      </c>
      <c r="F3017" t="str">
        <f t="shared" si="165"/>
        <v>8205881</v>
      </c>
    </row>
    <row r="3018" spans="1:9" hidden="1" x14ac:dyDescent="0.25">
      <c r="A3018">
        <v>20592</v>
      </c>
      <c r="B3018" t="s">
        <v>10</v>
      </c>
      <c r="C3018" t="s">
        <v>6029</v>
      </c>
      <c r="D3018" t="str">
        <f t="shared" si="166"/>
        <v/>
      </c>
      <c r="E3018" t="s">
        <v>6030</v>
      </c>
      <c r="F3018" t="str">
        <f t="shared" si="165"/>
        <v>8205881</v>
      </c>
    </row>
    <row r="3019" spans="1:9" hidden="1" x14ac:dyDescent="0.25">
      <c r="A3019">
        <v>20593</v>
      </c>
      <c r="B3019" t="s">
        <v>10</v>
      </c>
      <c r="C3019" t="s">
        <v>6031</v>
      </c>
      <c r="D3019" t="str">
        <f t="shared" si="166"/>
        <v/>
      </c>
      <c r="E3019" t="s">
        <v>6032</v>
      </c>
      <c r="F3019" t="str">
        <f t="shared" si="165"/>
        <v>8205881</v>
      </c>
    </row>
    <row r="3020" spans="1:9" hidden="1" x14ac:dyDescent="0.25">
      <c r="A3020">
        <v>20594</v>
      </c>
      <c r="B3020" t="s">
        <v>10</v>
      </c>
      <c r="C3020" t="s">
        <v>6033</v>
      </c>
      <c r="D3020" t="str">
        <f t="shared" si="166"/>
        <v/>
      </c>
      <c r="E3020" t="s">
        <v>6034</v>
      </c>
      <c r="F3020" t="str">
        <f t="shared" si="165"/>
        <v>8205881</v>
      </c>
    </row>
    <row r="3021" spans="1:9" hidden="1" x14ac:dyDescent="0.25">
      <c r="A3021">
        <v>20595</v>
      </c>
      <c r="B3021" t="s">
        <v>10</v>
      </c>
      <c r="C3021" t="s">
        <v>6035</v>
      </c>
      <c r="D3021" t="str">
        <f t="shared" si="166"/>
        <v/>
      </c>
      <c r="E3021" t="s">
        <v>6036</v>
      </c>
      <c r="F3021" t="str">
        <f t="shared" si="165"/>
        <v>8205881</v>
      </c>
    </row>
    <row r="3022" spans="1:9" hidden="1" x14ac:dyDescent="0.25">
      <c r="A3022">
        <v>20596</v>
      </c>
      <c r="B3022" t="s">
        <v>10</v>
      </c>
      <c r="C3022" t="s">
        <v>6037</v>
      </c>
      <c r="D3022" t="str">
        <f t="shared" si="166"/>
        <v/>
      </c>
      <c r="E3022" t="s">
        <v>6038</v>
      </c>
      <c r="F3022" t="str">
        <f t="shared" si="165"/>
        <v>8205881</v>
      </c>
    </row>
    <row r="3023" spans="1:9" hidden="1" x14ac:dyDescent="0.25">
      <c r="A3023">
        <v>20597</v>
      </c>
      <c r="B3023" t="s">
        <v>10</v>
      </c>
      <c r="C3023" t="s">
        <v>6039</v>
      </c>
      <c r="D3023" t="str">
        <f t="shared" si="166"/>
        <v/>
      </c>
      <c r="E3023" t="s">
        <v>6040</v>
      </c>
      <c r="F3023" t="str">
        <f t="shared" si="165"/>
        <v>8205881</v>
      </c>
    </row>
    <row r="3024" spans="1:9" hidden="1" x14ac:dyDescent="0.25">
      <c r="A3024">
        <v>20598</v>
      </c>
      <c r="B3024" t="s">
        <v>10</v>
      </c>
      <c r="C3024" t="s">
        <v>6041</v>
      </c>
      <c r="D3024" t="str">
        <f t="shared" si="166"/>
        <v/>
      </c>
      <c r="E3024" t="s">
        <v>6042</v>
      </c>
      <c r="F3024" t="str">
        <f t="shared" si="165"/>
        <v>8205881</v>
      </c>
    </row>
    <row r="3025" spans="1:6" hidden="1" x14ac:dyDescent="0.25">
      <c r="A3025">
        <v>20599</v>
      </c>
      <c r="B3025" t="s">
        <v>10</v>
      </c>
      <c r="C3025" t="s">
        <v>6043</v>
      </c>
      <c r="D3025" t="str">
        <f t="shared" si="166"/>
        <v/>
      </c>
      <c r="E3025" t="s">
        <v>6044</v>
      </c>
      <c r="F3025" t="str">
        <f t="shared" si="165"/>
        <v>8205881</v>
      </c>
    </row>
    <row r="3026" spans="1:6" hidden="1" x14ac:dyDescent="0.25">
      <c r="A3026">
        <v>20600</v>
      </c>
      <c r="B3026" t="s">
        <v>10</v>
      </c>
      <c r="C3026" t="s">
        <v>6045</v>
      </c>
      <c r="D3026" t="str">
        <f t="shared" si="166"/>
        <v/>
      </c>
      <c r="E3026" t="s">
        <v>6046</v>
      </c>
      <c r="F3026" t="str">
        <f t="shared" ref="F3026:F3057" si="167">LEFT(C3026,7)</f>
        <v>8205881</v>
      </c>
    </row>
    <row r="3027" spans="1:6" hidden="1" x14ac:dyDescent="0.25">
      <c r="A3027">
        <v>20601</v>
      </c>
      <c r="B3027" t="s">
        <v>10</v>
      </c>
      <c r="C3027" t="s">
        <v>6047</v>
      </c>
      <c r="D3027" t="str">
        <f t="shared" si="166"/>
        <v/>
      </c>
      <c r="E3027" t="s">
        <v>6048</v>
      </c>
      <c r="F3027" t="str">
        <f t="shared" si="167"/>
        <v>8205881</v>
      </c>
    </row>
    <row r="3028" spans="1:6" hidden="1" x14ac:dyDescent="0.25">
      <c r="A3028">
        <v>20602</v>
      </c>
      <c r="B3028" t="s">
        <v>10</v>
      </c>
      <c r="C3028" t="s">
        <v>6049</v>
      </c>
      <c r="D3028" t="str">
        <f t="shared" si="166"/>
        <v/>
      </c>
      <c r="E3028" t="s">
        <v>6050</v>
      </c>
      <c r="F3028" t="str">
        <f t="shared" si="167"/>
        <v>8205881</v>
      </c>
    </row>
    <row r="3029" spans="1:6" hidden="1" x14ac:dyDescent="0.25">
      <c r="A3029">
        <v>20603</v>
      </c>
      <c r="B3029" t="s">
        <v>4</v>
      </c>
      <c r="C3029" t="s">
        <v>6051</v>
      </c>
      <c r="D3029" t="str">
        <f t="shared" si="166"/>
        <v/>
      </c>
      <c r="E3029" t="s">
        <v>6052</v>
      </c>
      <c r="F3029" t="str">
        <f t="shared" si="167"/>
        <v>8522030</v>
      </c>
    </row>
    <row r="3030" spans="1:6" hidden="1" x14ac:dyDescent="0.25">
      <c r="A3030">
        <v>20608</v>
      </c>
      <c r="B3030" t="s">
        <v>4</v>
      </c>
      <c r="C3030" t="s">
        <v>6053</v>
      </c>
      <c r="D3030" t="str">
        <f t="shared" si="166"/>
        <v/>
      </c>
      <c r="E3030" t="s">
        <v>6054</v>
      </c>
      <c r="F3030" t="str">
        <f t="shared" si="167"/>
        <v>8525576</v>
      </c>
    </row>
    <row r="3031" spans="1:6" hidden="1" x14ac:dyDescent="0.25">
      <c r="A3031">
        <v>20612</v>
      </c>
      <c r="B3031" t="s">
        <v>4</v>
      </c>
      <c r="C3031" t="s">
        <v>6055</v>
      </c>
      <c r="D3031" t="str">
        <f t="shared" si="166"/>
        <v/>
      </c>
      <c r="E3031" t="s">
        <v>6056</v>
      </c>
      <c r="F3031" t="str">
        <f t="shared" si="167"/>
        <v>8612418</v>
      </c>
    </row>
    <row r="3032" spans="1:6" hidden="1" x14ac:dyDescent="0.25">
      <c r="A3032">
        <v>20617</v>
      </c>
      <c r="B3032" t="s">
        <v>4</v>
      </c>
      <c r="C3032" t="s">
        <v>6057</v>
      </c>
      <c r="D3032" t="str">
        <f t="shared" si="166"/>
        <v/>
      </c>
      <c r="E3032" t="s">
        <v>6058</v>
      </c>
      <c r="F3032" t="str">
        <f t="shared" si="167"/>
        <v>8708045</v>
      </c>
    </row>
    <row r="3033" spans="1:6" x14ac:dyDescent="0.25">
      <c r="A3033">
        <v>20627</v>
      </c>
      <c r="B3033" t="s">
        <v>7</v>
      </c>
      <c r="C3033" t="s">
        <v>6059</v>
      </c>
      <c r="D3033" t="str">
        <f t="shared" si="166"/>
        <v/>
      </c>
      <c r="E3033" t="s">
        <v>6060</v>
      </c>
      <c r="F3033" t="str">
        <f t="shared" si="167"/>
        <v>5101109</v>
      </c>
    </row>
    <row r="3034" spans="1:6" hidden="1" x14ac:dyDescent="0.25">
      <c r="A3034">
        <v>20628</v>
      </c>
      <c r="B3034" t="s">
        <v>10</v>
      </c>
      <c r="C3034" t="s">
        <v>6061</v>
      </c>
      <c r="D3034" t="str">
        <f t="shared" ref="D3034:D3062" si="168">IF(RIGHT(LEFT(C3034,9),2)="##","",RIGHT(LEFT(C3034,10),2))</f>
        <v/>
      </c>
      <c r="E3034" t="s">
        <v>6062</v>
      </c>
      <c r="F3034" t="str">
        <f t="shared" si="167"/>
        <v>5101109</v>
      </c>
    </row>
    <row r="3035" spans="1:6" hidden="1" x14ac:dyDescent="0.25">
      <c r="A3035">
        <v>20629</v>
      </c>
      <c r="B3035" t="s">
        <v>10</v>
      </c>
      <c r="C3035" t="s">
        <v>6063</v>
      </c>
      <c r="D3035" t="str">
        <f t="shared" si="168"/>
        <v/>
      </c>
      <c r="E3035" t="s">
        <v>6064</v>
      </c>
      <c r="F3035" t="str">
        <f t="shared" si="167"/>
        <v>5101109</v>
      </c>
    </row>
    <row r="3036" spans="1:6" hidden="1" x14ac:dyDescent="0.25">
      <c r="A3036">
        <v>20630</v>
      </c>
      <c r="B3036" t="s">
        <v>10</v>
      </c>
      <c r="C3036" t="s">
        <v>6065</v>
      </c>
      <c r="D3036" t="str">
        <f t="shared" si="168"/>
        <v/>
      </c>
      <c r="E3036" t="s">
        <v>6066</v>
      </c>
      <c r="F3036" t="str">
        <f t="shared" si="167"/>
        <v>5101109</v>
      </c>
    </row>
    <row r="3037" spans="1:6" hidden="1" x14ac:dyDescent="0.25">
      <c r="A3037">
        <v>20631</v>
      </c>
      <c r="B3037" t="s">
        <v>10</v>
      </c>
      <c r="C3037" t="s">
        <v>6067</v>
      </c>
      <c r="D3037" t="str">
        <f t="shared" si="168"/>
        <v/>
      </c>
      <c r="E3037" t="s">
        <v>6068</v>
      </c>
      <c r="F3037" t="str">
        <f t="shared" si="167"/>
        <v>5101109</v>
      </c>
    </row>
    <row r="3038" spans="1:6" hidden="1" x14ac:dyDescent="0.25">
      <c r="A3038">
        <v>20632</v>
      </c>
      <c r="B3038" t="s">
        <v>10</v>
      </c>
      <c r="C3038" t="s">
        <v>6069</v>
      </c>
      <c r="D3038" t="str">
        <f t="shared" si="168"/>
        <v/>
      </c>
      <c r="E3038" t="s">
        <v>6070</v>
      </c>
      <c r="F3038" t="str">
        <f t="shared" si="167"/>
        <v>5101109</v>
      </c>
    </row>
    <row r="3039" spans="1:6" hidden="1" x14ac:dyDescent="0.25">
      <c r="A3039">
        <v>20633</v>
      </c>
      <c r="B3039" t="s">
        <v>10</v>
      </c>
      <c r="C3039" t="s">
        <v>6071</v>
      </c>
      <c r="D3039" t="str">
        <f t="shared" si="168"/>
        <v/>
      </c>
      <c r="E3039" t="s">
        <v>6072</v>
      </c>
      <c r="F3039" t="str">
        <f t="shared" si="167"/>
        <v>5101109</v>
      </c>
    </row>
    <row r="3040" spans="1:6" hidden="1" x14ac:dyDescent="0.25">
      <c r="A3040">
        <v>20634</v>
      </c>
      <c r="B3040" t="s">
        <v>10</v>
      </c>
      <c r="C3040" t="s">
        <v>6073</v>
      </c>
      <c r="D3040" t="str">
        <f t="shared" si="168"/>
        <v/>
      </c>
      <c r="E3040" t="s">
        <v>6074</v>
      </c>
      <c r="F3040" t="str">
        <f t="shared" si="167"/>
        <v>5101109</v>
      </c>
    </row>
    <row r="3041" spans="1:6" x14ac:dyDescent="0.25">
      <c r="A3041">
        <v>20635</v>
      </c>
      <c r="B3041" t="s">
        <v>7</v>
      </c>
      <c r="C3041" t="s">
        <v>6075</v>
      </c>
      <c r="D3041" t="str">
        <f t="shared" si="168"/>
        <v/>
      </c>
      <c r="E3041" t="s">
        <v>6076</v>
      </c>
      <c r="F3041" t="str">
        <f t="shared" si="167"/>
        <v>5101104</v>
      </c>
    </row>
    <row r="3042" spans="1:6" hidden="1" x14ac:dyDescent="0.25">
      <c r="A3042">
        <v>20636</v>
      </c>
      <c r="B3042" t="s">
        <v>10</v>
      </c>
      <c r="C3042" t="s">
        <v>6077</v>
      </c>
      <c r="D3042" t="str">
        <f t="shared" si="168"/>
        <v/>
      </c>
      <c r="E3042" t="s">
        <v>6078</v>
      </c>
      <c r="F3042" t="str">
        <f t="shared" si="167"/>
        <v>5101104</v>
      </c>
    </row>
    <row r="3043" spans="1:6" hidden="1" x14ac:dyDescent="0.25">
      <c r="A3043">
        <v>20640</v>
      </c>
      <c r="B3043" t="s">
        <v>10</v>
      </c>
      <c r="C3043" t="s">
        <v>6079</v>
      </c>
      <c r="D3043" t="str">
        <f t="shared" si="168"/>
        <v/>
      </c>
      <c r="E3043" t="s">
        <v>6080</v>
      </c>
      <c r="F3043" t="str">
        <f t="shared" si="167"/>
        <v>5101104</v>
      </c>
    </row>
    <row r="3044" spans="1:6" hidden="1" x14ac:dyDescent="0.25">
      <c r="A3044">
        <v>20641</v>
      </c>
      <c r="B3044" t="s">
        <v>10</v>
      </c>
      <c r="C3044" t="s">
        <v>6081</v>
      </c>
      <c r="D3044" t="str">
        <f t="shared" si="168"/>
        <v/>
      </c>
      <c r="E3044" t="s">
        <v>6082</v>
      </c>
      <c r="F3044" t="str">
        <f t="shared" si="167"/>
        <v>5101104</v>
      </c>
    </row>
    <row r="3045" spans="1:6" hidden="1" x14ac:dyDescent="0.25">
      <c r="A3045">
        <v>20642</v>
      </c>
      <c r="B3045" t="s">
        <v>10</v>
      </c>
      <c r="C3045" t="s">
        <v>6083</v>
      </c>
      <c r="D3045" t="str">
        <f t="shared" si="168"/>
        <v/>
      </c>
      <c r="E3045" t="s">
        <v>6084</v>
      </c>
      <c r="F3045" t="str">
        <f t="shared" si="167"/>
        <v>5101104</v>
      </c>
    </row>
    <row r="3046" spans="1:6" hidden="1" x14ac:dyDescent="0.25">
      <c r="A3046">
        <v>20643</v>
      </c>
      <c r="B3046" t="s">
        <v>10</v>
      </c>
      <c r="C3046" t="s">
        <v>6085</v>
      </c>
      <c r="D3046" t="str">
        <f t="shared" si="168"/>
        <v/>
      </c>
      <c r="E3046" t="s">
        <v>6086</v>
      </c>
      <c r="F3046" t="str">
        <f t="shared" si="167"/>
        <v>5101104</v>
      </c>
    </row>
    <row r="3047" spans="1:6" hidden="1" x14ac:dyDescent="0.25">
      <c r="A3047">
        <v>20644</v>
      </c>
      <c r="B3047" t="s">
        <v>10</v>
      </c>
      <c r="C3047" t="s">
        <v>6087</v>
      </c>
      <c r="D3047" t="str">
        <f t="shared" si="168"/>
        <v/>
      </c>
      <c r="E3047" t="s">
        <v>6088</v>
      </c>
      <c r="F3047" t="str">
        <f t="shared" si="167"/>
        <v>5101104</v>
      </c>
    </row>
    <row r="3048" spans="1:6" hidden="1" x14ac:dyDescent="0.25">
      <c r="A3048">
        <v>20645</v>
      </c>
      <c r="B3048" t="s">
        <v>10</v>
      </c>
      <c r="C3048" t="s">
        <v>6089</v>
      </c>
      <c r="D3048" t="str">
        <f t="shared" si="168"/>
        <v/>
      </c>
      <c r="E3048" t="s">
        <v>6090</v>
      </c>
      <c r="F3048" t="str">
        <f t="shared" si="167"/>
        <v>5101104</v>
      </c>
    </row>
    <row r="3049" spans="1:6" hidden="1" x14ac:dyDescent="0.25">
      <c r="A3049">
        <v>20646</v>
      </c>
      <c r="B3049" t="s">
        <v>4</v>
      </c>
      <c r="C3049" t="s">
        <v>6091</v>
      </c>
      <c r="D3049" t="str">
        <f t="shared" si="168"/>
        <v/>
      </c>
      <c r="E3049" t="s">
        <v>6092</v>
      </c>
      <c r="F3049" t="str">
        <f t="shared" si="167"/>
        <v>8703570</v>
      </c>
    </row>
    <row r="3050" spans="1:6" hidden="1" x14ac:dyDescent="0.25">
      <c r="A3050">
        <v>20651</v>
      </c>
      <c r="B3050" t="s">
        <v>4</v>
      </c>
      <c r="C3050" t="s">
        <v>6093</v>
      </c>
      <c r="D3050" t="str">
        <f t="shared" si="168"/>
        <v/>
      </c>
      <c r="E3050" t="s">
        <v>6094</v>
      </c>
      <c r="F3050" t="str">
        <f t="shared" si="167"/>
        <v>8703573</v>
      </c>
    </row>
    <row r="3051" spans="1:6" hidden="1" x14ac:dyDescent="0.25">
      <c r="A3051">
        <v>20659</v>
      </c>
      <c r="B3051" t="s">
        <v>4</v>
      </c>
      <c r="C3051" t="s">
        <v>6095</v>
      </c>
      <c r="D3051" t="str">
        <f t="shared" si="168"/>
        <v/>
      </c>
      <c r="E3051" t="s">
        <v>6096</v>
      </c>
      <c r="F3051" t="str">
        <f t="shared" si="167"/>
        <v>8703656</v>
      </c>
    </row>
    <row r="3052" spans="1:6" hidden="1" x14ac:dyDescent="0.25">
      <c r="A3052">
        <v>20665</v>
      </c>
      <c r="B3052" t="s">
        <v>4</v>
      </c>
      <c r="C3052" t="s">
        <v>6097</v>
      </c>
      <c r="D3052" t="str">
        <f t="shared" si="168"/>
        <v/>
      </c>
      <c r="E3052" t="s">
        <v>6098</v>
      </c>
      <c r="F3052" t="str">
        <f t="shared" si="167"/>
        <v>8703658</v>
      </c>
    </row>
    <row r="3053" spans="1:6" hidden="1" x14ac:dyDescent="0.25">
      <c r="A3053">
        <v>20671</v>
      </c>
      <c r="B3053" t="s">
        <v>4</v>
      </c>
      <c r="C3053" t="s">
        <v>6099</v>
      </c>
      <c r="D3053" t="str">
        <f t="shared" si="168"/>
        <v/>
      </c>
      <c r="E3053" t="s">
        <v>6100</v>
      </c>
      <c r="F3053" t="str">
        <f t="shared" si="167"/>
        <v>8703660</v>
      </c>
    </row>
    <row r="3054" spans="1:6" hidden="1" x14ac:dyDescent="0.25">
      <c r="A3054">
        <v>20677</v>
      </c>
      <c r="B3054" t="s">
        <v>4</v>
      </c>
      <c r="C3054" t="s">
        <v>6101</v>
      </c>
      <c r="D3054" t="str">
        <f t="shared" si="168"/>
        <v/>
      </c>
      <c r="E3054" t="s">
        <v>6102</v>
      </c>
      <c r="F3054" t="str">
        <f t="shared" si="167"/>
        <v>8703662</v>
      </c>
    </row>
    <row r="3055" spans="1:6" hidden="1" x14ac:dyDescent="0.25">
      <c r="A3055">
        <v>20684</v>
      </c>
      <c r="B3055" t="s">
        <v>4</v>
      </c>
      <c r="C3055" t="s">
        <v>6103</v>
      </c>
      <c r="D3055" t="str">
        <f t="shared" si="168"/>
        <v/>
      </c>
      <c r="E3055" t="s">
        <v>6104</v>
      </c>
      <c r="F3055" t="str">
        <f t="shared" si="167"/>
        <v>8703665</v>
      </c>
    </row>
    <row r="3056" spans="1:6" hidden="1" x14ac:dyDescent="0.25">
      <c r="A3056">
        <v>20689</v>
      </c>
      <c r="B3056" t="s">
        <v>4</v>
      </c>
      <c r="C3056" t="s">
        <v>6105</v>
      </c>
      <c r="D3056" t="str">
        <f t="shared" si="168"/>
        <v/>
      </c>
      <c r="E3056" t="s">
        <v>6106</v>
      </c>
      <c r="F3056" t="str">
        <f t="shared" si="167"/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 t="shared" si="168"/>
        <v/>
      </c>
      <c r="E3057" t="s">
        <v>6108</v>
      </c>
      <c r="F3057" t="str">
        <f t="shared" si="167"/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 t="shared" si="168"/>
        <v/>
      </c>
      <c r="E3058" t="s">
        <v>6110</v>
      </c>
      <c r="F3058" t="str">
        <f t="shared" ref="F3058:F3089" si="169"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 t="shared" si="168"/>
        <v/>
      </c>
      <c r="E3059" t="s">
        <v>6112</v>
      </c>
      <c r="F3059" t="str">
        <f t="shared" si="169"/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 t="shared" si="168"/>
        <v/>
      </c>
      <c r="E3060" t="s">
        <v>6114</v>
      </c>
      <c r="F3060" t="str">
        <f t="shared" si="169"/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 t="shared" si="168"/>
        <v/>
      </c>
      <c r="E3061" t="s">
        <v>6116</v>
      </c>
      <c r="F3061" t="str">
        <f t="shared" si="169"/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 t="shared" si="168"/>
        <v/>
      </c>
      <c r="E3062" t="s">
        <v>6118</v>
      </c>
      <c r="F3062" t="str">
        <f t="shared" si="169"/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6906</v>
      </c>
      <c r="E3063" t="s">
        <v>6120</v>
      </c>
      <c r="F3063" t="str">
        <f t="shared" si="169"/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 t="shared" si="169"/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 t="shared" si="169"/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 t="shared" si="169"/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6906</v>
      </c>
      <c r="E3067" t="s">
        <v>6128</v>
      </c>
      <c r="F3067" t="str">
        <f t="shared" si="169"/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 t="shared" ref="D3068:D3131" si="170">IF(RIGHT(LEFT(C3068,9),2)="##","",RIGHT(LEFT(C3068,10),2))</f>
        <v>03</v>
      </c>
      <c r="E3068" t="s">
        <v>6130</v>
      </c>
      <c r="F3068" t="str">
        <f t="shared" si="169"/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 t="shared" si="170"/>
        <v>06</v>
      </c>
      <c r="E3069" t="s">
        <v>6132</v>
      </c>
      <c r="F3069" t="str">
        <f t="shared" si="169"/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 t="shared" si="170"/>
        <v>09</v>
      </c>
      <c r="E3070" t="s">
        <v>6134</v>
      </c>
      <c r="F3070" t="str">
        <f t="shared" si="169"/>
        <v>8708644</v>
      </c>
      <c r="H3070">
        <v>1</v>
      </c>
    </row>
    <row r="3071" spans="1:9" x14ac:dyDescent="0.25">
      <c r="A3071">
        <v>20754</v>
      </c>
      <c r="B3071" t="s">
        <v>7</v>
      </c>
      <c r="C3071" t="s">
        <v>6135</v>
      </c>
      <c r="D3071" t="str">
        <f t="shared" si="170"/>
        <v/>
      </c>
      <c r="E3071" t="s">
        <v>6136</v>
      </c>
      <c r="F3071" t="str">
        <f t="shared" si="169"/>
        <v>5101565</v>
      </c>
      <c r="H3071">
        <v>4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 t="shared" si="170"/>
        <v/>
      </c>
      <c r="E3072" t="s">
        <v>6138</v>
      </c>
      <c r="F3072" t="str">
        <f t="shared" si="169"/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 t="shared" si="170"/>
        <v/>
      </c>
      <c r="E3073" t="s">
        <v>6140</v>
      </c>
      <c r="F3073" t="str">
        <f t="shared" si="169"/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 t="shared" si="170"/>
        <v/>
      </c>
      <c r="E3074" t="s">
        <v>6142</v>
      </c>
      <c r="F3074" t="str">
        <f t="shared" si="169"/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 t="shared" si="170"/>
        <v/>
      </c>
      <c r="E3075" t="s">
        <v>6144</v>
      </c>
      <c r="F3075" t="str">
        <f t="shared" si="169"/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 t="shared" si="170"/>
        <v/>
      </c>
      <c r="E3076" t="s">
        <v>6146</v>
      </c>
      <c r="F3076" t="str">
        <f t="shared" si="169"/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 t="shared" si="170"/>
        <v/>
      </c>
      <c r="E3077" t="s">
        <v>6148</v>
      </c>
      <c r="F3077" t="str">
        <f t="shared" si="169"/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 t="shared" si="170"/>
        <v/>
      </c>
      <c r="E3078" t="s">
        <v>6150</v>
      </c>
      <c r="F3078" t="str">
        <f t="shared" si="169"/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 t="shared" si="170"/>
        <v/>
      </c>
      <c r="E3079" t="s">
        <v>6152</v>
      </c>
      <c r="F3079" t="str">
        <f t="shared" si="169"/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 t="shared" si="170"/>
        <v/>
      </c>
      <c r="E3080" t="s">
        <v>6154</v>
      </c>
      <c r="F3080" t="str">
        <f t="shared" si="169"/>
        <v>5101565</v>
      </c>
    </row>
    <row r="3081" spans="1:9" x14ac:dyDescent="0.25">
      <c r="A3081">
        <v>20768</v>
      </c>
      <c r="B3081" t="s">
        <v>7</v>
      </c>
      <c r="C3081" t="s">
        <v>6155</v>
      </c>
      <c r="D3081" t="str">
        <f t="shared" si="170"/>
        <v/>
      </c>
      <c r="E3081" t="s">
        <v>6156</v>
      </c>
      <c r="F3081" t="str">
        <f t="shared" si="169"/>
        <v>5101569</v>
      </c>
      <c r="H3081">
        <v>3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 t="shared" si="170"/>
        <v/>
      </c>
      <c r="E3082" t="s">
        <v>6158</v>
      </c>
      <c r="F3082" t="str">
        <f t="shared" si="169"/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 t="shared" si="170"/>
        <v/>
      </c>
      <c r="E3083" t="s">
        <v>6160</v>
      </c>
      <c r="F3083" t="str">
        <f t="shared" si="169"/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 t="shared" si="170"/>
        <v/>
      </c>
      <c r="E3084" t="s">
        <v>6162</v>
      </c>
      <c r="F3084" t="str">
        <f t="shared" si="169"/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 t="shared" si="170"/>
        <v/>
      </c>
      <c r="E3085" t="s">
        <v>6164</v>
      </c>
      <c r="F3085" t="str">
        <f t="shared" si="169"/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 t="shared" si="170"/>
        <v/>
      </c>
      <c r="E3086" t="s">
        <v>6166</v>
      </c>
      <c r="F3086" t="str">
        <f t="shared" si="169"/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 t="shared" si="170"/>
        <v/>
      </c>
      <c r="E3087" t="s">
        <v>6168</v>
      </c>
      <c r="F3087" t="str">
        <f t="shared" si="169"/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 t="shared" si="170"/>
        <v/>
      </c>
      <c r="E3088" t="s">
        <v>6170</v>
      </c>
      <c r="F3088" t="str">
        <f t="shared" si="169"/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 t="shared" si="170"/>
        <v/>
      </c>
      <c r="E3089" t="s">
        <v>6172</v>
      </c>
      <c r="F3089" t="str">
        <f t="shared" si="169"/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 t="shared" si="170"/>
        <v/>
      </c>
      <c r="E3090" t="s">
        <v>6174</v>
      </c>
      <c r="F3090" t="str">
        <f t="shared" ref="F3090:F3121" si="171"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 t="shared" si="170"/>
        <v/>
      </c>
      <c r="E3091" t="s">
        <v>6176</v>
      </c>
      <c r="F3091" t="str">
        <f t="shared" si="171"/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 t="shared" si="170"/>
        <v/>
      </c>
      <c r="E3092" t="s">
        <v>6178</v>
      </c>
      <c r="F3092" t="str">
        <f t="shared" si="171"/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 t="shared" si="170"/>
        <v/>
      </c>
      <c r="E3093" t="s">
        <v>6180</v>
      </c>
      <c r="F3093" t="str">
        <f t="shared" si="171"/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 t="shared" si="170"/>
        <v/>
      </c>
      <c r="E3094" t="s">
        <v>6182</v>
      </c>
      <c r="F3094" t="str">
        <f t="shared" si="171"/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 t="shared" si="170"/>
        <v/>
      </c>
      <c r="E3095" t="s">
        <v>6184</v>
      </c>
      <c r="F3095" t="str">
        <f t="shared" si="171"/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 t="shared" si="170"/>
        <v/>
      </c>
      <c r="E3096" t="s">
        <v>6186</v>
      </c>
      <c r="F3096" t="str">
        <f t="shared" si="171"/>
        <v>8505125</v>
      </c>
    </row>
    <row r="3097" spans="1:9" x14ac:dyDescent="0.25">
      <c r="A3097">
        <v>20798</v>
      </c>
      <c r="B3097" t="s">
        <v>7</v>
      </c>
      <c r="C3097" t="s">
        <v>6187</v>
      </c>
      <c r="D3097" t="str">
        <f t="shared" si="170"/>
        <v/>
      </c>
      <c r="E3097" t="s">
        <v>6188</v>
      </c>
      <c r="F3097" t="str">
        <f t="shared" si="171"/>
        <v>8205080</v>
      </c>
      <c r="H3097">
        <v>7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 t="shared" si="170"/>
        <v/>
      </c>
      <c r="E3098" t="s">
        <v>6190</v>
      </c>
      <c r="F3098" t="str">
        <f t="shared" si="171"/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 t="shared" si="170"/>
        <v/>
      </c>
      <c r="E3099" t="s">
        <v>6192</v>
      </c>
      <c r="F3099" t="str">
        <f t="shared" si="171"/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 t="shared" si="170"/>
        <v/>
      </c>
      <c r="E3100" t="s">
        <v>6194</v>
      </c>
      <c r="F3100" t="str">
        <f t="shared" si="171"/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 t="shared" si="170"/>
        <v/>
      </c>
      <c r="E3101" t="s">
        <v>6196</v>
      </c>
      <c r="F3101" t="str">
        <f t="shared" si="171"/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 t="shared" si="170"/>
        <v/>
      </c>
      <c r="E3102" t="s">
        <v>6198</v>
      </c>
      <c r="F3102" t="str">
        <f t="shared" si="171"/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 t="shared" si="170"/>
        <v/>
      </c>
      <c r="E3103" t="s">
        <v>6200</v>
      </c>
      <c r="F3103" t="str">
        <f t="shared" si="171"/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 t="shared" si="170"/>
        <v/>
      </c>
      <c r="E3104" t="s">
        <v>6202</v>
      </c>
      <c r="F3104" t="str">
        <f t="shared" si="171"/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 t="shared" si="170"/>
        <v/>
      </c>
      <c r="E3105" t="s">
        <v>6204</v>
      </c>
      <c r="F3105" t="str">
        <f t="shared" si="171"/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 t="shared" si="170"/>
        <v/>
      </c>
      <c r="E3106" t="s">
        <v>6206</v>
      </c>
      <c r="F3106" t="str">
        <f t="shared" si="171"/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 t="shared" si="170"/>
        <v/>
      </c>
      <c r="E3107" t="s">
        <v>6208</v>
      </c>
      <c r="F3107" t="str">
        <f t="shared" si="171"/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 t="shared" si="170"/>
        <v/>
      </c>
      <c r="E3108" t="s">
        <v>6210</v>
      </c>
      <c r="F3108" t="str">
        <f t="shared" si="171"/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 t="shared" si="170"/>
        <v/>
      </c>
      <c r="E3109" t="s">
        <v>6212</v>
      </c>
      <c r="F3109" t="str">
        <f t="shared" si="171"/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 t="shared" si="170"/>
        <v/>
      </c>
      <c r="E3110" t="s">
        <v>6214</v>
      </c>
      <c r="F3110" t="str">
        <f t="shared" si="171"/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 t="shared" si="170"/>
        <v/>
      </c>
      <c r="E3111" t="s">
        <v>6216</v>
      </c>
      <c r="F3111" t="str">
        <f t="shared" si="171"/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 t="shared" si="170"/>
        <v/>
      </c>
      <c r="E3112" t="s">
        <v>6218</v>
      </c>
      <c r="F3112" t="str">
        <f t="shared" si="171"/>
        <v>8505153</v>
      </c>
    </row>
    <row r="3113" spans="1:9" x14ac:dyDescent="0.25">
      <c r="A3113">
        <v>20821</v>
      </c>
      <c r="B3113" t="s">
        <v>7</v>
      </c>
      <c r="C3113" t="s">
        <v>6219</v>
      </c>
      <c r="D3113" t="str">
        <f t="shared" si="170"/>
        <v/>
      </c>
      <c r="E3113" t="s">
        <v>6220</v>
      </c>
      <c r="F3113" t="str">
        <f t="shared" si="171"/>
        <v>5101563</v>
      </c>
      <c r="H3113">
        <v>3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 t="shared" si="170"/>
        <v/>
      </c>
      <c r="E3114" t="s">
        <v>6222</v>
      </c>
      <c r="F3114" t="str">
        <f t="shared" si="171"/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 t="shared" si="170"/>
        <v/>
      </c>
      <c r="E3115" t="s">
        <v>6224</v>
      </c>
      <c r="F3115" t="str">
        <f t="shared" si="171"/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 t="shared" si="170"/>
        <v/>
      </c>
      <c r="E3116" t="s">
        <v>6226</v>
      </c>
      <c r="F3116" t="str">
        <f t="shared" si="171"/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 t="shared" si="170"/>
        <v/>
      </c>
      <c r="E3117" t="s">
        <v>6228</v>
      </c>
      <c r="F3117" t="str">
        <f t="shared" si="171"/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 t="shared" si="170"/>
        <v/>
      </c>
      <c r="E3118" t="s">
        <v>6230</v>
      </c>
      <c r="F3118" t="str">
        <f t="shared" si="171"/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 t="shared" si="170"/>
        <v/>
      </c>
      <c r="E3119" t="s">
        <v>6232</v>
      </c>
      <c r="F3119" t="str">
        <f t="shared" si="171"/>
        <v>5101563</v>
      </c>
    </row>
    <row r="3120" spans="1:9" x14ac:dyDescent="0.25">
      <c r="A3120">
        <v>20831</v>
      </c>
      <c r="B3120" t="s">
        <v>7</v>
      </c>
      <c r="C3120" t="s">
        <v>6233</v>
      </c>
      <c r="D3120" t="str">
        <f t="shared" si="170"/>
        <v/>
      </c>
      <c r="E3120" t="s">
        <v>6234</v>
      </c>
      <c r="F3120" t="str">
        <f t="shared" si="171"/>
        <v>2101500</v>
      </c>
      <c r="I3120">
        <v>1</v>
      </c>
    </row>
    <row r="3121" spans="1:6" hidden="1" x14ac:dyDescent="0.25">
      <c r="A3121">
        <v>20832</v>
      </c>
      <c r="B3121" t="s">
        <v>10</v>
      </c>
      <c r="C3121" t="s">
        <v>6235</v>
      </c>
      <c r="D3121" t="str">
        <f t="shared" si="170"/>
        <v/>
      </c>
      <c r="E3121" t="s">
        <v>6236</v>
      </c>
      <c r="F3121" t="str">
        <f t="shared" si="171"/>
        <v>2101500</v>
      </c>
    </row>
    <row r="3122" spans="1:6" hidden="1" x14ac:dyDescent="0.25">
      <c r="A3122">
        <v>20836</v>
      </c>
      <c r="B3122" t="s">
        <v>10</v>
      </c>
      <c r="C3122" t="s">
        <v>6237</v>
      </c>
      <c r="D3122" t="str">
        <f t="shared" si="170"/>
        <v/>
      </c>
      <c r="E3122" t="s">
        <v>6238</v>
      </c>
      <c r="F3122" t="str">
        <f t="shared" ref="F3122:F3136" si="172">LEFT(C3122,7)</f>
        <v>2101500</v>
      </c>
    </row>
    <row r="3123" spans="1:6" hidden="1" x14ac:dyDescent="0.25">
      <c r="A3123">
        <v>20837</v>
      </c>
      <c r="B3123" t="s">
        <v>10</v>
      </c>
      <c r="C3123" t="s">
        <v>6239</v>
      </c>
      <c r="D3123" t="str">
        <f t="shared" si="170"/>
        <v/>
      </c>
      <c r="E3123" t="s">
        <v>6240</v>
      </c>
      <c r="F3123" t="str">
        <f t="shared" si="172"/>
        <v>2101500</v>
      </c>
    </row>
    <row r="3124" spans="1:6" hidden="1" x14ac:dyDescent="0.25">
      <c r="A3124">
        <v>20838</v>
      </c>
      <c r="B3124" t="s">
        <v>10</v>
      </c>
      <c r="C3124" t="s">
        <v>6241</v>
      </c>
      <c r="D3124" t="str">
        <f t="shared" si="170"/>
        <v/>
      </c>
      <c r="E3124" t="s">
        <v>6242</v>
      </c>
      <c r="F3124" t="str">
        <f t="shared" si="172"/>
        <v>2101500</v>
      </c>
    </row>
    <row r="3125" spans="1:6" hidden="1" x14ac:dyDescent="0.25">
      <c r="A3125">
        <v>20839</v>
      </c>
      <c r="B3125" t="s">
        <v>10</v>
      </c>
      <c r="C3125" t="s">
        <v>6243</v>
      </c>
      <c r="D3125" t="str">
        <f t="shared" si="170"/>
        <v/>
      </c>
      <c r="E3125" t="s">
        <v>6244</v>
      </c>
      <c r="F3125" t="str">
        <f t="shared" si="172"/>
        <v>2101500</v>
      </c>
    </row>
    <row r="3126" spans="1:6" hidden="1" x14ac:dyDescent="0.25">
      <c r="A3126">
        <v>20840</v>
      </c>
      <c r="B3126" t="s">
        <v>10</v>
      </c>
      <c r="C3126" t="s">
        <v>6245</v>
      </c>
      <c r="D3126" t="str">
        <f t="shared" si="170"/>
        <v/>
      </c>
      <c r="E3126" t="s">
        <v>6246</v>
      </c>
      <c r="F3126" t="str">
        <f t="shared" si="172"/>
        <v>2101500</v>
      </c>
    </row>
    <row r="3127" spans="1:6" hidden="1" x14ac:dyDescent="0.25">
      <c r="A3127">
        <v>20841</v>
      </c>
      <c r="B3127" t="s">
        <v>10</v>
      </c>
      <c r="C3127" t="s">
        <v>6247</v>
      </c>
      <c r="D3127" t="str">
        <f t="shared" si="170"/>
        <v/>
      </c>
      <c r="E3127" t="s">
        <v>6248</v>
      </c>
      <c r="F3127" t="str">
        <f t="shared" si="172"/>
        <v>2101500</v>
      </c>
    </row>
    <row r="3128" spans="1:6" x14ac:dyDescent="0.25">
      <c r="A3128">
        <v>20842</v>
      </c>
      <c r="B3128" t="s">
        <v>7</v>
      </c>
      <c r="C3128" t="s">
        <v>6249</v>
      </c>
      <c r="D3128" t="str">
        <f t="shared" si="170"/>
        <v/>
      </c>
      <c r="E3128" t="s">
        <v>6250</v>
      </c>
      <c r="F3128" t="str">
        <f t="shared" si="172"/>
        <v>1120455</v>
      </c>
    </row>
    <row r="3129" spans="1:6" hidden="1" x14ac:dyDescent="0.25">
      <c r="A3129">
        <v>20843</v>
      </c>
      <c r="B3129" t="s">
        <v>10</v>
      </c>
      <c r="C3129" t="s">
        <v>6251</v>
      </c>
      <c r="D3129" t="str">
        <f t="shared" si="170"/>
        <v/>
      </c>
      <c r="E3129" t="s">
        <v>6252</v>
      </c>
      <c r="F3129" t="str">
        <f t="shared" si="172"/>
        <v>1120455</v>
      </c>
    </row>
    <row r="3130" spans="1:6" hidden="1" x14ac:dyDescent="0.25">
      <c r="A3130">
        <v>20848</v>
      </c>
      <c r="B3130" t="s">
        <v>10</v>
      </c>
      <c r="C3130" t="s">
        <v>6253</v>
      </c>
      <c r="D3130" t="str">
        <f t="shared" si="170"/>
        <v/>
      </c>
      <c r="E3130" t="s">
        <v>6254</v>
      </c>
      <c r="F3130" t="str">
        <f t="shared" si="172"/>
        <v>1120455</v>
      </c>
    </row>
    <row r="3131" spans="1:6" hidden="1" x14ac:dyDescent="0.25">
      <c r="A3131">
        <v>20849</v>
      </c>
      <c r="B3131" t="s">
        <v>10</v>
      </c>
      <c r="C3131" t="s">
        <v>6255</v>
      </c>
      <c r="D3131" t="str">
        <f t="shared" si="170"/>
        <v/>
      </c>
      <c r="E3131" t="s">
        <v>6256</v>
      </c>
      <c r="F3131" t="str">
        <f t="shared" si="172"/>
        <v>1120455</v>
      </c>
    </row>
    <row r="3132" spans="1:6" hidden="1" x14ac:dyDescent="0.25">
      <c r="A3132">
        <v>20850</v>
      </c>
      <c r="B3132" t="s">
        <v>10</v>
      </c>
      <c r="C3132" t="s">
        <v>6257</v>
      </c>
      <c r="D3132" t="str">
        <f t="shared" ref="D3132:D3195" si="173">IF(RIGHT(LEFT(C3132,9),2)="##","",RIGHT(LEFT(C3132,10),2))</f>
        <v/>
      </c>
      <c r="E3132" t="s">
        <v>6258</v>
      </c>
      <c r="F3132" t="str">
        <f t="shared" si="172"/>
        <v>1120455</v>
      </c>
    </row>
    <row r="3133" spans="1:6" hidden="1" x14ac:dyDescent="0.25">
      <c r="A3133">
        <v>20851</v>
      </c>
      <c r="B3133" t="s">
        <v>10</v>
      </c>
      <c r="C3133" t="s">
        <v>6259</v>
      </c>
      <c r="D3133" t="str">
        <f t="shared" si="173"/>
        <v/>
      </c>
      <c r="E3133" t="s">
        <v>6260</v>
      </c>
      <c r="F3133" t="str">
        <f t="shared" si="172"/>
        <v>1120455</v>
      </c>
    </row>
    <row r="3134" spans="1:6" hidden="1" x14ac:dyDescent="0.25">
      <c r="A3134">
        <v>20852</v>
      </c>
      <c r="B3134" t="s">
        <v>10</v>
      </c>
      <c r="C3134" t="s">
        <v>6261</v>
      </c>
      <c r="D3134" t="str">
        <f t="shared" si="173"/>
        <v/>
      </c>
      <c r="E3134" t="s">
        <v>6262</v>
      </c>
      <c r="F3134" t="str">
        <f t="shared" si="172"/>
        <v>1120455</v>
      </c>
    </row>
    <row r="3135" spans="1:6" hidden="1" x14ac:dyDescent="0.25">
      <c r="A3135">
        <v>20853</v>
      </c>
      <c r="B3135" t="s">
        <v>10</v>
      </c>
      <c r="C3135" t="s">
        <v>6263</v>
      </c>
      <c r="D3135" t="str">
        <f t="shared" si="173"/>
        <v/>
      </c>
      <c r="E3135" t="s">
        <v>6264</v>
      </c>
      <c r="F3135" t="str">
        <f t="shared" si="172"/>
        <v>1120455</v>
      </c>
    </row>
    <row r="3136" spans="1:6" hidden="1" x14ac:dyDescent="0.25">
      <c r="A3136">
        <v>20854</v>
      </c>
      <c r="B3136" t="s">
        <v>10</v>
      </c>
      <c r="C3136" t="s">
        <v>6265</v>
      </c>
      <c r="D3136" t="str">
        <f t="shared" si="173"/>
        <v/>
      </c>
      <c r="E3136" t="s">
        <v>6266</v>
      </c>
      <c r="F3136" t="str">
        <f t="shared" si="172"/>
        <v>1120455</v>
      </c>
    </row>
    <row r="3137" spans="1:6" x14ac:dyDescent="0.25">
      <c r="A3137">
        <v>20855</v>
      </c>
      <c r="B3137" t="s">
        <v>7</v>
      </c>
      <c r="C3137" t="s">
        <v>6267</v>
      </c>
      <c r="D3137" t="str">
        <f t="shared" si="173"/>
        <v/>
      </c>
      <c r="E3137" t="s">
        <v>6268</v>
      </c>
      <c r="F3137" t="s">
        <v>6999</v>
      </c>
    </row>
    <row r="3138" spans="1:6" hidden="1" x14ac:dyDescent="0.25">
      <c r="A3138">
        <v>20856</v>
      </c>
      <c r="B3138" t="s">
        <v>10</v>
      </c>
      <c r="C3138" t="s">
        <v>6269</v>
      </c>
      <c r="D3138" t="str">
        <f t="shared" si="173"/>
        <v/>
      </c>
      <c r="E3138" t="s">
        <v>6270</v>
      </c>
      <c r="F3138" t="str">
        <f t="shared" ref="F3138:F3182" si="174">LEFT(C3138,7)</f>
        <v>1123456</v>
      </c>
    </row>
    <row r="3139" spans="1:6" hidden="1" x14ac:dyDescent="0.25">
      <c r="A3139">
        <v>20857</v>
      </c>
      <c r="B3139" t="s">
        <v>10</v>
      </c>
      <c r="C3139" t="s">
        <v>6271</v>
      </c>
      <c r="D3139" t="str">
        <f t="shared" si="173"/>
        <v/>
      </c>
      <c r="E3139" t="s">
        <v>6272</v>
      </c>
      <c r="F3139" t="str">
        <f t="shared" si="174"/>
        <v>1123456</v>
      </c>
    </row>
    <row r="3140" spans="1:6" hidden="1" x14ac:dyDescent="0.25">
      <c r="A3140">
        <v>20858</v>
      </c>
      <c r="B3140" t="s">
        <v>10</v>
      </c>
      <c r="C3140" t="s">
        <v>6273</v>
      </c>
      <c r="D3140" t="str">
        <f t="shared" si="173"/>
        <v/>
      </c>
      <c r="E3140" t="s">
        <v>6274</v>
      </c>
      <c r="F3140" t="str">
        <f t="shared" si="174"/>
        <v>1123456</v>
      </c>
    </row>
    <row r="3141" spans="1:6" hidden="1" x14ac:dyDescent="0.25">
      <c r="A3141">
        <v>20859</v>
      </c>
      <c r="B3141" t="s">
        <v>4</v>
      </c>
      <c r="C3141" t="s">
        <v>6275</v>
      </c>
      <c r="D3141" t="str">
        <f t="shared" si="173"/>
        <v/>
      </c>
      <c r="E3141" t="s">
        <v>6276</v>
      </c>
      <c r="F3141" t="str">
        <f t="shared" si="174"/>
        <v>8522999</v>
      </c>
    </row>
    <row r="3142" spans="1:6" x14ac:dyDescent="0.25">
      <c r="A3142">
        <v>20865</v>
      </c>
      <c r="B3142" t="s">
        <v>7</v>
      </c>
      <c r="C3142" t="s">
        <v>6277</v>
      </c>
      <c r="D3142" t="str">
        <f t="shared" si="173"/>
        <v/>
      </c>
      <c r="E3142" t="s">
        <v>6278</v>
      </c>
      <c r="F3142" t="str">
        <f t="shared" si="174"/>
        <v>2220030</v>
      </c>
    </row>
    <row r="3143" spans="1:6" hidden="1" x14ac:dyDescent="0.25">
      <c r="A3143">
        <v>20866</v>
      </c>
      <c r="B3143" t="s">
        <v>10</v>
      </c>
      <c r="C3143" t="s">
        <v>6279</v>
      </c>
      <c r="D3143" t="str">
        <f t="shared" si="173"/>
        <v/>
      </c>
      <c r="E3143" t="s">
        <v>6280</v>
      </c>
      <c r="F3143" t="str">
        <f t="shared" si="174"/>
        <v>2220030</v>
      </c>
    </row>
    <row r="3144" spans="1:6" hidden="1" x14ac:dyDescent="0.25">
      <c r="A3144">
        <v>20871</v>
      </c>
      <c r="B3144" t="s">
        <v>10</v>
      </c>
      <c r="C3144" t="s">
        <v>6281</v>
      </c>
      <c r="D3144" t="str">
        <f t="shared" si="173"/>
        <v/>
      </c>
      <c r="E3144" t="s">
        <v>6282</v>
      </c>
      <c r="F3144" t="str">
        <f t="shared" si="174"/>
        <v>2220030</v>
      </c>
    </row>
    <row r="3145" spans="1:6" hidden="1" x14ac:dyDescent="0.25">
      <c r="A3145">
        <v>20872</v>
      </c>
      <c r="B3145" t="s">
        <v>10</v>
      </c>
      <c r="C3145" t="s">
        <v>6283</v>
      </c>
      <c r="D3145" t="str">
        <f t="shared" si="173"/>
        <v/>
      </c>
      <c r="E3145" t="s">
        <v>6284</v>
      </c>
      <c r="F3145" t="str">
        <f t="shared" si="174"/>
        <v>2220030</v>
      </c>
    </row>
    <row r="3146" spans="1:6" hidden="1" x14ac:dyDescent="0.25">
      <c r="A3146">
        <v>20873</v>
      </c>
      <c r="B3146" t="s">
        <v>10</v>
      </c>
      <c r="C3146" t="s">
        <v>6285</v>
      </c>
      <c r="D3146" t="str">
        <f t="shared" si="173"/>
        <v/>
      </c>
      <c r="E3146" t="s">
        <v>6286</v>
      </c>
      <c r="F3146" t="str">
        <f t="shared" si="174"/>
        <v>2220030</v>
      </c>
    </row>
    <row r="3147" spans="1:6" hidden="1" x14ac:dyDescent="0.25">
      <c r="A3147">
        <v>20874</v>
      </c>
      <c r="B3147" t="s">
        <v>10</v>
      </c>
      <c r="C3147" t="s">
        <v>6287</v>
      </c>
      <c r="D3147" t="str">
        <f t="shared" si="173"/>
        <v/>
      </c>
      <c r="E3147" t="s">
        <v>6288</v>
      </c>
      <c r="F3147" t="str">
        <f t="shared" si="174"/>
        <v>2220030</v>
      </c>
    </row>
    <row r="3148" spans="1:6" hidden="1" x14ac:dyDescent="0.25">
      <c r="A3148">
        <v>20875</v>
      </c>
      <c r="B3148" t="s">
        <v>10</v>
      </c>
      <c r="C3148" t="s">
        <v>6289</v>
      </c>
      <c r="D3148" t="str">
        <f t="shared" si="173"/>
        <v/>
      </c>
      <c r="E3148" t="s">
        <v>6290</v>
      </c>
      <c r="F3148" t="str">
        <f t="shared" si="174"/>
        <v>2220030</v>
      </c>
    </row>
    <row r="3149" spans="1:6" hidden="1" x14ac:dyDescent="0.25">
      <c r="A3149">
        <v>20876</v>
      </c>
      <c r="B3149" t="s">
        <v>10</v>
      </c>
      <c r="C3149" t="s">
        <v>6291</v>
      </c>
      <c r="D3149" t="str">
        <f t="shared" si="173"/>
        <v/>
      </c>
      <c r="E3149" t="s">
        <v>6292</v>
      </c>
      <c r="F3149" t="str">
        <f t="shared" si="174"/>
        <v>2220030</v>
      </c>
    </row>
    <row r="3150" spans="1:6" x14ac:dyDescent="0.25">
      <c r="A3150">
        <v>20877</v>
      </c>
      <c r="B3150" t="s">
        <v>7</v>
      </c>
      <c r="C3150" t="s">
        <v>6293</v>
      </c>
      <c r="D3150" t="str">
        <f t="shared" si="173"/>
        <v/>
      </c>
      <c r="E3150" t="s">
        <v>6294</v>
      </c>
      <c r="F3150" t="str">
        <f t="shared" si="174"/>
        <v>2220034</v>
      </c>
    </row>
    <row r="3151" spans="1:6" hidden="1" x14ac:dyDescent="0.25">
      <c r="A3151">
        <v>20878</v>
      </c>
      <c r="B3151" t="s">
        <v>10</v>
      </c>
      <c r="C3151" t="s">
        <v>6295</v>
      </c>
      <c r="D3151" t="str">
        <f t="shared" si="173"/>
        <v/>
      </c>
      <c r="E3151" t="s">
        <v>6296</v>
      </c>
      <c r="F3151" t="str">
        <f t="shared" si="174"/>
        <v>2220034</v>
      </c>
    </row>
    <row r="3152" spans="1:6" hidden="1" x14ac:dyDescent="0.25">
      <c r="A3152">
        <v>20882</v>
      </c>
      <c r="B3152" t="s">
        <v>10</v>
      </c>
      <c r="C3152" t="s">
        <v>6297</v>
      </c>
      <c r="D3152" t="str">
        <f t="shared" si="173"/>
        <v/>
      </c>
      <c r="E3152" t="s">
        <v>6298</v>
      </c>
      <c r="F3152" t="str">
        <f t="shared" si="174"/>
        <v>2220034</v>
      </c>
    </row>
    <row r="3153" spans="1:6" hidden="1" x14ac:dyDescent="0.25">
      <c r="A3153">
        <v>20883</v>
      </c>
      <c r="B3153" t="s">
        <v>10</v>
      </c>
      <c r="C3153" t="s">
        <v>6299</v>
      </c>
      <c r="D3153" t="str">
        <f t="shared" si="173"/>
        <v/>
      </c>
      <c r="E3153" t="s">
        <v>6300</v>
      </c>
      <c r="F3153" t="str">
        <f t="shared" si="174"/>
        <v>2220034</v>
      </c>
    </row>
    <row r="3154" spans="1:6" hidden="1" x14ac:dyDescent="0.25">
      <c r="A3154">
        <v>20884</v>
      </c>
      <c r="B3154" t="s">
        <v>10</v>
      </c>
      <c r="C3154" t="s">
        <v>6301</v>
      </c>
      <c r="D3154" t="str">
        <f t="shared" si="173"/>
        <v/>
      </c>
      <c r="E3154" t="s">
        <v>6302</v>
      </c>
      <c r="F3154" t="str">
        <f t="shared" si="174"/>
        <v>2220034</v>
      </c>
    </row>
    <row r="3155" spans="1:6" hidden="1" x14ac:dyDescent="0.25">
      <c r="A3155">
        <v>20885</v>
      </c>
      <c r="B3155" t="s">
        <v>10</v>
      </c>
      <c r="C3155" t="s">
        <v>6303</v>
      </c>
      <c r="D3155" t="str">
        <f t="shared" si="173"/>
        <v/>
      </c>
      <c r="E3155" t="s">
        <v>6304</v>
      </c>
      <c r="F3155" t="str">
        <f t="shared" si="174"/>
        <v>2220034</v>
      </c>
    </row>
    <row r="3156" spans="1:6" hidden="1" x14ac:dyDescent="0.25">
      <c r="A3156">
        <v>20886</v>
      </c>
      <c r="B3156" t="s">
        <v>10</v>
      </c>
      <c r="C3156" t="s">
        <v>6305</v>
      </c>
      <c r="D3156" t="str">
        <f t="shared" si="173"/>
        <v/>
      </c>
      <c r="E3156" t="s">
        <v>6306</v>
      </c>
      <c r="F3156" t="str">
        <f t="shared" si="174"/>
        <v>2220034</v>
      </c>
    </row>
    <row r="3157" spans="1:6" hidden="1" x14ac:dyDescent="0.25">
      <c r="A3157">
        <v>20887</v>
      </c>
      <c r="B3157" t="s">
        <v>10</v>
      </c>
      <c r="C3157" t="s">
        <v>6307</v>
      </c>
      <c r="D3157" t="str">
        <f t="shared" si="173"/>
        <v/>
      </c>
      <c r="E3157" t="s">
        <v>6308</v>
      </c>
      <c r="F3157" t="str">
        <f t="shared" si="174"/>
        <v>2220034</v>
      </c>
    </row>
    <row r="3158" spans="1:6" x14ac:dyDescent="0.25">
      <c r="A3158">
        <v>20888</v>
      </c>
      <c r="B3158" t="s">
        <v>7</v>
      </c>
      <c r="C3158" t="s">
        <v>6309</v>
      </c>
      <c r="D3158" t="str">
        <f t="shared" si="173"/>
        <v/>
      </c>
      <c r="E3158" t="s">
        <v>6310</v>
      </c>
      <c r="F3158" t="str">
        <f t="shared" si="174"/>
        <v>2220037</v>
      </c>
    </row>
    <row r="3159" spans="1:6" hidden="1" x14ac:dyDescent="0.25">
      <c r="A3159">
        <v>20889</v>
      </c>
      <c r="B3159" t="s">
        <v>10</v>
      </c>
      <c r="C3159" t="s">
        <v>6311</v>
      </c>
      <c r="D3159" t="str">
        <f t="shared" si="173"/>
        <v/>
      </c>
      <c r="E3159" t="s">
        <v>6312</v>
      </c>
      <c r="F3159" t="str">
        <f t="shared" si="174"/>
        <v>2220037</v>
      </c>
    </row>
    <row r="3160" spans="1:6" hidden="1" x14ac:dyDescent="0.25">
      <c r="A3160">
        <v>20890</v>
      </c>
      <c r="B3160" t="s">
        <v>10</v>
      </c>
      <c r="C3160" t="s">
        <v>6313</v>
      </c>
      <c r="D3160" t="str">
        <f t="shared" si="173"/>
        <v/>
      </c>
      <c r="E3160" t="s">
        <v>6314</v>
      </c>
      <c r="F3160" t="str">
        <f t="shared" si="174"/>
        <v>2220037</v>
      </c>
    </row>
    <row r="3161" spans="1:6" hidden="1" x14ac:dyDescent="0.25">
      <c r="A3161">
        <v>20891</v>
      </c>
      <c r="B3161" t="s">
        <v>10</v>
      </c>
      <c r="C3161" t="s">
        <v>6315</v>
      </c>
      <c r="D3161" t="str">
        <f t="shared" si="173"/>
        <v/>
      </c>
      <c r="E3161" t="s">
        <v>6316</v>
      </c>
      <c r="F3161" t="str">
        <f t="shared" si="174"/>
        <v>2220037</v>
      </c>
    </row>
    <row r="3162" spans="1:6" hidden="1" x14ac:dyDescent="0.25">
      <c r="A3162">
        <v>20892</v>
      </c>
      <c r="B3162" t="s">
        <v>10</v>
      </c>
      <c r="C3162" t="s">
        <v>6317</v>
      </c>
      <c r="D3162" t="str">
        <f t="shared" si="173"/>
        <v/>
      </c>
      <c r="E3162" t="s">
        <v>6318</v>
      </c>
      <c r="F3162" t="str">
        <f t="shared" si="174"/>
        <v>2220037</v>
      </c>
    </row>
    <row r="3163" spans="1:6" hidden="1" x14ac:dyDescent="0.25">
      <c r="A3163">
        <v>20893</v>
      </c>
      <c r="B3163" t="s">
        <v>10</v>
      </c>
      <c r="C3163" t="s">
        <v>6319</v>
      </c>
      <c r="D3163" t="str">
        <f t="shared" si="173"/>
        <v/>
      </c>
      <c r="E3163" t="s">
        <v>6320</v>
      </c>
      <c r="F3163" t="str">
        <f t="shared" si="174"/>
        <v>2220037</v>
      </c>
    </row>
    <row r="3164" spans="1:6" hidden="1" x14ac:dyDescent="0.25">
      <c r="A3164">
        <v>20894</v>
      </c>
      <c r="B3164" t="s">
        <v>10</v>
      </c>
      <c r="C3164" t="s">
        <v>6321</v>
      </c>
      <c r="D3164" t="str">
        <f t="shared" si="173"/>
        <v/>
      </c>
      <c r="E3164" t="s">
        <v>6322</v>
      </c>
      <c r="F3164" t="str">
        <f t="shared" si="174"/>
        <v>2220037</v>
      </c>
    </row>
    <row r="3165" spans="1:6" hidden="1" x14ac:dyDescent="0.25">
      <c r="A3165">
        <v>20895</v>
      </c>
      <c r="B3165" t="s">
        <v>10</v>
      </c>
      <c r="C3165" t="s">
        <v>6323</v>
      </c>
      <c r="D3165" t="str">
        <f t="shared" si="173"/>
        <v/>
      </c>
      <c r="E3165" t="s">
        <v>6324</v>
      </c>
      <c r="F3165" t="str">
        <f t="shared" si="174"/>
        <v>2220037</v>
      </c>
    </row>
    <row r="3166" spans="1:6" x14ac:dyDescent="0.25">
      <c r="A3166">
        <v>20896</v>
      </c>
      <c r="B3166" t="s">
        <v>7</v>
      </c>
      <c r="C3166" t="s">
        <v>6325</v>
      </c>
      <c r="D3166" t="str">
        <f t="shared" si="173"/>
        <v/>
      </c>
      <c r="E3166" t="s">
        <v>6326</v>
      </c>
      <c r="F3166" t="str">
        <f t="shared" si="174"/>
        <v>2220032</v>
      </c>
    </row>
    <row r="3167" spans="1:6" hidden="1" x14ac:dyDescent="0.25">
      <c r="A3167">
        <v>20897</v>
      </c>
      <c r="B3167" t="s">
        <v>10</v>
      </c>
      <c r="C3167" t="s">
        <v>6327</v>
      </c>
      <c r="D3167" t="str">
        <f t="shared" si="173"/>
        <v/>
      </c>
      <c r="E3167" t="s">
        <v>6328</v>
      </c>
      <c r="F3167" t="str">
        <f t="shared" si="174"/>
        <v>2220032</v>
      </c>
    </row>
    <row r="3168" spans="1:6" hidden="1" x14ac:dyDescent="0.25">
      <c r="A3168">
        <v>20898</v>
      </c>
      <c r="B3168" t="s">
        <v>10</v>
      </c>
      <c r="C3168" t="s">
        <v>6329</v>
      </c>
      <c r="D3168" t="str">
        <f t="shared" si="173"/>
        <v/>
      </c>
      <c r="E3168" t="s">
        <v>6330</v>
      </c>
      <c r="F3168" t="str">
        <f t="shared" si="174"/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 t="shared" si="173"/>
        <v/>
      </c>
      <c r="E3169" t="s">
        <v>6332</v>
      </c>
      <c r="F3169" t="str">
        <f t="shared" si="174"/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 t="shared" si="173"/>
        <v/>
      </c>
      <c r="E3170" t="s">
        <v>6334</v>
      </c>
      <c r="F3170" t="str">
        <f t="shared" si="174"/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 t="shared" si="173"/>
        <v/>
      </c>
      <c r="E3171" t="s">
        <v>6336</v>
      </c>
      <c r="F3171" t="str">
        <f t="shared" si="174"/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 t="shared" si="173"/>
        <v/>
      </c>
      <c r="E3172" t="s">
        <v>6338</v>
      </c>
      <c r="F3172" t="str">
        <f t="shared" si="174"/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 t="shared" si="173"/>
        <v/>
      </c>
      <c r="E3173" t="s">
        <v>6340</v>
      </c>
      <c r="F3173" t="str">
        <f t="shared" si="174"/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 t="shared" si="173"/>
        <v/>
      </c>
      <c r="E3174" t="s">
        <v>6342</v>
      </c>
      <c r="F3174" t="str">
        <f t="shared" si="174"/>
        <v>8705914</v>
      </c>
    </row>
    <row r="3175" spans="1:9" x14ac:dyDescent="0.25">
      <c r="A3175">
        <v>20918</v>
      </c>
      <c r="B3175" t="s">
        <v>7</v>
      </c>
      <c r="C3175" t="s">
        <v>6343</v>
      </c>
      <c r="D3175" t="str">
        <f t="shared" si="173"/>
        <v/>
      </c>
      <c r="E3175" t="s">
        <v>6344</v>
      </c>
      <c r="F3175" t="str">
        <f t="shared" si="174"/>
        <v>9003100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 t="shared" si="173"/>
        <v/>
      </c>
      <c r="E3176" t="s">
        <v>6346</v>
      </c>
      <c r="F3176" t="str">
        <f t="shared" si="174"/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 t="shared" si="173"/>
        <v/>
      </c>
      <c r="E3177" t="s">
        <v>6348</v>
      </c>
      <c r="F3177" t="str">
        <f t="shared" si="174"/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 t="shared" si="173"/>
        <v/>
      </c>
      <c r="E3178" t="s">
        <v>6350</v>
      </c>
      <c r="F3178" t="str">
        <f t="shared" si="174"/>
        <v>9003100</v>
      </c>
    </row>
    <row r="3179" spans="1:9" x14ac:dyDescent="0.25">
      <c r="A3179">
        <v>20922</v>
      </c>
      <c r="B3179" t="s">
        <v>7</v>
      </c>
      <c r="C3179" t="s">
        <v>6351</v>
      </c>
      <c r="D3179" t="str">
        <f t="shared" si="173"/>
        <v/>
      </c>
      <c r="E3179" t="s">
        <v>6352</v>
      </c>
      <c r="F3179" t="str">
        <f t="shared" si="174"/>
        <v>9003101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 t="shared" si="173"/>
        <v/>
      </c>
      <c r="E3180" t="s">
        <v>6354</v>
      </c>
      <c r="F3180" t="str">
        <f t="shared" si="174"/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 t="shared" si="173"/>
        <v/>
      </c>
      <c r="E3181" t="s">
        <v>6356</v>
      </c>
      <c r="F3181" t="str">
        <f t="shared" si="174"/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 t="shared" si="173"/>
        <v/>
      </c>
      <c r="E3182" t="s">
        <v>6358</v>
      </c>
      <c r="F3182" t="str">
        <f t="shared" si="174"/>
        <v>9003101</v>
      </c>
    </row>
    <row r="3183" spans="1:9" x14ac:dyDescent="0.25">
      <c r="A3183">
        <v>20926</v>
      </c>
      <c r="B3183" t="s">
        <v>7</v>
      </c>
      <c r="C3183" t="s">
        <v>6359</v>
      </c>
      <c r="D3183" t="str">
        <f t="shared" si="173"/>
        <v/>
      </c>
      <c r="E3183" t="s">
        <v>6360</v>
      </c>
      <c r="F3183" t="s">
        <v>6926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 t="shared" si="173"/>
        <v/>
      </c>
      <c r="E3184" t="s">
        <v>6362</v>
      </c>
      <c r="F3184" t="str">
        <f t="shared" ref="F3184:F3215" si="175"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 t="shared" si="173"/>
        <v/>
      </c>
      <c r="E3185" t="s">
        <v>6364</v>
      </c>
      <c r="F3185" t="str">
        <f t="shared" si="175"/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 t="shared" si="173"/>
        <v/>
      </c>
      <c r="E3186" t="s">
        <v>6366</v>
      </c>
      <c r="F3186" t="str">
        <f t="shared" si="175"/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 t="shared" si="173"/>
        <v/>
      </c>
      <c r="E3187" t="s">
        <v>6368</v>
      </c>
      <c r="F3187" t="str">
        <f t="shared" si="175"/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 t="shared" si="173"/>
        <v/>
      </c>
      <c r="E3188" t="s">
        <v>6370</v>
      </c>
      <c r="F3188" t="str">
        <f t="shared" si="175"/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 t="shared" si="173"/>
        <v/>
      </c>
      <c r="E3189" t="s">
        <v>6372</v>
      </c>
      <c r="F3189" t="str">
        <f t="shared" si="175"/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 t="shared" si="173"/>
        <v/>
      </c>
      <c r="E3190" t="s">
        <v>6374</v>
      </c>
      <c r="F3190" t="str">
        <f t="shared" si="175"/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 t="shared" si="173"/>
        <v/>
      </c>
      <c r="E3191" t="s">
        <v>6376</v>
      </c>
      <c r="F3191" t="str">
        <f t="shared" si="175"/>
        <v>1120323</v>
      </c>
    </row>
    <row r="3192" spans="1:9" x14ac:dyDescent="0.25">
      <c r="A3192">
        <v>20939</v>
      </c>
      <c r="B3192" t="s">
        <v>7</v>
      </c>
      <c r="C3192" t="s">
        <v>6377</v>
      </c>
      <c r="D3192" t="str">
        <f t="shared" si="173"/>
        <v/>
      </c>
      <c r="E3192" t="s">
        <v>6378</v>
      </c>
      <c r="F3192" t="str">
        <f t="shared" si="175"/>
        <v>8205120</v>
      </c>
      <c r="H3192">
        <v>2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 t="shared" si="173"/>
        <v/>
      </c>
      <c r="E3193" t="s">
        <v>6380</v>
      </c>
      <c r="F3193" t="str">
        <f t="shared" si="175"/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 t="shared" si="173"/>
        <v/>
      </c>
      <c r="E3194" t="s">
        <v>6382</v>
      </c>
      <c r="F3194" t="str">
        <f t="shared" si="175"/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 t="shared" si="173"/>
        <v/>
      </c>
      <c r="E3195" t="s">
        <v>6384</v>
      </c>
      <c r="F3195" t="str">
        <f t="shared" si="175"/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 t="shared" ref="D3196:D3259" si="176">IF(RIGHT(LEFT(C3196,9),2)="##","",RIGHT(LEFT(C3196,10),2))</f>
        <v/>
      </c>
      <c r="E3196" t="s">
        <v>6386</v>
      </c>
      <c r="F3196" t="str">
        <f t="shared" si="175"/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 t="shared" si="176"/>
        <v/>
      </c>
      <c r="E3197" t="s">
        <v>6388</v>
      </c>
      <c r="F3197" t="str">
        <f t="shared" si="175"/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 t="shared" si="176"/>
        <v/>
      </c>
      <c r="E3198" t="s">
        <v>6390</v>
      </c>
      <c r="F3198" t="str">
        <f t="shared" si="175"/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 t="shared" si="176"/>
        <v/>
      </c>
      <c r="E3199" t="s">
        <v>6392</v>
      </c>
      <c r="F3199" t="str">
        <f t="shared" si="175"/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 t="shared" si="176"/>
        <v/>
      </c>
      <c r="E3200" t="s">
        <v>6394</v>
      </c>
      <c r="F3200" t="str">
        <f t="shared" si="175"/>
        <v>8205120</v>
      </c>
    </row>
    <row r="3201" spans="1:8" hidden="1" x14ac:dyDescent="0.25">
      <c r="A3201">
        <v>20950</v>
      </c>
      <c r="B3201" t="s">
        <v>10</v>
      </c>
      <c r="C3201" t="s">
        <v>6395</v>
      </c>
      <c r="D3201" t="str">
        <f t="shared" si="176"/>
        <v/>
      </c>
      <c r="E3201" t="s">
        <v>6396</v>
      </c>
      <c r="F3201" t="str">
        <f t="shared" si="175"/>
        <v>8205120</v>
      </c>
    </row>
    <row r="3202" spans="1:8" hidden="1" x14ac:dyDescent="0.25">
      <c r="A3202">
        <v>20951</v>
      </c>
      <c r="B3202" t="s">
        <v>10</v>
      </c>
      <c r="C3202" t="s">
        <v>6397</v>
      </c>
      <c r="D3202" t="str">
        <f t="shared" si="176"/>
        <v/>
      </c>
      <c r="E3202" t="s">
        <v>6398</v>
      </c>
      <c r="F3202" t="str">
        <f t="shared" si="175"/>
        <v>8205120</v>
      </c>
    </row>
    <row r="3203" spans="1:8" hidden="1" x14ac:dyDescent="0.25">
      <c r="A3203">
        <v>20952</v>
      </c>
      <c r="B3203" t="s">
        <v>10</v>
      </c>
      <c r="C3203" t="s">
        <v>6399</v>
      </c>
      <c r="D3203" t="str">
        <f t="shared" si="176"/>
        <v/>
      </c>
      <c r="E3203" t="s">
        <v>6400</v>
      </c>
      <c r="F3203" t="str">
        <f t="shared" si="175"/>
        <v>8205120</v>
      </c>
    </row>
    <row r="3204" spans="1:8" hidden="1" x14ac:dyDescent="0.25">
      <c r="A3204">
        <v>20953</v>
      </c>
      <c r="B3204" t="s">
        <v>10</v>
      </c>
      <c r="C3204" t="s">
        <v>6401</v>
      </c>
      <c r="D3204" t="str">
        <f t="shared" si="176"/>
        <v/>
      </c>
      <c r="E3204" t="s">
        <v>6402</v>
      </c>
      <c r="F3204" t="str">
        <f t="shared" si="175"/>
        <v>8205120</v>
      </c>
    </row>
    <row r="3205" spans="1:8" hidden="1" x14ac:dyDescent="0.25">
      <c r="A3205">
        <v>20954</v>
      </c>
      <c r="B3205" t="s">
        <v>10</v>
      </c>
      <c r="C3205" t="s">
        <v>6403</v>
      </c>
      <c r="D3205" t="str">
        <f t="shared" si="176"/>
        <v/>
      </c>
      <c r="E3205" t="s">
        <v>6404</v>
      </c>
      <c r="F3205" t="str">
        <f t="shared" si="175"/>
        <v>8205120</v>
      </c>
    </row>
    <row r="3206" spans="1:8" hidden="1" x14ac:dyDescent="0.25">
      <c r="A3206">
        <v>20955</v>
      </c>
      <c r="B3206" t="s">
        <v>10</v>
      </c>
      <c r="C3206" t="s">
        <v>6405</v>
      </c>
      <c r="D3206" t="str">
        <f t="shared" si="176"/>
        <v/>
      </c>
      <c r="E3206" t="s">
        <v>6406</v>
      </c>
      <c r="F3206" t="str">
        <f t="shared" si="175"/>
        <v>8205120</v>
      </c>
    </row>
    <row r="3207" spans="1:8" x14ac:dyDescent="0.25">
      <c r="A3207">
        <v>20956</v>
      </c>
      <c r="B3207" t="s">
        <v>7</v>
      </c>
      <c r="C3207" t="s">
        <v>6407</v>
      </c>
      <c r="D3207" t="str">
        <f t="shared" si="176"/>
        <v/>
      </c>
      <c r="E3207" t="s">
        <v>6408</v>
      </c>
      <c r="F3207" t="str">
        <f t="shared" si="175"/>
        <v>8301805</v>
      </c>
      <c r="H3207">
        <v>2</v>
      </c>
    </row>
    <row r="3208" spans="1:8" hidden="1" x14ac:dyDescent="0.25">
      <c r="A3208">
        <v>20957</v>
      </c>
      <c r="B3208" t="s">
        <v>10</v>
      </c>
      <c r="C3208" t="s">
        <v>6409</v>
      </c>
      <c r="D3208" t="str">
        <f t="shared" si="176"/>
        <v/>
      </c>
      <c r="E3208" t="s">
        <v>6410</v>
      </c>
      <c r="F3208" t="str">
        <f t="shared" si="175"/>
        <v>8301805</v>
      </c>
    </row>
    <row r="3209" spans="1:8" hidden="1" x14ac:dyDescent="0.25">
      <c r="A3209">
        <v>20961</v>
      </c>
      <c r="B3209" t="s">
        <v>10</v>
      </c>
      <c r="C3209" t="s">
        <v>6411</v>
      </c>
      <c r="D3209" t="str">
        <f t="shared" si="176"/>
        <v/>
      </c>
      <c r="E3209" t="s">
        <v>6412</v>
      </c>
      <c r="F3209" t="str">
        <f t="shared" si="175"/>
        <v>8301805</v>
      </c>
    </row>
    <row r="3210" spans="1:8" hidden="1" x14ac:dyDescent="0.25">
      <c r="A3210">
        <v>20962</v>
      </c>
      <c r="B3210" t="s">
        <v>10</v>
      </c>
      <c r="C3210" t="s">
        <v>6413</v>
      </c>
      <c r="D3210" t="str">
        <f t="shared" si="176"/>
        <v/>
      </c>
      <c r="E3210" t="s">
        <v>6414</v>
      </c>
      <c r="F3210" t="str">
        <f t="shared" si="175"/>
        <v>8301805</v>
      </c>
    </row>
    <row r="3211" spans="1:8" hidden="1" x14ac:dyDescent="0.25">
      <c r="A3211">
        <v>20963</v>
      </c>
      <c r="B3211" t="s">
        <v>4</v>
      </c>
      <c r="C3211" t="s">
        <v>6415</v>
      </c>
      <c r="D3211" t="str">
        <f t="shared" si="176"/>
        <v/>
      </c>
      <c r="E3211" t="s">
        <v>6416</v>
      </c>
      <c r="F3211" t="str">
        <f t="shared" si="175"/>
        <v>8505162</v>
      </c>
    </row>
    <row r="3212" spans="1:8" x14ac:dyDescent="0.25">
      <c r="A3212">
        <v>20967</v>
      </c>
      <c r="B3212" t="s">
        <v>7</v>
      </c>
      <c r="C3212" t="s">
        <v>6417</v>
      </c>
      <c r="D3212" t="str">
        <f t="shared" si="176"/>
        <v/>
      </c>
      <c r="E3212" t="s">
        <v>6418</v>
      </c>
      <c r="F3212" t="str">
        <f t="shared" si="175"/>
        <v>5101090</v>
      </c>
      <c r="H3212">
        <v>7</v>
      </c>
    </row>
    <row r="3213" spans="1:8" hidden="1" x14ac:dyDescent="0.25">
      <c r="A3213">
        <v>20968</v>
      </c>
      <c r="B3213" t="s">
        <v>10</v>
      </c>
      <c r="C3213" t="s">
        <v>6419</v>
      </c>
      <c r="D3213" t="str">
        <f t="shared" si="176"/>
        <v/>
      </c>
      <c r="E3213" t="s">
        <v>6420</v>
      </c>
      <c r="F3213" t="str">
        <f t="shared" si="175"/>
        <v>5101090</v>
      </c>
    </row>
    <row r="3214" spans="1:8" hidden="1" x14ac:dyDescent="0.25">
      <c r="A3214">
        <v>20969</v>
      </c>
      <c r="B3214" t="s">
        <v>10</v>
      </c>
      <c r="C3214" t="s">
        <v>6421</v>
      </c>
      <c r="D3214" t="str">
        <f t="shared" si="176"/>
        <v/>
      </c>
      <c r="E3214" t="s">
        <v>6422</v>
      </c>
      <c r="F3214" t="str">
        <f t="shared" si="175"/>
        <v>5101090</v>
      </c>
    </row>
    <row r="3215" spans="1:8" hidden="1" x14ac:dyDescent="0.25">
      <c r="A3215">
        <v>20970</v>
      </c>
      <c r="B3215" t="s">
        <v>10</v>
      </c>
      <c r="C3215" t="s">
        <v>6423</v>
      </c>
      <c r="D3215" t="str">
        <f t="shared" si="176"/>
        <v/>
      </c>
      <c r="E3215" t="s">
        <v>6424</v>
      </c>
      <c r="F3215" t="str">
        <f t="shared" si="175"/>
        <v>5101090</v>
      </c>
    </row>
    <row r="3216" spans="1:8" hidden="1" x14ac:dyDescent="0.25">
      <c r="A3216">
        <v>20971</v>
      </c>
      <c r="B3216" t="s">
        <v>10</v>
      </c>
      <c r="C3216" t="s">
        <v>6425</v>
      </c>
      <c r="D3216" t="str">
        <f t="shared" si="176"/>
        <v/>
      </c>
      <c r="E3216" t="s">
        <v>6426</v>
      </c>
      <c r="F3216" t="str">
        <f t="shared" ref="F3216:F3242" si="177">LEFT(C3216,7)</f>
        <v>5101090</v>
      </c>
    </row>
    <row r="3217" spans="1:8" hidden="1" x14ac:dyDescent="0.25">
      <c r="A3217">
        <v>20972</v>
      </c>
      <c r="B3217" t="s">
        <v>10</v>
      </c>
      <c r="C3217" t="s">
        <v>6427</v>
      </c>
      <c r="D3217" t="str">
        <f t="shared" si="176"/>
        <v/>
      </c>
      <c r="E3217" t="s">
        <v>6428</v>
      </c>
      <c r="F3217" t="str">
        <f t="shared" si="177"/>
        <v>5101090</v>
      </c>
    </row>
    <row r="3218" spans="1:8" hidden="1" x14ac:dyDescent="0.25">
      <c r="A3218">
        <v>20973</v>
      </c>
      <c r="B3218" t="s">
        <v>10</v>
      </c>
      <c r="C3218" t="s">
        <v>6429</v>
      </c>
      <c r="D3218" t="str">
        <f t="shared" si="176"/>
        <v/>
      </c>
      <c r="E3218" t="s">
        <v>6430</v>
      </c>
      <c r="F3218" t="str">
        <f t="shared" si="177"/>
        <v>5101090</v>
      </c>
    </row>
    <row r="3219" spans="1:8" hidden="1" x14ac:dyDescent="0.25">
      <c r="A3219">
        <v>20974</v>
      </c>
      <c r="B3219" t="s">
        <v>10</v>
      </c>
      <c r="C3219" t="s">
        <v>6431</v>
      </c>
      <c r="D3219" t="str">
        <f t="shared" si="176"/>
        <v/>
      </c>
      <c r="E3219" t="s">
        <v>6432</v>
      </c>
      <c r="F3219" t="str">
        <f t="shared" si="177"/>
        <v>5101090</v>
      </c>
    </row>
    <row r="3220" spans="1:8" x14ac:dyDescent="0.25">
      <c r="A3220">
        <v>20975</v>
      </c>
      <c r="B3220" t="s">
        <v>7</v>
      </c>
      <c r="C3220" t="s">
        <v>6433</v>
      </c>
      <c r="D3220" t="str">
        <f t="shared" si="176"/>
        <v/>
      </c>
      <c r="E3220" t="s">
        <v>6434</v>
      </c>
      <c r="F3220" t="str">
        <f t="shared" si="177"/>
        <v>5101093</v>
      </c>
      <c r="H3220">
        <v>7</v>
      </c>
    </row>
    <row r="3221" spans="1:8" hidden="1" x14ac:dyDescent="0.25">
      <c r="A3221">
        <v>20976</v>
      </c>
      <c r="B3221" t="s">
        <v>10</v>
      </c>
      <c r="C3221" t="s">
        <v>6435</v>
      </c>
      <c r="D3221" t="str">
        <f t="shared" si="176"/>
        <v/>
      </c>
      <c r="E3221" t="s">
        <v>6436</v>
      </c>
      <c r="F3221" t="str">
        <f t="shared" si="177"/>
        <v>5101093</v>
      </c>
    </row>
    <row r="3222" spans="1:8" hidden="1" x14ac:dyDescent="0.25">
      <c r="A3222">
        <v>20977</v>
      </c>
      <c r="B3222" t="s">
        <v>10</v>
      </c>
      <c r="C3222" t="s">
        <v>6437</v>
      </c>
      <c r="D3222" t="str">
        <f t="shared" si="176"/>
        <v/>
      </c>
      <c r="E3222" t="s">
        <v>6438</v>
      </c>
      <c r="F3222" t="str">
        <f t="shared" si="177"/>
        <v>5101093</v>
      </c>
    </row>
    <row r="3223" spans="1:8" hidden="1" x14ac:dyDescent="0.25">
      <c r="A3223">
        <v>20978</v>
      </c>
      <c r="B3223" t="s">
        <v>10</v>
      </c>
      <c r="C3223" t="s">
        <v>6439</v>
      </c>
      <c r="D3223" t="str">
        <f t="shared" si="176"/>
        <v/>
      </c>
      <c r="E3223" t="s">
        <v>6440</v>
      </c>
      <c r="F3223" t="str">
        <f t="shared" si="177"/>
        <v>5101093</v>
      </c>
    </row>
    <row r="3224" spans="1:8" hidden="1" x14ac:dyDescent="0.25">
      <c r="A3224">
        <v>20979</v>
      </c>
      <c r="B3224" t="s">
        <v>10</v>
      </c>
      <c r="C3224" t="s">
        <v>6441</v>
      </c>
      <c r="D3224" t="str">
        <f t="shared" si="176"/>
        <v/>
      </c>
      <c r="E3224" t="s">
        <v>6442</v>
      </c>
      <c r="F3224" t="str">
        <f t="shared" si="177"/>
        <v>5101093</v>
      </c>
    </row>
    <row r="3225" spans="1:8" hidden="1" x14ac:dyDescent="0.25">
      <c r="A3225">
        <v>20980</v>
      </c>
      <c r="B3225" t="s">
        <v>10</v>
      </c>
      <c r="C3225" t="s">
        <v>6443</v>
      </c>
      <c r="D3225" t="str">
        <f t="shared" si="176"/>
        <v/>
      </c>
      <c r="E3225" t="s">
        <v>6444</v>
      </c>
      <c r="F3225" t="str">
        <f t="shared" si="177"/>
        <v>5101093</v>
      </c>
    </row>
    <row r="3226" spans="1:8" hidden="1" x14ac:dyDescent="0.25">
      <c r="A3226">
        <v>20981</v>
      </c>
      <c r="B3226" t="s">
        <v>10</v>
      </c>
      <c r="C3226" t="s">
        <v>6445</v>
      </c>
      <c r="D3226" t="str">
        <f t="shared" si="176"/>
        <v/>
      </c>
      <c r="E3226" t="s">
        <v>6446</v>
      </c>
      <c r="F3226" t="str">
        <f t="shared" si="177"/>
        <v>5101093</v>
      </c>
    </row>
    <row r="3227" spans="1:8" hidden="1" x14ac:dyDescent="0.25">
      <c r="A3227">
        <v>20982</v>
      </c>
      <c r="B3227" t="s">
        <v>10</v>
      </c>
      <c r="C3227" t="s">
        <v>6447</v>
      </c>
      <c r="D3227" t="str">
        <f t="shared" si="176"/>
        <v/>
      </c>
      <c r="E3227" t="s">
        <v>6448</v>
      </c>
      <c r="F3227" t="str">
        <f t="shared" si="177"/>
        <v>5101093</v>
      </c>
    </row>
    <row r="3228" spans="1:8" hidden="1" x14ac:dyDescent="0.25">
      <c r="A3228">
        <v>20983</v>
      </c>
      <c r="B3228" t="s">
        <v>4</v>
      </c>
      <c r="C3228" t="s">
        <v>6449</v>
      </c>
      <c r="D3228" t="str">
        <f t="shared" si="176"/>
        <v/>
      </c>
      <c r="E3228" t="s">
        <v>6450</v>
      </c>
      <c r="F3228" t="str">
        <f t="shared" si="177"/>
        <v>7707572</v>
      </c>
    </row>
    <row r="3229" spans="1:8" hidden="1" x14ac:dyDescent="0.25">
      <c r="A3229">
        <v>20986</v>
      </c>
      <c r="B3229" t="s">
        <v>4</v>
      </c>
      <c r="C3229" t="s">
        <v>6451</v>
      </c>
      <c r="D3229" t="str">
        <f t="shared" si="176"/>
        <v/>
      </c>
      <c r="E3229" t="s">
        <v>6452</v>
      </c>
      <c r="F3229" t="str">
        <f t="shared" si="177"/>
        <v>8505172</v>
      </c>
    </row>
    <row r="3230" spans="1:8" hidden="1" x14ac:dyDescent="0.25">
      <c r="A3230">
        <v>20990</v>
      </c>
      <c r="B3230" t="s">
        <v>4</v>
      </c>
      <c r="C3230" t="s">
        <v>6453</v>
      </c>
      <c r="D3230" t="str">
        <f t="shared" si="176"/>
        <v/>
      </c>
      <c r="E3230" t="s">
        <v>6454</v>
      </c>
      <c r="F3230" t="str">
        <f t="shared" si="177"/>
        <v>7703664</v>
      </c>
    </row>
    <row r="3231" spans="1:8" hidden="1" x14ac:dyDescent="0.25">
      <c r="A3231">
        <v>20993</v>
      </c>
      <c r="B3231" t="s">
        <v>4</v>
      </c>
      <c r="C3231" t="s">
        <v>6455</v>
      </c>
      <c r="D3231" t="str">
        <f t="shared" si="176"/>
        <v/>
      </c>
      <c r="E3231" t="s">
        <v>6456</v>
      </c>
      <c r="F3231" t="str">
        <f t="shared" si="177"/>
        <v>7703665</v>
      </c>
    </row>
    <row r="3232" spans="1:8" hidden="1" x14ac:dyDescent="0.25">
      <c r="A3232">
        <v>20996</v>
      </c>
      <c r="B3232" t="s">
        <v>4</v>
      </c>
      <c r="C3232" t="s">
        <v>6457</v>
      </c>
      <c r="D3232" t="str">
        <f t="shared" si="176"/>
        <v/>
      </c>
      <c r="E3232" t="s">
        <v>6458</v>
      </c>
      <c r="F3232" t="str">
        <f t="shared" si="177"/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 t="shared" si="176"/>
        <v/>
      </c>
      <c r="E3233" t="s">
        <v>6460</v>
      </c>
      <c r="F3233" t="str">
        <f t="shared" si="177"/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 t="shared" si="176"/>
        <v/>
      </c>
      <c r="E3234" t="s">
        <v>6462</v>
      </c>
      <c r="F3234" t="str">
        <f t="shared" si="177"/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 t="shared" si="176"/>
        <v/>
      </c>
      <c r="E3235" t="s">
        <v>6464</v>
      </c>
      <c r="F3235" t="str">
        <f t="shared" si="177"/>
        <v>7703669</v>
      </c>
    </row>
    <row r="3236" spans="1:9" x14ac:dyDescent="0.25">
      <c r="A3236">
        <v>21008</v>
      </c>
      <c r="B3236" t="s">
        <v>7</v>
      </c>
      <c r="C3236" t="s">
        <v>6465</v>
      </c>
      <c r="D3236" t="str">
        <f t="shared" si="176"/>
        <v/>
      </c>
      <c r="E3236" t="s">
        <v>6466</v>
      </c>
      <c r="F3236" t="str">
        <f t="shared" si="177"/>
        <v>4120913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 t="shared" si="176"/>
        <v/>
      </c>
      <c r="E3237" t="s">
        <v>6468</v>
      </c>
      <c r="F3237" t="str">
        <f t="shared" si="177"/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 t="shared" si="176"/>
        <v/>
      </c>
      <c r="E3238" t="s">
        <v>6470</v>
      </c>
      <c r="F3238" t="str">
        <f t="shared" si="177"/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 t="shared" si="176"/>
        <v/>
      </c>
      <c r="E3239" t="s">
        <v>6472</v>
      </c>
      <c r="F3239" t="str">
        <f t="shared" si="177"/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 t="shared" si="176"/>
        <v/>
      </c>
      <c r="E3240" t="s">
        <v>6474</v>
      </c>
      <c r="F3240" t="str">
        <f t="shared" si="177"/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 t="shared" si="176"/>
        <v/>
      </c>
      <c r="E3241" t="s">
        <v>6476</v>
      </c>
      <c r="F3241" t="str">
        <f t="shared" si="177"/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 t="shared" si="176"/>
        <v/>
      </c>
      <c r="E3242" t="s">
        <v>6478</v>
      </c>
      <c r="F3242" t="str">
        <f t="shared" si="177"/>
        <v>4120913</v>
      </c>
    </row>
    <row r="3243" spans="1:9" x14ac:dyDescent="0.25">
      <c r="A3243">
        <v>21015</v>
      </c>
      <c r="B3243" t="s">
        <v>7</v>
      </c>
      <c r="C3243" t="s">
        <v>6479</v>
      </c>
      <c r="D3243" t="str">
        <f t="shared" si="176"/>
        <v/>
      </c>
      <c r="E3243" t="s">
        <v>6480</v>
      </c>
      <c r="F3243" t="s">
        <v>6971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 t="shared" si="176"/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 t="shared" si="176"/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 t="shared" si="176"/>
        <v/>
      </c>
      <c r="E3246" t="s">
        <v>6486</v>
      </c>
      <c r="F3246" t="str">
        <f>LEFT(C3246,7)</f>
        <v>4120914</v>
      </c>
    </row>
    <row r="3247" spans="1:9" x14ac:dyDescent="0.25">
      <c r="A3247">
        <v>21019</v>
      </c>
      <c r="B3247" t="s">
        <v>7</v>
      </c>
      <c r="C3247" t="s">
        <v>6487</v>
      </c>
      <c r="D3247" t="str">
        <f t="shared" si="176"/>
        <v/>
      </c>
      <c r="E3247" t="s">
        <v>6488</v>
      </c>
      <c r="F3247" t="s">
        <v>6971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 t="shared" si="176"/>
        <v/>
      </c>
      <c r="E3248" t="s">
        <v>6490</v>
      </c>
      <c r="F3248" t="str">
        <f t="shared" ref="F3248:F3294" si="178"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 t="shared" si="176"/>
        <v/>
      </c>
      <c r="E3249" t="s">
        <v>6492</v>
      </c>
      <c r="F3249" t="str">
        <f t="shared" si="178"/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 t="shared" si="176"/>
        <v/>
      </c>
      <c r="E3250" t="s">
        <v>6494</v>
      </c>
      <c r="F3250" t="str">
        <f t="shared" si="178"/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 t="shared" si="176"/>
        <v/>
      </c>
      <c r="E3251" t="s">
        <v>6496</v>
      </c>
      <c r="F3251" t="str">
        <f t="shared" si="178"/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 t="shared" si="176"/>
        <v/>
      </c>
      <c r="E3252" t="s">
        <v>6498</v>
      </c>
      <c r="F3252" t="str">
        <f t="shared" si="178"/>
        <v>8703779</v>
      </c>
    </row>
    <row r="3253" spans="1:9" x14ac:dyDescent="0.25">
      <c r="A3253">
        <v>21036</v>
      </c>
      <c r="B3253" t="s">
        <v>7</v>
      </c>
      <c r="C3253" t="s">
        <v>6499</v>
      </c>
      <c r="D3253" t="str">
        <f t="shared" si="176"/>
        <v/>
      </c>
      <c r="E3253" t="s">
        <v>6500</v>
      </c>
      <c r="F3253" t="str">
        <f t="shared" si="178"/>
        <v>5101495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 t="shared" si="176"/>
        <v/>
      </c>
      <c r="E3254" t="s">
        <v>6502</v>
      </c>
      <c r="F3254" t="str">
        <f t="shared" si="178"/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 t="shared" si="176"/>
        <v/>
      </c>
      <c r="E3255" t="s">
        <v>6504</v>
      </c>
      <c r="F3255" t="str">
        <f t="shared" si="178"/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 t="shared" si="176"/>
        <v/>
      </c>
      <c r="E3256" t="s">
        <v>6506</v>
      </c>
      <c r="F3256" t="str">
        <f t="shared" si="178"/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 t="shared" si="176"/>
        <v/>
      </c>
      <c r="E3257" t="s">
        <v>6508</v>
      </c>
      <c r="F3257" t="str">
        <f t="shared" si="178"/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 t="shared" si="176"/>
        <v/>
      </c>
      <c r="E3258" t="s">
        <v>6510</v>
      </c>
      <c r="F3258" t="str">
        <f t="shared" si="178"/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 t="shared" si="176"/>
        <v/>
      </c>
      <c r="E3259" t="s">
        <v>6512</v>
      </c>
      <c r="F3259" t="str">
        <f t="shared" si="178"/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 t="shared" ref="D3260:D3323" si="179">IF(RIGHT(LEFT(C3260,9),2)="##","",RIGHT(LEFT(C3260,10),2))</f>
        <v/>
      </c>
      <c r="E3260" t="s">
        <v>6514</v>
      </c>
      <c r="F3260" t="str">
        <f t="shared" si="178"/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 t="shared" si="179"/>
        <v/>
      </c>
      <c r="E3261" t="s">
        <v>6516</v>
      </c>
      <c r="F3261" t="str">
        <f t="shared" si="178"/>
        <v>5101495</v>
      </c>
    </row>
    <row r="3262" spans="1:9" x14ac:dyDescent="0.25">
      <c r="A3262">
        <v>21048</v>
      </c>
      <c r="B3262" t="s">
        <v>7</v>
      </c>
      <c r="C3262" t="s">
        <v>6517</v>
      </c>
      <c r="D3262" t="str">
        <f t="shared" si="179"/>
        <v/>
      </c>
      <c r="E3262" t="s">
        <v>6518</v>
      </c>
      <c r="F3262" t="str">
        <f t="shared" si="178"/>
        <v>2103500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 t="shared" si="179"/>
        <v/>
      </c>
      <c r="E3263" t="s">
        <v>6520</v>
      </c>
      <c r="F3263" t="str">
        <f t="shared" si="178"/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 t="shared" si="179"/>
        <v/>
      </c>
      <c r="E3264" t="s">
        <v>6522</v>
      </c>
      <c r="F3264" t="str">
        <f t="shared" si="178"/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 t="shared" si="179"/>
        <v/>
      </c>
      <c r="E3265" t="s">
        <v>6524</v>
      </c>
      <c r="F3265" t="str">
        <f t="shared" si="178"/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 t="shared" si="179"/>
        <v/>
      </c>
      <c r="E3266" t="s">
        <v>6526</v>
      </c>
      <c r="F3266" t="str">
        <f t="shared" si="178"/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 t="shared" si="179"/>
        <v/>
      </c>
      <c r="E3267" t="s">
        <v>6528</v>
      </c>
      <c r="F3267" t="str">
        <f t="shared" si="178"/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 t="shared" si="179"/>
        <v/>
      </c>
      <c r="E3268" t="s">
        <v>6530</v>
      </c>
      <c r="F3268" t="str">
        <f t="shared" si="178"/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 t="shared" si="179"/>
        <v/>
      </c>
      <c r="E3269" t="s">
        <v>6532</v>
      </c>
      <c r="F3269" t="str">
        <f t="shared" si="178"/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 t="shared" si="179"/>
        <v/>
      </c>
      <c r="E3270" t="s">
        <v>6534</v>
      </c>
      <c r="F3270" t="str">
        <f t="shared" si="178"/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 t="shared" si="179"/>
        <v/>
      </c>
      <c r="E3271" t="s">
        <v>6536</v>
      </c>
      <c r="F3271" t="str">
        <f t="shared" si="178"/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 t="shared" si="179"/>
        <v/>
      </c>
      <c r="E3272" t="s">
        <v>6538</v>
      </c>
      <c r="F3272" t="str">
        <f t="shared" si="178"/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 t="shared" si="179"/>
        <v/>
      </c>
      <c r="E3273" t="s">
        <v>6540</v>
      </c>
      <c r="F3273" t="str">
        <f t="shared" si="178"/>
        <v>2103500</v>
      </c>
    </row>
    <row r="3274" spans="1:9" x14ac:dyDescent="0.25">
      <c r="A3274">
        <v>21064</v>
      </c>
      <c r="B3274" t="s">
        <v>7</v>
      </c>
      <c r="C3274" t="s">
        <v>6541</v>
      </c>
      <c r="D3274" t="str">
        <f t="shared" si="179"/>
        <v/>
      </c>
      <c r="E3274" t="s">
        <v>6542</v>
      </c>
      <c r="F3274" t="str">
        <f t="shared" si="178"/>
        <v>5101050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 t="shared" si="179"/>
        <v/>
      </c>
      <c r="E3275" t="s">
        <v>6544</v>
      </c>
      <c r="F3275" t="str">
        <f t="shared" si="178"/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 t="shared" si="179"/>
        <v/>
      </c>
      <c r="E3276" t="s">
        <v>6546</v>
      </c>
      <c r="F3276" t="str">
        <f t="shared" si="178"/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 t="shared" si="179"/>
        <v/>
      </c>
      <c r="E3277" t="s">
        <v>6548</v>
      </c>
      <c r="F3277" t="str">
        <f t="shared" si="178"/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 t="shared" si="179"/>
        <v/>
      </c>
      <c r="E3278" t="s">
        <v>6550</v>
      </c>
      <c r="F3278" t="str">
        <f t="shared" si="178"/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 t="shared" si="179"/>
        <v/>
      </c>
      <c r="E3279" t="s">
        <v>6552</v>
      </c>
      <c r="F3279" t="str">
        <f t="shared" si="178"/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 t="shared" si="179"/>
        <v/>
      </c>
      <c r="E3280" t="s">
        <v>6554</v>
      </c>
      <c r="F3280" t="str">
        <f t="shared" si="178"/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 t="shared" si="179"/>
        <v/>
      </c>
      <c r="E3281" t="s">
        <v>6556</v>
      </c>
      <c r="F3281" t="str">
        <f t="shared" si="178"/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 t="shared" si="179"/>
        <v/>
      </c>
      <c r="E3282" t="s">
        <v>6558</v>
      </c>
      <c r="F3282" t="str">
        <f t="shared" si="178"/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 t="shared" si="179"/>
        <v/>
      </c>
      <c r="E3283" t="s">
        <v>6560</v>
      </c>
      <c r="F3283" t="str">
        <f t="shared" si="178"/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 t="shared" si="179"/>
        <v/>
      </c>
      <c r="E3284" t="s">
        <v>6562</v>
      </c>
      <c r="F3284" t="str">
        <f t="shared" si="178"/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 t="shared" si="179"/>
        <v/>
      </c>
      <c r="E3285" t="s">
        <v>6564</v>
      </c>
      <c r="F3285" t="str">
        <f t="shared" si="178"/>
        <v>8303900</v>
      </c>
    </row>
    <row r="3286" spans="1:9" x14ac:dyDescent="0.25">
      <c r="A3286">
        <v>21093</v>
      </c>
      <c r="B3286" t="s">
        <v>7</v>
      </c>
      <c r="C3286" t="s">
        <v>6565</v>
      </c>
      <c r="D3286" t="str">
        <f t="shared" si="179"/>
        <v/>
      </c>
      <c r="E3286" t="s">
        <v>6566</v>
      </c>
      <c r="F3286" t="str">
        <f t="shared" si="178"/>
        <v>1120055</v>
      </c>
      <c r="H3286">
        <v>3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 t="shared" si="179"/>
        <v/>
      </c>
      <c r="E3287" t="s">
        <v>6568</v>
      </c>
      <c r="F3287" t="str">
        <f t="shared" si="178"/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 t="shared" si="179"/>
        <v/>
      </c>
      <c r="E3288" t="s">
        <v>6570</v>
      </c>
      <c r="F3288" t="str">
        <f t="shared" si="178"/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 t="shared" si="179"/>
        <v/>
      </c>
      <c r="E3289" t="s">
        <v>6572</v>
      </c>
      <c r="F3289" t="str">
        <f t="shared" si="178"/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 t="shared" si="179"/>
        <v/>
      </c>
      <c r="E3290" t="s">
        <v>6574</v>
      </c>
      <c r="F3290" t="str">
        <f t="shared" si="178"/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 t="shared" si="179"/>
        <v/>
      </c>
      <c r="E3291" t="s">
        <v>6576</v>
      </c>
      <c r="F3291" t="str">
        <f t="shared" si="178"/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 t="shared" si="179"/>
        <v/>
      </c>
      <c r="E3292" t="s">
        <v>6578</v>
      </c>
      <c r="F3292" t="str">
        <f t="shared" si="178"/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 t="shared" si="179"/>
        <v/>
      </c>
      <c r="E3293" t="s">
        <v>6580</v>
      </c>
      <c r="F3293" t="str">
        <f t="shared" si="178"/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 t="shared" si="179"/>
        <v/>
      </c>
      <c r="E3294" t="s">
        <v>6582</v>
      </c>
      <c r="F3294" t="str">
        <f t="shared" si="178"/>
        <v>1120055</v>
      </c>
    </row>
    <row r="3295" spans="1:9" x14ac:dyDescent="0.25">
      <c r="A3295">
        <v>21102</v>
      </c>
      <c r="B3295" t="s">
        <v>7</v>
      </c>
      <c r="C3295" t="s">
        <v>6583</v>
      </c>
      <c r="D3295" t="str">
        <f t="shared" si="179"/>
        <v/>
      </c>
      <c r="E3295" t="s">
        <v>6584</v>
      </c>
      <c r="F3295" t="s">
        <v>6941</v>
      </c>
      <c r="H3295">
        <v>3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 t="shared" si="179"/>
        <v/>
      </c>
      <c r="E3296" t="s">
        <v>6586</v>
      </c>
      <c r="F3296" t="str">
        <f t="shared" ref="F3296:F3330" si="180"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 t="shared" si="179"/>
        <v/>
      </c>
      <c r="E3297" t="s">
        <v>6588</v>
      </c>
      <c r="F3297" t="str">
        <f t="shared" si="180"/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 t="shared" si="179"/>
        <v/>
      </c>
      <c r="E3298" t="s">
        <v>6590</v>
      </c>
      <c r="F3298" t="str">
        <f t="shared" si="180"/>
        <v>1120056</v>
      </c>
    </row>
    <row r="3299" spans="1:9" x14ac:dyDescent="0.25">
      <c r="A3299">
        <v>21106</v>
      </c>
      <c r="B3299" t="s">
        <v>7</v>
      </c>
      <c r="C3299" t="s">
        <v>6591</v>
      </c>
      <c r="D3299" t="str">
        <f t="shared" si="179"/>
        <v/>
      </c>
      <c r="E3299" t="s">
        <v>6592</v>
      </c>
      <c r="F3299" t="str">
        <f t="shared" si="180"/>
        <v>8517905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 t="shared" si="179"/>
        <v/>
      </c>
      <c r="E3300" t="s">
        <v>6594</v>
      </c>
      <c r="F3300" t="str">
        <f t="shared" si="180"/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 t="shared" si="179"/>
        <v/>
      </c>
      <c r="E3301" t="s">
        <v>6596</v>
      </c>
      <c r="F3301" t="str">
        <f t="shared" si="180"/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 t="shared" si="179"/>
        <v/>
      </c>
      <c r="E3302" t="s">
        <v>6598</v>
      </c>
      <c r="F3302" t="str">
        <f t="shared" si="180"/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 t="shared" si="179"/>
        <v/>
      </c>
      <c r="E3303" t="s">
        <v>6600</v>
      </c>
      <c r="F3303" t="str">
        <f t="shared" si="180"/>
        <v>8705586</v>
      </c>
    </row>
    <row r="3304" spans="1:9" x14ac:dyDescent="0.25">
      <c r="A3304">
        <v>21123</v>
      </c>
      <c r="B3304" t="s">
        <v>7</v>
      </c>
      <c r="C3304" t="s">
        <v>6601</v>
      </c>
      <c r="D3304" t="str">
        <f t="shared" si="179"/>
        <v/>
      </c>
      <c r="E3304" t="s">
        <v>6602</v>
      </c>
      <c r="F3304" t="str">
        <f t="shared" si="180"/>
        <v>5101666</v>
      </c>
      <c r="H3304">
        <v>3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 t="shared" si="179"/>
        <v/>
      </c>
      <c r="E3305" t="s">
        <v>6604</v>
      </c>
      <c r="F3305" t="str">
        <f t="shared" si="180"/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 t="shared" si="179"/>
        <v/>
      </c>
      <c r="E3306" t="s">
        <v>6606</v>
      </c>
      <c r="F3306" t="str">
        <f t="shared" si="180"/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 t="shared" si="179"/>
        <v/>
      </c>
      <c r="E3307" t="s">
        <v>6608</v>
      </c>
      <c r="F3307" t="str">
        <f t="shared" si="180"/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 t="shared" si="179"/>
        <v/>
      </c>
      <c r="E3308" t="s">
        <v>6610</v>
      </c>
      <c r="F3308" t="str">
        <f t="shared" si="180"/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 t="shared" si="179"/>
        <v/>
      </c>
      <c r="E3309" t="s">
        <v>6612</v>
      </c>
      <c r="F3309" t="str">
        <f t="shared" si="180"/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 t="shared" si="179"/>
        <v/>
      </c>
      <c r="E3310" t="s">
        <v>6614</v>
      </c>
      <c r="F3310" t="str">
        <f t="shared" si="180"/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 t="shared" si="179"/>
        <v/>
      </c>
      <c r="E3311" t="s">
        <v>6616</v>
      </c>
      <c r="F3311" t="str">
        <f t="shared" si="180"/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 t="shared" si="179"/>
        <v/>
      </c>
      <c r="E3312" t="s">
        <v>6618</v>
      </c>
      <c r="F3312" t="str">
        <f t="shared" si="180"/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 t="shared" si="179"/>
        <v/>
      </c>
      <c r="E3313" t="s">
        <v>6620</v>
      </c>
      <c r="F3313" t="str">
        <f t="shared" si="180"/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 t="shared" si="179"/>
        <v/>
      </c>
      <c r="E3314" t="s">
        <v>6622</v>
      </c>
      <c r="F3314" t="str">
        <f t="shared" si="180"/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 t="shared" si="179"/>
        <v/>
      </c>
      <c r="E3315" t="s">
        <v>6624</v>
      </c>
      <c r="F3315" t="str">
        <f t="shared" si="180"/>
        <v>5101666</v>
      </c>
    </row>
    <row r="3316" spans="1:9" x14ac:dyDescent="0.25">
      <c r="A3316">
        <v>21139</v>
      </c>
      <c r="B3316" t="s">
        <v>7</v>
      </c>
      <c r="C3316" t="s">
        <v>6625</v>
      </c>
      <c r="D3316" t="str">
        <f t="shared" si="179"/>
        <v/>
      </c>
      <c r="E3316" t="s">
        <v>6626</v>
      </c>
      <c r="F3316" t="str">
        <f t="shared" si="180"/>
        <v>8205090</v>
      </c>
      <c r="H3316">
        <v>7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 t="shared" si="179"/>
        <v/>
      </c>
      <c r="E3317" t="s">
        <v>6628</v>
      </c>
      <c r="F3317" t="str">
        <f t="shared" si="180"/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 t="shared" si="179"/>
        <v/>
      </c>
      <c r="E3318" t="s">
        <v>6630</v>
      </c>
      <c r="F3318" t="str">
        <f t="shared" si="180"/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 t="shared" si="179"/>
        <v/>
      </c>
      <c r="E3319" t="s">
        <v>6632</v>
      </c>
      <c r="F3319" t="str">
        <f t="shared" si="180"/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 t="shared" si="179"/>
        <v/>
      </c>
      <c r="E3320" t="s">
        <v>6634</v>
      </c>
      <c r="F3320" t="str">
        <f t="shared" si="180"/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 t="shared" si="179"/>
        <v/>
      </c>
      <c r="E3321" t="s">
        <v>6636</v>
      </c>
      <c r="F3321" t="str">
        <f t="shared" si="180"/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 t="shared" si="179"/>
        <v/>
      </c>
      <c r="E3322" t="s">
        <v>6638</v>
      </c>
      <c r="F3322" t="str">
        <f t="shared" si="180"/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 t="shared" si="179"/>
        <v/>
      </c>
      <c r="E3323" t="s">
        <v>6640</v>
      </c>
      <c r="F3323" t="str">
        <f t="shared" si="180"/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 t="shared" ref="D3324:D3387" si="181">IF(RIGHT(LEFT(C3324,9),2)="##","",RIGHT(LEFT(C3324,10),2))</f>
        <v/>
      </c>
      <c r="E3324" t="s">
        <v>6642</v>
      </c>
      <c r="F3324" t="str">
        <f t="shared" si="180"/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 t="shared" si="181"/>
        <v/>
      </c>
      <c r="E3325" t="s">
        <v>6644</v>
      </c>
      <c r="F3325" t="str">
        <f t="shared" si="180"/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 t="shared" si="181"/>
        <v/>
      </c>
      <c r="E3326" t="s">
        <v>6646</v>
      </c>
      <c r="F3326" t="str">
        <f t="shared" si="180"/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 t="shared" si="181"/>
        <v/>
      </c>
      <c r="E3327" t="s">
        <v>6648</v>
      </c>
      <c r="F3327" t="str">
        <f t="shared" si="180"/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 t="shared" si="181"/>
        <v/>
      </c>
      <c r="E3328" t="s">
        <v>6650</v>
      </c>
      <c r="F3328" t="str">
        <f t="shared" si="180"/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 t="shared" si="181"/>
        <v/>
      </c>
      <c r="E3329" t="s">
        <v>6652</v>
      </c>
      <c r="F3329" t="str">
        <f t="shared" si="180"/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 t="shared" si="181"/>
        <v/>
      </c>
      <c r="E3330" t="s">
        <v>6654</v>
      </c>
      <c r="F3330" t="str">
        <f t="shared" si="180"/>
        <v>8205090</v>
      </c>
    </row>
    <row r="3331" spans="1:9" x14ac:dyDescent="0.25">
      <c r="A3331">
        <v>21158</v>
      </c>
      <c r="B3331" t="s">
        <v>7</v>
      </c>
      <c r="C3331" t="s">
        <v>6655</v>
      </c>
      <c r="D3331" t="str">
        <f t="shared" si="181"/>
        <v/>
      </c>
      <c r="E3331" t="s">
        <v>6656</v>
      </c>
      <c r="F3331" t="s">
        <v>6923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 t="shared" si="181"/>
        <v/>
      </c>
      <c r="E3332" t="s">
        <v>6658</v>
      </c>
      <c r="F3332" t="str">
        <f t="shared" ref="F3332:F3352" si="182"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 t="shared" si="181"/>
        <v/>
      </c>
      <c r="E3333" t="s">
        <v>6660</v>
      </c>
      <c r="F3333" t="str">
        <f t="shared" si="182"/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 t="shared" si="181"/>
        <v/>
      </c>
      <c r="E3334" t="s">
        <v>6662</v>
      </c>
      <c r="F3334" t="str">
        <f t="shared" si="182"/>
        <v>1120316</v>
      </c>
    </row>
    <row r="3335" spans="1:9" x14ac:dyDescent="0.25">
      <c r="A3335">
        <v>21162</v>
      </c>
      <c r="B3335" t="s">
        <v>7</v>
      </c>
      <c r="C3335" t="s">
        <v>6663</v>
      </c>
      <c r="D3335" t="str">
        <f t="shared" si="181"/>
        <v/>
      </c>
      <c r="E3335" t="s">
        <v>6664</v>
      </c>
      <c r="F3335" t="str">
        <f t="shared" si="182"/>
        <v>1120850</v>
      </c>
      <c r="H3335">
        <v>4</v>
      </c>
      <c r="I3335">
        <v>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 t="shared" si="181"/>
        <v/>
      </c>
      <c r="E3336" t="s">
        <v>6666</v>
      </c>
      <c r="F3336" t="str">
        <f t="shared" si="182"/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 t="shared" si="181"/>
        <v/>
      </c>
      <c r="E3337" t="s">
        <v>6668</v>
      </c>
      <c r="F3337" t="str">
        <f t="shared" si="182"/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 t="shared" si="181"/>
        <v/>
      </c>
      <c r="E3338" t="s">
        <v>6670</v>
      </c>
      <c r="F3338" t="str">
        <f t="shared" si="182"/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 t="shared" si="181"/>
        <v/>
      </c>
      <c r="E3339" t="s">
        <v>6672</v>
      </c>
      <c r="F3339" t="str">
        <f t="shared" si="182"/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 t="shared" si="181"/>
        <v/>
      </c>
      <c r="E3340" t="s">
        <v>6674</v>
      </c>
      <c r="F3340" t="str">
        <f t="shared" si="182"/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 t="shared" si="181"/>
        <v/>
      </c>
      <c r="E3341" t="s">
        <v>6676</v>
      </c>
      <c r="F3341" t="str">
        <f t="shared" si="182"/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 t="shared" si="181"/>
        <v/>
      </c>
      <c r="E3342" t="s">
        <v>6678</v>
      </c>
      <c r="F3342" t="str">
        <f t="shared" si="182"/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 t="shared" si="181"/>
        <v/>
      </c>
      <c r="E3343" t="s">
        <v>6680</v>
      </c>
      <c r="F3343" t="str">
        <f t="shared" si="182"/>
        <v>1120850</v>
      </c>
    </row>
    <row r="3344" spans="1:9" x14ac:dyDescent="0.25">
      <c r="A3344">
        <v>21175</v>
      </c>
      <c r="B3344" t="s">
        <v>7</v>
      </c>
      <c r="C3344" t="s">
        <v>6681</v>
      </c>
      <c r="D3344" t="str">
        <f t="shared" si="181"/>
        <v/>
      </c>
      <c r="E3344" t="s">
        <v>6682</v>
      </c>
      <c r="F3344" t="str">
        <f t="shared" si="182"/>
        <v>1120623</v>
      </c>
      <c r="H3344">
        <v>4</v>
      </c>
      <c r="I3344">
        <v>1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 t="shared" si="181"/>
        <v/>
      </c>
      <c r="E3345" t="s">
        <v>6684</v>
      </c>
      <c r="F3345" t="str">
        <f t="shared" si="182"/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 t="shared" si="181"/>
        <v/>
      </c>
      <c r="E3346" t="s">
        <v>6686</v>
      </c>
      <c r="F3346" t="str">
        <f t="shared" si="182"/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 t="shared" si="181"/>
        <v/>
      </c>
      <c r="E3347" t="s">
        <v>6688</v>
      </c>
      <c r="F3347" t="str">
        <f t="shared" si="182"/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 t="shared" si="181"/>
        <v/>
      </c>
      <c r="E3348" t="s">
        <v>6690</v>
      </c>
      <c r="F3348" t="str">
        <f t="shared" si="182"/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 t="shared" si="181"/>
        <v/>
      </c>
      <c r="E3349" t="s">
        <v>6692</v>
      </c>
      <c r="F3349" t="str">
        <f t="shared" si="182"/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 t="shared" si="181"/>
        <v/>
      </c>
      <c r="E3350" t="s">
        <v>6694</v>
      </c>
      <c r="F3350" t="str">
        <f t="shared" si="182"/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 t="shared" si="181"/>
        <v/>
      </c>
      <c r="E3351" t="s">
        <v>6696</v>
      </c>
      <c r="F3351" t="str">
        <f t="shared" si="182"/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 t="shared" si="181"/>
        <v/>
      </c>
      <c r="E3352" t="s">
        <v>6698</v>
      </c>
      <c r="F3352" t="str">
        <f t="shared" si="182"/>
        <v>1120623</v>
      </c>
    </row>
    <row r="3353" spans="1:9" x14ac:dyDescent="0.25">
      <c r="A3353">
        <v>21188</v>
      </c>
      <c r="B3353" t="s">
        <v>7</v>
      </c>
      <c r="C3353" t="s">
        <v>6699</v>
      </c>
      <c r="D3353" t="str">
        <f t="shared" si="181"/>
        <v/>
      </c>
      <c r="E3353" t="s">
        <v>6700</v>
      </c>
      <c r="F3353" t="s">
        <v>6913</v>
      </c>
      <c r="H3353">
        <v>4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 t="shared" si="181"/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 t="shared" si="181"/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 t="shared" si="181"/>
        <v/>
      </c>
      <c r="E3356" t="s">
        <v>6706</v>
      </c>
      <c r="F3356" t="str">
        <f>LEFT(C3356,7)</f>
        <v>1120624</v>
      </c>
    </row>
    <row r="3357" spans="1:9" x14ac:dyDescent="0.25">
      <c r="A3357">
        <v>21192</v>
      </c>
      <c r="B3357" t="s">
        <v>7</v>
      </c>
      <c r="C3357" t="s">
        <v>6707</v>
      </c>
      <c r="D3357" t="str">
        <f t="shared" si="181"/>
        <v/>
      </c>
      <c r="E3357" t="s">
        <v>6708</v>
      </c>
      <c r="F3357" t="s">
        <v>6914</v>
      </c>
      <c r="H3357">
        <v>4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 t="shared" si="181"/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 t="shared" si="181"/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 t="shared" si="181"/>
        <v/>
      </c>
      <c r="E3360" t="s">
        <v>6714</v>
      </c>
      <c r="F3360" t="str">
        <f>LEFT(C3360,7)</f>
        <v>1120851</v>
      </c>
    </row>
    <row r="3361" spans="1:9" x14ac:dyDescent="0.25">
      <c r="A3361">
        <v>21196</v>
      </c>
      <c r="B3361" t="s">
        <v>7</v>
      </c>
      <c r="C3361" t="s">
        <v>6715</v>
      </c>
      <c r="D3361" t="str">
        <f t="shared" si="181"/>
        <v/>
      </c>
      <c r="E3361" t="s">
        <v>6716</v>
      </c>
      <c r="F3361" t="s">
        <v>6914</v>
      </c>
      <c r="H3361">
        <v>4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 t="shared" si="181"/>
        <v/>
      </c>
      <c r="E3362" t="s">
        <v>6718</v>
      </c>
      <c r="F3362" t="str">
        <f t="shared" ref="F3362:F3373" si="183"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 t="shared" si="181"/>
        <v/>
      </c>
      <c r="E3363" t="s">
        <v>6720</v>
      </c>
      <c r="F3363" t="str">
        <f t="shared" si="183"/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 t="shared" si="181"/>
        <v/>
      </c>
      <c r="E3364" t="s">
        <v>6722</v>
      </c>
      <c r="F3364" t="str">
        <f t="shared" si="183"/>
        <v>1120852</v>
      </c>
    </row>
    <row r="3365" spans="1:9" x14ac:dyDescent="0.25">
      <c r="A3365">
        <v>21200</v>
      </c>
      <c r="B3365" t="s">
        <v>7</v>
      </c>
      <c r="C3365" t="s">
        <v>6723</v>
      </c>
      <c r="D3365" t="str">
        <f t="shared" si="181"/>
        <v/>
      </c>
      <c r="E3365" t="s">
        <v>6724</v>
      </c>
      <c r="F3365" t="str">
        <f t="shared" si="183"/>
        <v>1120877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 t="shared" si="181"/>
        <v/>
      </c>
      <c r="E3366" t="s">
        <v>6726</v>
      </c>
      <c r="F3366" t="str">
        <f t="shared" si="183"/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 t="shared" si="181"/>
        <v/>
      </c>
      <c r="E3367" t="s">
        <v>6728</v>
      </c>
      <c r="F3367" t="str">
        <f t="shared" si="183"/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 t="shared" si="181"/>
        <v/>
      </c>
      <c r="E3368" t="s">
        <v>6730</v>
      </c>
      <c r="F3368" t="str">
        <f t="shared" si="183"/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 t="shared" si="181"/>
        <v/>
      </c>
      <c r="E3369" t="s">
        <v>6732</v>
      </c>
      <c r="F3369" t="str">
        <f t="shared" si="183"/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 t="shared" si="181"/>
        <v/>
      </c>
      <c r="E3370" t="s">
        <v>6734</v>
      </c>
      <c r="F3370" t="str">
        <f t="shared" si="183"/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 t="shared" si="181"/>
        <v/>
      </c>
      <c r="E3371" t="s">
        <v>6736</v>
      </c>
      <c r="F3371" t="str">
        <f t="shared" si="183"/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 t="shared" si="181"/>
        <v/>
      </c>
      <c r="E3372" t="s">
        <v>6738</v>
      </c>
      <c r="F3372" t="str">
        <f t="shared" si="183"/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 t="shared" si="181"/>
        <v/>
      </c>
      <c r="E3373" t="s">
        <v>6740</v>
      </c>
      <c r="F3373" t="str">
        <f t="shared" si="183"/>
        <v>1120877</v>
      </c>
    </row>
    <row r="3374" spans="1:9" x14ac:dyDescent="0.25">
      <c r="A3374">
        <v>21213</v>
      </c>
      <c r="B3374" t="s">
        <v>7</v>
      </c>
      <c r="C3374" t="s">
        <v>6741</v>
      </c>
      <c r="D3374" t="str">
        <f t="shared" si="181"/>
        <v/>
      </c>
      <c r="E3374" t="s">
        <v>6742</v>
      </c>
      <c r="F3374" t="s">
        <v>6928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 t="shared" si="181"/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 t="shared" si="181"/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 t="shared" si="181"/>
        <v/>
      </c>
      <c r="E3377" t="s">
        <v>6748</v>
      </c>
      <c r="F3377" t="str">
        <f>LEFT(C3377,7)</f>
        <v>1120977</v>
      </c>
    </row>
    <row r="3378" spans="1:9" x14ac:dyDescent="0.25">
      <c r="A3378">
        <v>21217</v>
      </c>
      <c r="B3378" t="s">
        <v>7</v>
      </c>
      <c r="C3378" t="s">
        <v>6749</v>
      </c>
      <c r="D3378" t="str">
        <f t="shared" si="181"/>
        <v/>
      </c>
      <c r="E3378" t="s">
        <v>6750</v>
      </c>
      <c r="F3378" t="s">
        <v>6928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 t="shared" si="181"/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 t="shared" si="181"/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 t="shared" si="181"/>
        <v/>
      </c>
      <c r="E3381" t="s">
        <v>6756</v>
      </c>
      <c r="F3381" t="str">
        <f>LEFT(C3381,7)</f>
        <v>1120478</v>
      </c>
    </row>
    <row r="3382" spans="1:9" x14ac:dyDescent="0.25">
      <c r="A3382">
        <v>21221</v>
      </c>
      <c r="B3382" t="s">
        <v>7</v>
      </c>
      <c r="C3382" t="s">
        <v>6757</v>
      </c>
      <c r="D3382" t="str">
        <f t="shared" si="181"/>
        <v/>
      </c>
      <c r="E3382" t="s">
        <v>6758</v>
      </c>
      <c r="F3382" t="s">
        <v>6928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 t="shared" si="181"/>
        <v/>
      </c>
      <c r="E3383" t="s">
        <v>6760</v>
      </c>
      <c r="F3383" t="str">
        <f t="shared" ref="F3383:F3394" si="184"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 t="shared" si="181"/>
        <v/>
      </c>
      <c r="E3384" t="s">
        <v>6762</v>
      </c>
      <c r="F3384" t="str">
        <f t="shared" si="184"/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 t="shared" si="181"/>
        <v/>
      </c>
      <c r="E3385" t="s">
        <v>6764</v>
      </c>
      <c r="F3385" t="str">
        <f t="shared" si="184"/>
        <v>1120479</v>
      </c>
    </row>
    <row r="3386" spans="1:9" x14ac:dyDescent="0.25">
      <c r="A3386">
        <v>21225</v>
      </c>
      <c r="B3386" t="s">
        <v>7</v>
      </c>
      <c r="C3386" t="s">
        <v>6765</v>
      </c>
      <c r="D3386" t="str">
        <f t="shared" si="181"/>
        <v/>
      </c>
      <c r="E3386" t="s">
        <v>6766</v>
      </c>
      <c r="F3386" t="str">
        <f t="shared" si="184"/>
        <v>1120878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 t="shared" si="181"/>
        <v/>
      </c>
      <c r="E3387" t="s">
        <v>6768</v>
      </c>
      <c r="F3387" t="str">
        <f t="shared" si="184"/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 t="shared" ref="D3388:D3428" si="185">IF(RIGHT(LEFT(C3388,9),2)="##","",RIGHT(LEFT(C3388,10),2))</f>
        <v/>
      </c>
      <c r="E3388" t="s">
        <v>6770</v>
      </c>
      <c r="F3388" t="str">
        <f t="shared" si="184"/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 t="shared" si="185"/>
        <v/>
      </c>
      <c r="E3389" t="s">
        <v>6772</v>
      </c>
      <c r="F3389" t="str">
        <f t="shared" si="184"/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 t="shared" si="185"/>
        <v/>
      </c>
      <c r="E3390" t="s">
        <v>6774</v>
      </c>
      <c r="F3390" t="str">
        <f t="shared" si="184"/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 t="shared" si="185"/>
        <v/>
      </c>
      <c r="E3391" t="s">
        <v>6776</v>
      </c>
      <c r="F3391" t="str">
        <f t="shared" si="184"/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 t="shared" si="185"/>
        <v/>
      </c>
      <c r="E3392" t="s">
        <v>6778</v>
      </c>
      <c r="F3392" t="str">
        <f t="shared" si="184"/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 t="shared" si="185"/>
        <v/>
      </c>
      <c r="E3393" t="s">
        <v>6780</v>
      </c>
      <c r="F3393" t="str">
        <f t="shared" si="184"/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 t="shared" si="185"/>
        <v/>
      </c>
      <c r="E3394" t="s">
        <v>6782</v>
      </c>
      <c r="F3394" t="str">
        <f t="shared" si="184"/>
        <v>1120878</v>
      </c>
    </row>
    <row r="3395" spans="1:9" x14ac:dyDescent="0.25">
      <c r="A3395">
        <v>21238</v>
      </c>
      <c r="B3395" t="s">
        <v>7</v>
      </c>
      <c r="C3395" t="s">
        <v>6783</v>
      </c>
      <c r="D3395" t="str">
        <f t="shared" si="185"/>
        <v/>
      </c>
      <c r="E3395" t="s">
        <v>6784</v>
      </c>
      <c r="F3395" t="s">
        <v>6925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 t="shared" si="185"/>
        <v/>
      </c>
      <c r="E3396" t="s">
        <v>6786</v>
      </c>
      <c r="F3396" t="str">
        <f t="shared" ref="F3396:F3427" si="186"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 t="shared" si="185"/>
        <v/>
      </c>
      <c r="E3397" t="s">
        <v>6788</v>
      </c>
      <c r="F3397" t="str">
        <f t="shared" si="186"/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 t="shared" si="185"/>
        <v/>
      </c>
      <c r="E3398" t="s">
        <v>6790</v>
      </c>
      <c r="F3398" t="str">
        <f t="shared" si="186"/>
        <v>1120880</v>
      </c>
    </row>
    <row r="3399" spans="1:9" x14ac:dyDescent="0.25">
      <c r="A3399">
        <v>21242</v>
      </c>
      <c r="B3399" t="s">
        <v>7</v>
      </c>
      <c r="C3399" t="s">
        <v>6791</v>
      </c>
      <c r="D3399" t="str">
        <f t="shared" si="185"/>
        <v/>
      </c>
      <c r="E3399" t="s">
        <v>6792</v>
      </c>
      <c r="F3399" t="str">
        <f t="shared" si="186"/>
        <v>8205040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 t="shared" si="185"/>
        <v/>
      </c>
      <c r="E3400" t="s">
        <v>6794</v>
      </c>
      <c r="F3400" t="str">
        <f t="shared" si="186"/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 t="shared" si="185"/>
        <v/>
      </c>
      <c r="E3401" t="s">
        <v>6796</v>
      </c>
      <c r="F3401" t="str">
        <f t="shared" si="186"/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 t="shared" si="185"/>
        <v/>
      </c>
      <c r="E3402" t="s">
        <v>6798</v>
      </c>
      <c r="F3402" t="str">
        <f t="shared" si="186"/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 t="shared" si="185"/>
        <v/>
      </c>
      <c r="E3403" t="s">
        <v>6800</v>
      </c>
      <c r="F3403" t="str">
        <f t="shared" si="186"/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 t="shared" si="185"/>
        <v/>
      </c>
      <c r="E3404" t="s">
        <v>6802</v>
      </c>
      <c r="F3404" t="str">
        <f t="shared" si="186"/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 t="shared" si="185"/>
        <v/>
      </c>
      <c r="E3405" t="s">
        <v>6804</v>
      </c>
      <c r="F3405" t="str">
        <f t="shared" si="186"/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 t="shared" si="185"/>
        <v/>
      </c>
      <c r="E3406" t="s">
        <v>6806</v>
      </c>
      <c r="F3406" t="str">
        <f t="shared" si="186"/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 t="shared" si="185"/>
        <v/>
      </c>
      <c r="E3407" t="s">
        <v>6808</v>
      </c>
      <c r="F3407" t="str">
        <f t="shared" si="186"/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 t="shared" si="185"/>
        <v/>
      </c>
      <c r="E3408" t="s">
        <v>6810</v>
      </c>
      <c r="F3408" t="str">
        <f t="shared" si="186"/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 t="shared" si="185"/>
        <v/>
      </c>
      <c r="E3409" t="s">
        <v>6812</v>
      </c>
      <c r="F3409" t="str">
        <f t="shared" si="186"/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 t="shared" si="185"/>
        <v/>
      </c>
      <c r="E3410" t="s">
        <v>6814</v>
      </c>
      <c r="F3410" t="str">
        <f t="shared" si="186"/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 t="shared" si="185"/>
        <v/>
      </c>
      <c r="E3411" t="s">
        <v>6816</v>
      </c>
      <c r="F3411" t="str">
        <f t="shared" si="186"/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 t="shared" si="185"/>
        <v/>
      </c>
      <c r="E3412" t="s">
        <v>6818</v>
      </c>
      <c r="F3412" t="str">
        <f t="shared" si="186"/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 t="shared" si="185"/>
        <v/>
      </c>
      <c r="E3413" t="s">
        <v>6820</v>
      </c>
      <c r="F3413" t="str">
        <f t="shared" si="186"/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 t="shared" si="185"/>
        <v/>
      </c>
      <c r="E3414" t="s">
        <v>6822</v>
      </c>
      <c r="F3414" t="str">
        <f t="shared" si="186"/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 t="shared" si="185"/>
        <v/>
      </c>
      <c r="E3415" t="s">
        <v>6824</v>
      </c>
      <c r="F3415" t="str">
        <f t="shared" si="186"/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 t="shared" si="185"/>
        <v/>
      </c>
      <c r="E3416" t="s">
        <v>6826</v>
      </c>
      <c r="F3416" t="str">
        <f t="shared" si="186"/>
        <v>8701495</v>
      </c>
    </row>
    <row r="3417" spans="1:9" x14ac:dyDescent="0.25">
      <c r="A3417">
        <v>21268</v>
      </c>
      <c r="B3417" t="s">
        <v>7</v>
      </c>
      <c r="C3417" t="s">
        <v>6827</v>
      </c>
      <c r="D3417" t="str">
        <f t="shared" si="185"/>
        <v/>
      </c>
      <c r="E3417" t="s">
        <v>6828</v>
      </c>
      <c r="F3417" t="str">
        <f t="shared" si="186"/>
        <v>2230600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 t="shared" si="185"/>
        <v/>
      </c>
      <c r="E3418" t="s">
        <v>6830</v>
      </c>
      <c r="F3418" t="str">
        <f t="shared" si="186"/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 t="shared" si="185"/>
        <v/>
      </c>
      <c r="E3419" t="s">
        <v>6832</v>
      </c>
      <c r="F3419" t="str">
        <f t="shared" si="186"/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 t="shared" si="185"/>
        <v/>
      </c>
      <c r="E3420" t="s">
        <v>6834</v>
      </c>
      <c r="F3420" t="str">
        <f t="shared" si="186"/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 t="shared" si="185"/>
        <v/>
      </c>
      <c r="E3421" t="s">
        <v>6836</v>
      </c>
      <c r="F3421" t="str">
        <f t="shared" si="186"/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 t="shared" si="185"/>
        <v/>
      </c>
      <c r="E3422" t="s">
        <v>6838</v>
      </c>
      <c r="F3422" t="str">
        <f t="shared" si="186"/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 t="shared" si="185"/>
        <v/>
      </c>
      <c r="E3423" t="s">
        <v>6840</v>
      </c>
      <c r="F3423" t="str">
        <f t="shared" si="186"/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 t="shared" si="185"/>
        <v/>
      </c>
      <c r="E3424" t="s">
        <v>6842</v>
      </c>
      <c r="F3424" t="str">
        <f t="shared" si="186"/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 t="shared" si="185"/>
        <v/>
      </c>
      <c r="E3425" t="s">
        <v>6844</v>
      </c>
      <c r="F3425" t="str">
        <f t="shared" si="186"/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 t="shared" si="185"/>
        <v/>
      </c>
      <c r="E3426" t="s">
        <v>6846</v>
      </c>
      <c r="F3426" t="str">
        <f t="shared" si="186"/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 t="shared" si="185"/>
        <v/>
      </c>
      <c r="E3427" t="s">
        <v>6848</v>
      </c>
      <c r="F3427" t="str">
        <f t="shared" si="186"/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 t="shared" si="185"/>
        <v/>
      </c>
      <c r="E3428" t="s">
        <v>6850</v>
      </c>
      <c r="F3428" t="str">
        <f t="shared" ref="F3428:F3448" si="187"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6906</v>
      </c>
      <c r="E3429" t="s">
        <v>6852</v>
      </c>
      <c r="F3429" t="str">
        <f t="shared" si="187"/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 t="shared" ref="D3430:D3453" si="188">IF(RIGHT(LEFT(C3430,9),2)="##","",RIGHT(LEFT(C3430,10),2))</f>
        <v>04</v>
      </c>
      <c r="E3430" t="s">
        <v>6854</v>
      </c>
      <c r="F3430" t="str">
        <f t="shared" si="187"/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 t="shared" si="188"/>
        <v>06</v>
      </c>
      <c r="E3431" t="s">
        <v>6856</v>
      </c>
      <c r="F3431" t="str">
        <f t="shared" si="187"/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 t="shared" si="188"/>
        <v>08</v>
      </c>
      <c r="E3432" t="s">
        <v>6858</v>
      </c>
      <c r="F3432" t="str">
        <f t="shared" si="187"/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 t="shared" si="188"/>
        <v>09</v>
      </c>
      <c r="E3433" t="s">
        <v>6860</v>
      </c>
      <c r="F3433" t="str">
        <f t="shared" si="187"/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 t="shared" si="188"/>
        <v>13</v>
      </c>
      <c r="E3434" t="s">
        <v>6862</v>
      </c>
      <c r="F3434" t="str">
        <f t="shared" si="187"/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 t="shared" si="188"/>
        <v>21</v>
      </c>
      <c r="E3435" t="s">
        <v>6864</v>
      </c>
      <c r="F3435" t="str">
        <f t="shared" si="187"/>
        <v>8303523</v>
      </c>
      <c r="H3435">
        <v>1</v>
      </c>
    </row>
    <row r="3436" spans="1:9" x14ac:dyDescent="0.25">
      <c r="A3436">
        <v>21303</v>
      </c>
      <c r="B3436" t="s">
        <v>7</v>
      </c>
      <c r="C3436" t="s">
        <v>6865</v>
      </c>
      <c r="D3436" t="str">
        <f t="shared" si="188"/>
        <v/>
      </c>
      <c r="E3436" t="s">
        <v>6866</v>
      </c>
      <c r="F3436" t="str">
        <f t="shared" si="187"/>
        <v>8517900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 t="shared" si="188"/>
        <v/>
      </c>
      <c r="E3437" t="s">
        <v>6868</v>
      </c>
      <c r="F3437" t="str">
        <f t="shared" si="187"/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 t="shared" si="188"/>
        <v/>
      </c>
      <c r="E3438" t="s">
        <v>6870</v>
      </c>
      <c r="F3438" t="str">
        <f t="shared" si="187"/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 t="shared" si="188"/>
        <v/>
      </c>
      <c r="E3439" t="s">
        <v>6872</v>
      </c>
      <c r="F3439" t="str">
        <f t="shared" si="187"/>
        <v>8517900</v>
      </c>
    </row>
    <row r="3440" spans="1:9" x14ac:dyDescent="0.25">
      <c r="A3440">
        <v>21307</v>
      </c>
      <c r="B3440" t="s">
        <v>7</v>
      </c>
      <c r="C3440" t="s">
        <v>6873</v>
      </c>
      <c r="D3440" t="str">
        <f t="shared" si="188"/>
        <v/>
      </c>
      <c r="E3440" t="s">
        <v>6874</v>
      </c>
      <c r="F3440" t="str">
        <f t="shared" si="187"/>
        <v>1120742</v>
      </c>
      <c r="I3440">
        <v>1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 t="shared" si="188"/>
        <v/>
      </c>
      <c r="E3441" t="s">
        <v>6876</v>
      </c>
      <c r="F3441" t="str">
        <f t="shared" si="187"/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 t="shared" si="188"/>
        <v/>
      </c>
      <c r="E3442" t="s">
        <v>6878</v>
      </c>
      <c r="F3442" t="str">
        <f t="shared" si="187"/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 t="shared" si="188"/>
        <v/>
      </c>
      <c r="E3443" t="s">
        <v>6880</v>
      </c>
      <c r="F3443" t="str">
        <f t="shared" si="187"/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 t="shared" si="188"/>
        <v/>
      </c>
      <c r="E3444" t="s">
        <v>6882</v>
      </c>
      <c r="F3444" t="str">
        <f t="shared" si="187"/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 t="shared" si="188"/>
        <v/>
      </c>
      <c r="E3445" t="s">
        <v>6884</v>
      </c>
      <c r="F3445" t="str">
        <f t="shared" si="187"/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 t="shared" si="188"/>
        <v/>
      </c>
      <c r="E3446" t="s">
        <v>6886</v>
      </c>
      <c r="F3446" t="str">
        <f t="shared" si="187"/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 t="shared" si="188"/>
        <v/>
      </c>
      <c r="E3447" t="s">
        <v>6888</v>
      </c>
      <c r="F3447" t="str">
        <f t="shared" si="187"/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 t="shared" si="188"/>
        <v/>
      </c>
      <c r="E3448" t="s">
        <v>6890</v>
      </c>
      <c r="F3448" t="str">
        <f t="shared" si="187"/>
        <v>1120742</v>
      </c>
    </row>
    <row r="3449" spans="1:9" x14ac:dyDescent="0.25">
      <c r="A3449">
        <v>21320</v>
      </c>
      <c r="B3449" t="s">
        <v>7</v>
      </c>
      <c r="C3449" t="s">
        <v>6891</v>
      </c>
      <c r="D3449" t="str">
        <f t="shared" si="188"/>
        <v/>
      </c>
      <c r="E3449" t="s">
        <v>6892</v>
      </c>
      <c r="F3449" t="s">
        <v>6946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 t="shared" si="188"/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 t="shared" si="188"/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 t="shared" si="188"/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 t="shared" si="188"/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2:I3453">
      <sortCondition ref="A1:A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418"/>
  <sheetViews>
    <sheetView workbookViewId="0"/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14661</v>
      </c>
      <c r="B2" t="s">
        <v>7</v>
      </c>
      <c r="C2" t="s">
        <v>25</v>
      </c>
      <c r="D2" t="s">
        <v>7017</v>
      </c>
      <c r="E2" t="s">
        <v>26</v>
      </c>
      <c r="F2" t="s">
        <v>7601</v>
      </c>
      <c r="G2" t="s">
        <v>7810</v>
      </c>
      <c r="H2">
        <v>4</v>
      </c>
    </row>
    <row r="3" spans="1:9" x14ac:dyDescent="0.25">
      <c r="A3">
        <v>14673</v>
      </c>
      <c r="B3" t="s">
        <v>7</v>
      </c>
      <c r="C3" t="s">
        <v>41</v>
      </c>
      <c r="D3" t="s">
        <v>7017</v>
      </c>
      <c r="E3" t="s">
        <v>42</v>
      </c>
      <c r="F3" t="s">
        <v>7602</v>
      </c>
      <c r="G3" t="s">
        <v>7811</v>
      </c>
      <c r="H3">
        <v>4</v>
      </c>
    </row>
    <row r="4" spans="1:9" x14ac:dyDescent="0.25">
      <c r="A4">
        <v>14680</v>
      </c>
      <c r="B4" t="s">
        <v>7</v>
      </c>
      <c r="C4" t="s">
        <v>47</v>
      </c>
      <c r="D4" t="s">
        <v>7017</v>
      </c>
      <c r="E4" t="s">
        <v>48</v>
      </c>
      <c r="F4" t="s">
        <v>7603</v>
      </c>
      <c r="G4" t="s">
        <v>7812</v>
      </c>
      <c r="H4">
        <v>5</v>
      </c>
    </row>
    <row r="5" spans="1:9" x14ac:dyDescent="0.25">
      <c r="A5">
        <v>14689</v>
      </c>
      <c r="B5" t="s">
        <v>7</v>
      </c>
      <c r="C5" t="s">
        <v>55</v>
      </c>
      <c r="D5" t="s">
        <v>7017</v>
      </c>
      <c r="E5" t="s">
        <v>56</v>
      </c>
      <c r="F5" t="s">
        <v>7604</v>
      </c>
      <c r="I5">
        <v>1</v>
      </c>
    </row>
    <row r="6" spans="1:9" x14ac:dyDescent="0.25">
      <c r="A6">
        <v>14709</v>
      </c>
      <c r="B6" t="s">
        <v>7</v>
      </c>
      <c r="C6" t="s">
        <v>79</v>
      </c>
      <c r="D6" t="s">
        <v>7017</v>
      </c>
      <c r="E6" t="s">
        <v>80</v>
      </c>
      <c r="F6" t="s">
        <v>7605</v>
      </c>
      <c r="G6" t="s">
        <v>7813</v>
      </c>
      <c r="H6">
        <v>7</v>
      </c>
      <c r="I6">
        <v>1</v>
      </c>
    </row>
    <row r="7" spans="1:9" x14ac:dyDescent="0.25">
      <c r="A7">
        <v>14724</v>
      </c>
      <c r="B7" t="s">
        <v>7</v>
      </c>
      <c r="C7" t="s">
        <v>103</v>
      </c>
      <c r="D7" t="s">
        <v>7017</v>
      </c>
      <c r="E7" t="s">
        <v>104</v>
      </c>
      <c r="F7" t="s">
        <v>7606</v>
      </c>
      <c r="G7" t="s">
        <v>7814</v>
      </c>
      <c r="H7">
        <v>3</v>
      </c>
      <c r="I7">
        <v>1</v>
      </c>
    </row>
    <row r="8" spans="1:9" x14ac:dyDescent="0.25">
      <c r="A8">
        <v>14738</v>
      </c>
      <c r="B8" t="s">
        <v>7</v>
      </c>
      <c r="C8" t="s">
        <v>127</v>
      </c>
      <c r="D8" t="s">
        <v>7017</v>
      </c>
      <c r="E8" t="s">
        <v>128</v>
      </c>
      <c r="F8" t="s">
        <v>7607</v>
      </c>
      <c r="I8">
        <v>1</v>
      </c>
    </row>
    <row r="9" spans="1:9" x14ac:dyDescent="0.25">
      <c r="A9">
        <v>14748</v>
      </c>
      <c r="B9" t="s">
        <v>7</v>
      </c>
      <c r="C9" t="s">
        <v>147</v>
      </c>
      <c r="D9" t="s">
        <v>7017</v>
      </c>
      <c r="E9" t="s">
        <v>148</v>
      </c>
      <c r="F9" t="s">
        <v>6950</v>
      </c>
      <c r="I9">
        <v>1</v>
      </c>
    </row>
    <row r="10" spans="1:9" x14ac:dyDescent="0.25">
      <c r="A10">
        <v>14761</v>
      </c>
      <c r="B10" t="s">
        <v>7</v>
      </c>
      <c r="C10" t="s">
        <v>163</v>
      </c>
      <c r="D10" t="s">
        <v>7017</v>
      </c>
      <c r="E10" t="s">
        <v>164</v>
      </c>
      <c r="F10" t="s">
        <v>7004</v>
      </c>
      <c r="I10">
        <v>1</v>
      </c>
    </row>
    <row r="11" spans="1:9" x14ac:dyDescent="0.25">
      <c r="A11">
        <v>14773</v>
      </c>
      <c r="B11" t="s">
        <v>7</v>
      </c>
      <c r="C11" t="s">
        <v>181</v>
      </c>
      <c r="D11" t="s">
        <v>7017</v>
      </c>
      <c r="E11" t="s">
        <v>182</v>
      </c>
      <c r="F11" t="s">
        <v>7608</v>
      </c>
      <c r="G11" t="s">
        <v>7815</v>
      </c>
      <c r="H11">
        <v>7</v>
      </c>
      <c r="I11">
        <v>1</v>
      </c>
    </row>
    <row r="12" spans="1:9" x14ac:dyDescent="0.25">
      <c r="A12">
        <v>14806</v>
      </c>
      <c r="B12" t="s">
        <v>7</v>
      </c>
      <c r="C12" t="s">
        <v>205</v>
      </c>
      <c r="D12" t="s">
        <v>7017</v>
      </c>
      <c r="E12" t="s">
        <v>206</v>
      </c>
      <c r="F12" t="s">
        <v>6974</v>
      </c>
      <c r="G12" t="s">
        <v>7816</v>
      </c>
      <c r="H12">
        <v>10</v>
      </c>
      <c r="I12">
        <v>1</v>
      </c>
    </row>
    <row r="13" spans="1:9" x14ac:dyDescent="0.25">
      <c r="A13">
        <v>14831</v>
      </c>
      <c r="B13" t="s">
        <v>7</v>
      </c>
      <c r="C13" t="s">
        <v>223</v>
      </c>
      <c r="D13" t="s">
        <v>7017</v>
      </c>
      <c r="E13" t="s">
        <v>224</v>
      </c>
      <c r="F13" t="s">
        <v>7609</v>
      </c>
      <c r="G13" t="s">
        <v>7817</v>
      </c>
      <c r="H13">
        <v>6</v>
      </c>
      <c r="I13">
        <v>1</v>
      </c>
    </row>
    <row r="14" spans="1:9" x14ac:dyDescent="0.25">
      <c r="A14">
        <v>14843</v>
      </c>
      <c r="B14" t="s">
        <v>7</v>
      </c>
      <c r="C14" t="s">
        <v>241</v>
      </c>
      <c r="D14" t="s">
        <v>7017</v>
      </c>
      <c r="E14" t="s">
        <v>242</v>
      </c>
      <c r="F14" t="s">
        <v>7610</v>
      </c>
      <c r="I14">
        <v>1</v>
      </c>
    </row>
    <row r="15" spans="1:9" x14ac:dyDescent="0.25">
      <c r="A15">
        <v>14863</v>
      </c>
      <c r="B15" t="s">
        <v>7</v>
      </c>
      <c r="C15" t="s">
        <v>249</v>
      </c>
      <c r="D15" t="s">
        <v>7017</v>
      </c>
      <c r="E15" t="s">
        <v>250</v>
      </c>
      <c r="F15" t="s">
        <v>6978</v>
      </c>
      <c r="G15" t="s">
        <v>7818</v>
      </c>
      <c r="H15">
        <v>7</v>
      </c>
      <c r="I15">
        <v>1</v>
      </c>
    </row>
    <row r="16" spans="1:9" x14ac:dyDescent="0.25">
      <c r="A16">
        <v>14876</v>
      </c>
      <c r="B16" t="s">
        <v>7</v>
      </c>
      <c r="C16" t="s">
        <v>267</v>
      </c>
      <c r="D16" t="s">
        <v>7017</v>
      </c>
      <c r="E16" t="s">
        <v>268</v>
      </c>
      <c r="F16" t="s">
        <v>6998</v>
      </c>
      <c r="I16">
        <v>1</v>
      </c>
    </row>
    <row r="17" spans="1:9" x14ac:dyDescent="0.25">
      <c r="A17">
        <v>14898</v>
      </c>
      <c r="B17" t="s">
        <v>7</v>
      </c>
      <c r="C17" t="s">
        <v>281</v>
      </c>
      <c r="D17" t="s">
        <v>7017</v>
      </c>
      <c r="E17" t="s">
        <v>282</v>
      </c>
      <c r="F17" t="s">
        <v>7611</v>
      </c>
      <c r="I17">
        <v>1</v>
      </c>
    </row>
    <row r="18" spans="1:9" x14ac:dyDescent="0.25">
      <c r="A18">
        <v>14909</v>
      </c>
      <c r="B18" t="s">
        <v>7</v>
      </c>
      <c r="C18" t="s">
        <v>295</v>
      </c>
      <c r="D18" t="s">
        <v>7017</v>
      </c>
      <c r="E18" t="s">
        <v>296</v>
      </c>
      <c r="F18" t="s">
        <v>7612</v>
      </c>
      <c r="G18" t="s">
        <v>7819</v>
      </c>
      <c r="H18">
        <v>3</v>
      </c>
      <c r="I18">
        <v>1</v>
      </c>
    </row>
    <row r="19" spans="1:9" x14ac:dyDescent="0.25">
      <c r="A19">
        <v>14921</v>
      </c>
      <c r="B19" t="s">
        <v>7</v>
      </c>
      <c r="C19" t="s">
        <v>311</v>
      </c>
      <c r="D19" t="s">
        <v>7017</v>
      </c>
      <c r="E19" t="s">
        <v>312</v>
      </c>
      <c r="F19" t="s">
        <v>7613</v>
      </c>
      <c r="I19">
        <v>1</v>
      </c>
    </row>
    <row r="20" spans="1:9" x14ac:dyDescent="0.25">
      <c r="A20">
        <v>14934</v>
      </c>
      <c r="B20" t="s">
        <v>7</v>
      </c>
      <c r="C20" t="s">
        <v>327</v>
      </c>
      <c r="D20" t="s">
        <v>7017</v>
      </c>
      <c r="E20" t="s">
        <v>328</v>
      </c>
      <c r="F20" t="s">
        <v>7614</v>
      </c>
      <c r="I20">
        <v>1</v>
      </c>
    </row>
    <row r="21" spans="1:9" x14ac:dyDescent="0.25">
      <c r="A21">
        <v>14946</v>
      </c>
      <c r="B21" t="s">
        <v>7</v>
      </c>
      <c r="C21" t="s">
        <v>343</v>
      </c>
      <c r="D21" t="s">
        <v>7017</v>
      </c>
      <c r="E21" t="s">
        <v>344</v>
      </c>
      <c r="F21" t="s">
        <v>6984</v>
      </c>
      <c r="I21">
        <v>1</v>
      </c>
    </row>
    <row r="22" spans="1:9" x14ac:dyDescent="0.25">
      <c r="A22">
        <v>14966</v>
      </c>
      <c r="B22" t="s">
        <v>7</v>
      </c>
      <c r="C22" t="s">
        <v>359</v>
      </c>
      <c r="D22" t="s">
        <v>7017</v>
      </c>
      <c r="E22" t="s">
        <v>360</v>
      </c>
      <c r="F22" t="s">
        <v>7615</v>
      </c>
      <c r="I22">
        <v>1</v>
      </c>
    </row>
    <row r="23" spans="1:9" x14ac:dyDescent="0.25">
      <c r="A23">
        <v>14989</v>
      </c>
      <c r="B23" t="s">
        <v>7</v>
      </c>
      <c r="C23" t="s">
        <v>377</v>
      </c>
      <c r="D23" t="s">
        <v>7017</v>
      </c>
      <c r="E23" t="s">
        <v>378</v>
      </c>
      <c r="F23" t="s">
        <v>6988</v>
      </c>
      <c r="I23">
        <v>1</v>
      </c>
    </row>
    <row r="24" spans="1:9" x14ac:dyDescent="0.25">
      <c r="A24">
        <v>15003</v>
      </c>
      <c r="B24" t="s">
        <v>7</v>
      </c>
      <c r="C24" t="s">
        <v>393</v>
      </c>
      <c r="D24" t="s">
        <v>7017</v>
      </c>
      <c r="E24" t="s">
        <v>394</v>
      </c>
      <c r="F24" t="s">
        <v>6915</v>
      </c>
      <c r="G24" t="s">
        <v>7820</v>
      </c>
      <c r="H24">
        <v>4</v>
      </c>
      <c r="I24">
        <v>1</v>
      </c>
    </row>
    <row r="25" spans="1:9" x14ac:dyDescent="0.25">
      <c r="A25">
        <v>15017</v>
      </c>
      <c r="B25" t="s">
        <v>7</v>
      </c>
      <c r="C25" t="s">
        <v>411</v>
      </c>
      <c r="D25" t="s">
        <v>7017</v>
      </c>
      <c r="E25" t="s">
        <v>412</v>
      </c>
      <c r="F25" t="s">
        <v>6912</v>
      </c>
      <c r="G25" s="2" t="s">
        <v>7821</v>
      </c>
      <c r="H25">
        <v>4</v>
      </c>
      <c r="I25">
        <v>1</v>
      </c>
    </row>
    <row r="26" spans="1:9" x14ac:dyDescent="0.25">
      <c r="A26">
        <v>15030</v>
      </c>
      <c r="B26" t="s">
        <v>7</v>
      </c>
      <c r="C26" t="s">
        <v>429</v>
      </c>
      <c r="D26" t="s">
        <v>7017</v>
      </c>
      <c r="E26" t="s">
        <v>430</v>
      </c>
      <c r="F26" t="s">
        <v>6919</v>
      </c>
      <c r="I26">
        <v>1</v>
      </c>
    </row>
    <row r="27" spans="1:9" x14ac:dyDescent="0.25">
      <c r="A27">
        <v>15044</v>
      </c>
      <c r="B27" t="s">
        <v>7</v>
      </c>
      <c r="C27" t="s">
        <v>447</v>
      </c>
      <c r="D27" t="s">
        <v>7017</v>
      </c>
      <c r="E27" t="s">
        <v>448</v>
      </c>
      <c r="F27" t="s">
        <v>6935</v>
      </c>
      <c r="I27">
        <v>1</v>
      </c>
    </row>
    <row r="28" spans="1:9" x14ac:dyDescent="0.25">
      <c r="A28">
        <v>15058</v>
      </c>
      <c r="B28" t="s">
        <v>7</v>
      </c>
      <c r="C28" t="s">
        <v>465</v>
      </c>
      <c r="D28" t="s">
        <v>7017</v>
      </c>
      <c r="E28" t="s">
        <v>466</v>
      </c>
      <c r="F28" t="s">
        <v>6930</v>
      </c>
      <c r="I28">
        <v>1</v>
      </c>
    </row>
    <row r="29" spans="1:9" x14ac:dyDescent="0.25">
      <c r="A29">
        <v>15070</v>
      </c>
      <c r="B29" t="s">
        <v>7</v>
      </c>
      <c r="C29" t="s">
        <v>481</v>
      </c>
      <c r="D29" t="s">
        <v>7017</v>
      </c>
      <c r="E29" t="s">
        <v>482</v>
      </c>
      <c r="F29" t="s">
        <v>6926</v>
      </c>
      <c r="I29">
        <v>1</v>
      </c>
    </row>
    <row r="30" spans="1:9" x14ac:dyDescent="0.25">
      <c r="A30">
        <v>15083</v>
      </c>
      <c r="B30" t="s">
        <v>7</v>
      </c>
      <c r="C30" t="s">
        <v>499</v>
      </c>
      <c r="D30" t="s">
        <v>7017</v>
      </c>
      <c r="E30" t="s">
        <v>500</v>
      </c>
      <c r="F30" t="s">
        <v>6924</v>
      </c>
      <c r="I30">
        <v>1</v>
      </c>
    </row>
    <row r="31" spans="1:9" x14ac:dyDescent="0.25">
      <c r="A31">
        <v>15096</v>
      </c>
      <c r="B31" t="s">
        <v>7</v>
      </c>
      <c r="C31" t="s">
        <v>517</v>
      </c>
      <c r="D31" t="s">
        <v>7017</v>
      </c>
      <c r="E31" t="s">
        <v>518</v>
      </c>
      <c r="F31" t="s">
        <v>6948</v>
      </c>
      <c r="I31">
        <v>1</v>
      </c>
    </row>
    <row r="32" spans="1:9" x14ac:dyDescent="0.25">
      <c r="A32">
        <v>15109</v>
      </c>
      <c r="B32" t="s">
        <v>7</v>
      </c>
      <c r="C32" t="s">
        <v>535</v>
      </c>
      <c r="D32" t="s">
        <v>7017</v>
      </c>
      <c r="E32" t="s">
        <v>536</v>
      </c>
      <c r="F32" t="s">
        <v>6934</v>
      </c>
      <c r="G32" t="s">
        <v>7822</v>
      </c>
      <c r="H32">
        <v>6</v>
      </c>
      <c r="I32">
        <v>1</v>
      </c>
    </row>
    <row r="33" spans="1:9" x14ac:dyDescent="0.25">
      <c r="A33">
        <v>15123</v>
      </c>
      <c r="B33" t="s">
        <v>7</v>
      </c>
      <c r="C33" t="s">
        <v>553</v>
      </c>
      <c r="D33" t="s">
        <v>7017</v>
      </c>
      <c r="E33" t="s">
        <v>554</v>
      </c>
      <c r="F33" t="s">
        <v>6940</v>
      </c>
      <c r="G33" t="s">
        <v>7823</v>
      </c>
      <c r="H33">
        <v>6</v>
      </c>
      <c r="I33">
        <v>1</v>
      </c>
    </row>
    <row r="34" spans="1:9" x14ac:dyDescent="0.25">
      <c r="A34">
        <v>15137</v>
      </c>
      <c r="B34" t="s">
        <v>7</v>
      </c>
      <c r="C34" t="s">
        <v>571</v>
      </c>
      <c r="D34" t="s">
        <v>7017</v>
      </c>
      <c r="E34" t="s">
        <v>572</v>
      </c>
      <c r="F34" t="s">
        <v>6939</v>
      </c>
      <c r="G34" t="s">
        <v>7824</v>
      </c>
      <c r="H34">
        <v>5</v>
      </c>
      <c r="I34">
        <v>1</v>
      </c>
    </row>
    <row r="35" spans="1:9" x14ac:dyDescent="0.25">
      <c r="A35">
        <v>15150</v>
      </c>
      <c r="B35" t="s">
        <v>7</v>
      </c>
      <c r="C35" t="s">
        <v>589</v>
      </c>
      <c r="D35" t="s">
        <v>7017</v>
      </c>
      <c r="E35" t="s">
        <v>590</v>
      </c>
      <c r="F35" t="s">
        <v>6973</v>
      </c>
      <c r="I35">
        <v>1</v>
      </c>
    </row>
    <row r="36" spans="1:9" x14ac:dyDescent="0.25">
      <c r="A36">
        <v>15172</v>
      </c>
      <c r="B36" t="s">
        <v>7</v>
      </c>
      <c r="C36" t="s">
        <v>611</v>
      </c>
      <c r="D36" t="s">
        <v>7017</v>
      </c>
      <c r="E36" t="s">
        <v>612</v>
      </c>
      <c r="F36" t="s">
        <v>6960</v>
      </c>
      <c r="I36">
        <v>1</v>
      </c>
    </row>
    <row r="37" spans="1:9" x14ac:dyDescent="0.25">
      <c r="A37">
        <v>15182</v>
      </c>
      <c r="B37" t="s">
        <v>7</v>
      </c>
      <c r="C37" t="s">
        <v>625</v>
      </c>
      <c r="D37" t="s">
        <v>7017</v>
      </c>
      <c r="E37" t="s">
        <v>626</v>
      </c>
      <c r="F37" t="s">
        <v>7616</v>
      </c>
      <c r="I37">
        <v>1</v>
      </c>
    </row>
    <row r="38" spans="1:9" x14ac:dyDescent="0.25">
      <c r="A38">
        <v>15195</v>
      </c>
      <c r="B38" t="s">
        <v>7</v>
      </c>
      <c r="C38" t="s">
        <v>641</v>
      </c>
      <c r="D38" t="s">
        <v>7017</v>
      </c>
      <c r="E38" t="s">
        <v>642</v>
      </c>
      <c r="F38" t="s">
        <v>7617</v>
      </c>
      <c r="I38">
        <v>1</v>
      </c>
    </row>
    <row r="39" spans="1:9" x14ac:dyDescent="0.25">
      <c r="A39">
        <v>15212</v>
      </c>
      <c r="B39" t="s">
        <v>7</v>
      </c>
      <c r="C39" t="s">
        <v>659</v>
      </c>
      <c r="D39" t="s">
        <v>7017</v>
      </c>
      <c r="E39" t="s">
        <v>660</v>
      </c>
      <c r="F39" t="s">
        <v>7618</v>
      </c>
      <c r="I39">
        <v>1</v>
      </c>
    </row>
    <row r="40" spans="1:9" x14ac:dyDescent="0.25">
      <c r="A40">
        <v>15218</v>
      </c>
      <c r="B40" t="s">
        <v>7</v>
      </c>
      <c r="C40" t="s">
        <v>671</v>
      </c>
      <c r="D40" t="s">
        <v>7017</v>
      </c>
      <c r="E40" t="s">
        <v>672</v>
      </c>
      <c r="F40" t="s">
        <v>7619</v>
      </c>
    </row>
    <row r="41" spans="1:9" x14ac:dyDescent="0.25">
      <c r="A41">
        <v>15226</v>
      </c>
      <c r="B41" t="s">
        <v>7</v>
      </c>
      <c r="C41" t="s">
        <v>681</v>
      </c>
      <c r="D41" t="s">
        <v>7017</v>
      </c>
      <c r="E41" t="s">
        <v>682</v>
      </c>
      <c r="F41" t="s">
        <v>7620</v>
      </c>
      <c r="I41">
        <v>1</v>
      </c>
    </row>
    <row r="42" spans="1:9" x14ac:dyDescent="0.25">
      <c r="A42">
        <v>15235</v>
      </c>
      <c r="B42" t="s">
        <v>7</v>
      </c>
      <c r="C42" t="s">
        <v>693</v>
      </c>
      <c r="D42" t="s">
        <v>7017</v>
      </c>
      <c r="E42" t="s">
        <v>694</v>
      </c>
      <c r="F42" t="s">
        <v>7005</v>
      </c>
      <c r="I42">
        <v>1</v>
      </c>
    </row>
    <row r="43" spans="1:9" x14ac:dyDescent="0.25">
      <c r="A43">
        <v>15371</v>
      </c>
      <c r="B43" t="s">
        <v>7</v>
      </c>
      <c r="C43" t="s">
        <v>775</v>
      </c>
      <c r="D43" t="s">
        <v>7017</v>
      </c>
      <c r="E43" t="s">
        <v>776</v>
      </c>
      <c r="F43" t="s">
        <v>7621</v>
      </c>
      <c r="G43" t="s">
        <v>7825</v>
      </c>
      <c r="H43">
        <v>3</v>
      </c>
      <c r="I43">
        <v>1</v>
      </c>
    </row>
    <row r="44" spans="1:9" x14ac:dyDescent="0.25">
      <c r="A44">
        <v>15384</v>
      </c>
      <c r="B44" t="s">
        <v>7</v>
      </c>
      <c r="C44" t="s">
        <v>801</v>
      </c>
      <c r="D44" t="s">
        <v>7017</v>
      </c>
      <c r="E44" t="s">
        <v>802</v>
      </c>
      <c r="F44" t="s">
        <v>7622</v>
      </c>
      <c r="I44">
        <v>1</v>
      </c>
    </row>
    <row r="45" spans="1:9" x14ac:dyDescent="0.25">
      <c r="A45">
        <v>15396</v>
      </c>
      <c r="B45" t="s">
        <v>7</v>
      </c>
      <c r="C45" t="s">
        <v>817</v>
      </c>
      <c r="D45" t="s">
        <v>7017</v>
      </c>
      <c r="E45" t="s">
        <v>818</v>
      </c>
      <c r="F45" t="s">
        <v>7623</v>
      </c>
      <c r="I45">
        <v>1</v>
      </c>
    </row>
    <row r="46" spans="1:9" x14ac:dyDescent="0.25">
      <c r="A46">
        <v>15439</v>
      </c>
      <c r="B46" t="s">
        <v>7</v>
      </c>
      <c r="C46" t="s">
        <v>843</v>
      </c>
      <c r="D46" t="s">
        <v>7017</v>
      </c>
      <c r="E46" t="s">
        <v>844</v>
      </c>
      <c r="F46" t="s">
        <v>7013</v>
      </c>
      <c r="G46" t="s">
        <v>7826</v>
      </c>
      <c r="H46">
        <v>7</v>
      </c>
      <c r="I46">
        <v>1</v>
      </c>
    </row>
    <row r="47" spans="1:9" x14ac:dyDescent="0.25">
      <c r="A47">
        <v>15599</v>
      </c>
      <c r="B47" t="s">
        <v>7</v>
      </c>
      <c r="C47" t="s">
        <v>957</v>
      </c>
      <c r="D47" t="s">
        <v>7017</v>
      </c>
      <c r="E47" t="s">
        <v>958</v>
      </c>
      <c r="F47" t="s">
        <v>7624</v>
      </c>
    </row>
    <row r="48" spans="1:9" x14ac:dyDescent="0.25">
      <c r="A48">
        <v>15611</v>
      </c>
      <c r="B48" t="s">
        <v>7</v>
      </c>
      <c r="C48" t="s">
        <v>981</v>
      </c>
      <c r="D48" t="s">
        <v>7017</v>
      </c>
      <c r="E48" t="s">
        <v>982</v>
      </c>
      <c r="F48" t="s">
        <v>7625</v>
      </c>
      <c r="G48" t="s">
        <v>7827</v>
      </c>
      <c r="H48">
        <v>3</v>
      </c>
    </row>
    <row r="49" spans="1:9" x14ac:dyDescent="0.25">
      <c r="A49">
        <v>15658</v>
      </c>
      <c r="B49" t="s">
        <v>7</v>
      </c>
      <c r="C49" t="s">
        <v>1027</v>
      </c>
      <c r="D49" t="s">
        <v>7017</v>
      </c>
      <c r="E49" t="s">
        <v>1028</v>
      </c>
      <c r="F49" t="s">
        <v>7626</v>
      </c>
    </row>
    <row r="50" spans="1:9" x14ac:dyDescent="0.25">
      <c r="A50">
        <v>15682</v>
      </c>
      <c r="B50" t="s">
        <v>7</v>
      </c>
      <c r="C50" t="s">
        <v>1049</v>
      </c>
      <c r="D50" t="s">
        <v>7017</v>
      </c>
      <c r="E50" t="s">
        <v>1050</v>
      </c>
      <c r="F50" t="s">
        <v>6908</v>
      </c>
      <c r="G50" t="s">
        <v>7828</v>
      </c>
      <c r="H50">
        <v>9</v>
      </c>
      <c r="I50">
        <v>1</v>
      </c>
    </row>
    <row r="51" spans="1:9" x14ac:dyDescent="0.25">
      <c r="A51">
        <v>15695</v>
      </c>
      <c r="B51" t="s">
        <v>7</v>
      </c>
      <c r="C51" t="s">
        <v>1067</v>
      </c>
      <c r="D51" t="s">
        <v>7017</v>
      </c>
      <c r="E51" t="s">
        <v>1068</v>
      </c>
      <c r="F51" t="s">
        <v>7627</v>
      </c>
    </row>
    <row r="52" spans="1:9" x14ac:dyDescent="0.25">
      <c r="A52">
        <v>15722</v>
      </c>
      <c r="B52" t="s">
        <v>7</v>
      </c>
      <c r="C52" t="s">
        <v>1087</v>
      </c>
      <c r="D52" t="s">
        <v>7017</v>
      </c>
      <c r="E52" t="s">
        <v>1088</v>
      </c>
      <c r="F52" t="s">
        <v>7628</v>
      </c>
      <c r="I52">
        <v>1</v>
      </c>
    </row>
    <row r="53" spans="1:9" x14ac:dyDescent="0.25">
      <c r="A53">
        <v>15777</v>
      </c>
      <c r="B53" t="s">
        <v>7</v>
      </c>
      <c r="C53" t="s">
        <v>1129</v>
      </c>
      <c r="D53" t="s">
        <v>7017</v>
      </c>
      <c r="E53" t="s">
        <v>1130</v>
      </c>
      <c r="F53" t="s">
        <v>7629</v>
      </c>
    </row>
    <row r="54" spans="1:9" x14ac:dyDescent="0.25">
      <c r="A54">
        <v>15943</v>
      </c>
      <c r="B54" t="s">
        <v>7</v>
      </c>
      <c r="C54" t="s">
        <v>1221</v>
      </c>
      <c r="D54" t="s">
        <v>7017</v>
      </c>
      <c r="E54" t="s">
        <v>1222</v>
      </c>
      <c r="F54" t="s">
        <v>7630</v>
      </c>
    </row>
    <row r="55" spans="1:9" x14ac:dyDescent="0.25">
      <c r="A55">
        <v>15980</v>
      </c>
      <c r="B55" t="s">
        <v>7</v>
      </c>
      <c r="C55" t="s">
        <v>1239</v>
      </c>
      <c r="D55" t="s">
        <v>7017</v>
      </c>
      <c r="E55" t="s">
        <v>1240</v>
      </c>
      <c r="F55" t="s">
        <v>7631</v>
      </c>
    </row>
    <row r="56" spans="1:9" x14ac:dyDescent="0.25">
      <c r="A56">
        <v>16037</v>
      </c>
      <c r="B56" t="s">
        <v>7</v>
      </c>
      <c r="C56" t="s">
        <v>1275</v>
      </c>
      <c r="D56" t="s">
        <v>7017</v>
      </c>
      <c r="E56" t="s">
        <v>1276</v>
      </c>
      <c r="F56" t="s">
        <v>7632</v>
      </c>
    </row>
    <row r="57" spans="1:9" x14ac:dyDescent="0.25">
      <c r="A57">
        <v>16053</v>
      </c>
      <c r="B57" t="s">
        <v>7</v>
      </c>
      <c r="C57" t="s">
        <v>1287</v>
      </c>
      <c r="D57" t="s">
        <v>7017</v>
      </c>
      <c r="E57" t="s">
        <v>1288</v>
      </c>
      <c r="F57" t="s">
        <v>7633</v>
      </c>
      <c r="G57" t="s">
        <v>7829</v>
      </c>
      <c r="H57">
        <v>2</v>
      </c>
    </row>
    <row r="58" spans="1:9" x14ac:dyDescent="0.25">
      <c r="A58">
        <v>16190</v>
      </c>
      <c r="B58" t="s">
        <v>7</v>
      </c>
      <c r="C58" t="s">
        <v>1357</v>
      </c>
      <c r="D58" t="s">
        <v>7017</v>
      </c>
      <c r="E58" t="s">
        <v>1358</v>
      </c>
      <c r="F58" t="s">
        <v>7634</v>
      </c>
    </row>
    <row r="59" spans="1:9" x14ac:dyDescent="0.25">
      <c r="A59">
        <v>16198</v>
      </c>
      <c r="B59" t="s">
        <v>7</v>
      </c>
      <c r="C59" t="s">
        <v>1363</v>
      </c>
      <c r="D59" t="s">
        <v>7017</v>
      </c>
      <c r="E59" t="s">
        <v>1364</v>
      </c>
      <c r="F59" t="s">
        <v>7635</v>
      </c>
    </row>
    <row r="60" spans="1:9" x14ac:dyDescent="0.25">
      <c r="A60">
        <v>16418</v>
      </c>
      <c r="B60" t="s">
        <v>7</v>
      </c>
      <c r="C60" t="s">
        <v>1481</v>
      </c>
      <c r="D60" t="s">
        <v>7017</v>
      </c>
      <c r="E60" t="s">
        <v>1482</v>
      </c>
      <c r="F60" t="s">
        <v>7636</v>
      </c>
    </row>
    <row r="61" spans="1:9" x14ac:dyDescent="0.25">
      <c r="A61">
        <v>16439</v>
      </c>
      <c r="B61" t="s">
        <v>7</v>
      </c>
      <c r="C61" t="s">
        <v>1503</v>
      </c>
      <c r="D61" t="s">
        <v>7017</v>
      </c>
      <c r="E61" t="s">
        <v>1504</v>
      </c>
      <c r="F61" t="s">
        <v>7637</v>
      </c>
    </row>
    <row r="62" spans="1:9" x14ac:dyDescent="0.25">
      <c r="A62">
        <v>16453</v>
      </c>
      <c r="B62" t="s">
        <v>7</v>
      </c>
      <c r="C62" t="s">
        <v>1523</v>
      </c>
      <c r="D62" t="s">
        <v>7017</v>
      </c>
      <c r="E62" t="s">
        <v>1524</v>
      </c>
      <c r="F62" t="s">
        <v>7638</v>
      </c>
    </row>
    <row r="63" spans="1:9" x14ac:dyDescent="0.25">
      <c r="A63">
        <v>16513</v>
      </c>
      <c r="B63" t="s">
        <v>7</v>
      </c>
      <c r="C63" t="s">
        <v>1555</v>
      </c>
      <c r="D63" t="s">
        <v>7017</v>
      </c>
      <c r="E63" t="s">
        <v>1556</v>
      </c>
      <c r="F63" t="s">
        <v>7639</v>
      </c>
    </row>
    <row r="64" spans="1:9" x14ac:dyDescent="0.25">
      <c r="A64">
        <v>16683</v>
      </c>
      <c r="B64" t="s">
        <v>7</v>
      </c>
      <c r="C64" t="s">
        <v>1615</v>
      </c>
      <c r="D64" t="s">
        <v>7017</v>
      </c>
      <c r="E64" t="s">
        <v>1616</v>
      </c>
      <c r="F64" t="s">
        <v>7640</v>
      </c>
    </row>
    <row r="65" spans="1:9" x14ac:dyDescent="0.25">
      <c r="A65">
        <v>16695</v>
      </c>
      <c r="B65" t="s">
        <v>7</v>
      </c>
      <c r="C65" t="s">
        <v>1627</v>
      </c>
      <c r="D65" t="s">
        <v>7017</v>
      </c>
      <c r="E65" t="s">
        <v>1628</v>
      </c>
      <c r="F65" t="s">
        <v>7641</v>
      </c>
    </row>
    <row r="66" spans="1:9" x14ac:dyDescent="0.25">
      <c r="A66">
        <v>16701</v>
      </c>
      <c r="B66" t="s">
        <v>7</v>
      </c>
      <c r="C66" t="s">
        <v>1639</v>
      </c>
      <c r="D66" t="s">
        <v>7017</v>
      </c>
      <c r="E66" t="s">
        <v>1640</v>
      </c>
      <c r="F66" t="s">
        <v>7642</v>
      </c>
    </row>
    <row r="67" spans="1:9" x14ac:dyDescent="0.25">
      <c r="A67">
        <v>16730</v>
      </c>
      <c r="B67" t="s">
        <v>7</v>
      </c>
      <c r="C67" t="s">
        <v>1663</v>
      </c>
      <c r="D67" t="s">
        <v>7017</v>
      </c>
      <c r="E67" t="s">
        <v>1664</v>
      </c>
      <c r="F67" t="s">
        <v>7643</v>
      </c>
      <c r="G67" t="s">
        <v>7830</v>
      </c>
      <c r="H67">
        <v>8</v>
      </c>
      <c r="I67">
        <v>1</v>
      </c>
    </row>
    <row r="68" spans="1:9" x14ac:dyDescent="0.25">
      <c r="A68">
        <v>16754</v>
      </c>
      <c r="B68" t="s">
        <v>7</v>
      </c>
      <c r="C68" t="s">
        <v>1689</v>
      </c>
      <c r="D68" t="s">
        <v>7017</v>
      </c>
      <c r="E68" t="s">
        <v>1690</v>
      </c>
      <c r="F68" t="s">
        <v>7644</v>
      </c>
    </row>
    <row r="69" spans="1:9" x14ac:dyDescent="0.25">
      <c r="A69">
        <v>16811</v>
      </c>
      <c r="B69" t="s">
        <v>7</v>
      </c>
      <c r="C69" t="s">
        <v>1737</v>
      </c>
      <c r="D69" t="s">
        <v>7017</v>
      </c>
      <c r="E69" t="s">
        <v>1738</v>
      </c>
      <c r="F69" t="s">
        <v>7645</v>
      </c>
    </row>
    <row r="70" spans="1:9" x14ac:dyDescent="0.25">
      <c r="A70">
        <v>16845</v>
      </c>
      <c r="B70" t="s">
        <v>7</v>
      </c>
      <c r="C70" t="s">
        <v>1769</v>
      </c>
      <c r="D70" t="s">
        <v>7017</v>
      </c>
      <c r="E70" t="s">
        <v>1770</v>
      </c>
      <c r="F70" t="s">
        <v>7646</v>
      </c>
    </row>
    <row r="71" spans="1:9" x14ac:dyDescent="0.25">
      <c r="A71">
        <v>16868</v>
      </c>
      <c r="B71" t="s">
        <v>7</v>
      </c>
      <c r="C71" t="s">
        <v>1783</v>
      </c>
      <c r="D71" t="s">
        <v>7017</v>
      </c>
      <c r="E71" t="s">
        <v>1784</v>
      </c>
      <c r="F71" t="s">
        <v>7011</v>
      </c>
      <c r="I71">
        <v>1</v>
      </c>
    </row>
    <row r="72" spans="1:9" x14ac:dyDescent="0.25">
      <c r="A72">
        <v>16879</v>
      </c>
      <c r="B72" t="s">
        <v>7</v>
      </c>
      <c r="C72" t="s">
        <v>1797</v>
      </c>
      <c r="D72" t="s">
        <v>7017</v>
      </c>
      <c r="E72" t="s">
        <v>1798</v>
      </c>
      <c r="F72" t="s">
        <v>7010</v>
      </c>
      <c r="I72">
        <v>1</v>
      </c>
    </row>
    <row r="73" spans="1:9" x14ac:dyDescent="0.25">
      <c r="A73">
        <v>16891</v>
      </c>
      <c r="B73" t="s">
        <v>7</v>
      </c>
      <c r="C73" t="s">
        <v>1813</v>
      </c>
      <c r="D73" t="s">
        <v>7017</v>
      </c>
      <c r="E73" t="s">
        <v>1814</v>
      </c>
      <c r="F73" t="s">
        <v>7012</v>
      </c>
      <c r="I73">
        <v>1</v>
      </c>
    </row>
    <row r="74" spans="1:9" x14ac:dyDescent="0.25">
      <c r="A74">
        <v>16902</v>
      </c>
      <c r="B74" t="s">
        <v>7</v>
      </c>
      <c r="C74" t="s">
        <v>1827</v>
      </c>
      <c r="D74" t="s">
        <v>7017</v>
      </c>
      <c r="E74" t="s">
        <v>1828</v>
      </c>
      <c r="F74" t="s">
        <v>7647</v>
      </c>
      <c r="I74">
        <v>1</v>
      </c>
    </row>
    <row r="75" spans="1:9" x14ac:dyDescent="0.25">
      <c r="A75">
        <v>16909</v>
      </c>
      <c r="B75" t="s">
        <v>7</v>
      </c>
      <c r="C75" t="s">
        <v>1841</v>
      </c>
      <c r="D75" t="s">
        <v>7017</v>
      </c>
      <c r="E75" t="s">
        <v>1842</v>
      </c>
      <c r="F75" t="s">
        <v>7648</v>
      </c>
      <c r="I75">
        <v>1</v>
      </c>
    </row>
    <row r="76" spans="1:9" x14ac:dyDescent="0.25">
      <c r="A76">
        <v>16964</v>
      </c>
      <c r="B76" t="s">
        <v>7</v>
      </c>
      <c r="C76" t="s">
        <v>1879</v>
      </c>
      <c r="D76" t="s">
        <v>7017</v>
      </c>
      <c r="E76" t="s">
        <v>1880</v>
      </c>
      <c r="F76" t="s">
        <v>7649</v>
      </c>
    </row>
    <row r="77" spans="1:9" x14ac:dyDescent="0.25">
      <c r="A77">
        <v>16971</v>
      </c>
      <c r="B77" t="s">
        <v>7</v>
      </c>
      <c r="C77" t="s">
        <v>1887</v>
      </c>
      <c r="D77" t="s">
        <v>7017</v>
      </c>
      <c r="E77" t="s">
        <v>1888</v>
      </c>
      <c r="F77" t="s">
        <v>7650</v>
      </c>
    </row>
    <row r="78" spans="1:9" x14ac:dyDescent="0.25">
      <c r="A78">
        <v>16978</v>
      </c>
      <c r="B78" t="s">
        <v>7</v>
      </c>
      <c r="C78" t="s">
        <v>1897</v>
      </c>
      <c r="D78" t="s">
        <v>7017</v>
      </c>
      <c r="E78" t="s">
        <v>1898</v>
      </c>
      <c r="F78" t="s">
        <v>7651</v>
      </c>
    </row>
    <row r="79" spans="1:9" x14ac:dyDescent="0.25">
      <c r="A79">
        <v>16983</v>
      </c>
      <c r="B79" t="s">
        <v>7</v>
      </c>
      <c r="C79" t="s">
        <v>1903</v>
      </c>
      <c r="D79" t="s">
        <v>7017</v>
      </c>
      <c r="E79" t="s">
        <v>1904</v>
      </c>
      <c r="F79" t="s">
        <v>7652</v>
      </c>
    </row>
    <row r="80" spans="1:9" x14ac:dyDescent="0.25">
      <c r="A80">
        <v>16998</v>
      </c>
      <c r="B80" t="s">
        <v>7</v>
      </c>
      <c r="C80" t="s">
        <v>1917</v>
      </c>
      <c r="D80" t="s">
        <v>7017</v>
      </c>
      <c r="E80" t="s">
        <v>1918</v>
      </c>
      <c r="F80" t="s">
        <v>7653</v>
      </c>
    </row>
    <row r="81" spans="1:9" x14ac:dyDescent="0.25">
      <c r="A81">
        <v>17047</v>
      </c>
      <c r="B81" t="s">
        <v>7</v>
      </c>
      <c r="C81" t="s">
        <v>1941</v>
      </c>
      <c r="D81" t="s">
        <v>7017</v>
      </c>
      <c r="E81" t="s">
        <v>1942</v>
      </c>
      <c r="F81" t="s">
        <v>6915</v>
      </c>
      <c r="G81" t="s">
        <v>7820</v>
      </c>
      <c r="H81">
        <v>4</v>
      </c>
      <c r="I81">
        <v>1</v>
      </c>
    </row>
    <row r="82" spans="1:9" x14ac:dyDescent="0.25">
      <c r="A82">
        <v>17076</v>
      </c>
      <c r="B82" t="s">
        <v>7</v>
      </c>
      <c r="C82" t="s">
        <v>1955</v>
      </c>
      <c r="D82" t="s">
        <v>7017</v>
      </c>
      <c r="E82" t="s">
        <v>1956</v>
      </c>
      <c r="F82" t="s">
        <v>7654</v>
      </c>
      <c r="I82">
        <v>1</v>
      </c>
    </row>
    <row r="83" spans="1:9" x14ac:dyDescent="0.25">
      <c r="A83">
        <v>17116</v>
      </c>
      <c r="B83" t="s">
        <v>7</v>
      </c>
      <c r="C83" t="s">
        <v>1990</v>
      </c>
      <c r="D83" t="s">
        <v>7017</v>
      </c>
      <c r="E83" t="s">
        <v>1991</v>
      </c>
      <c r="F83" t="s">
        <v>7655</v>
      </c>
      <c r="I83">
        <v>1</v>
      </c>
    </row>
    <row r="84" spans="1:9" x14ac:dyDescent="0.25">
      <c r="A84">
        <v>17148</v>
      </c>
      <c r="B84" t="s">
        <v>7</v>
      </c>
      <c r="C84" t="s">
        <v>2014</v>
      </c>
      <c r="D84" t="s">
        <v>7017</v>
      </c>
      <c r="E84" t="s">
        <v>2015</v>
      </c>
      <c r="F84" t="s">
        <v>6978</v>
      </c>
      <c r="G84" t="s">
        <v>7818</v>
      </c>
      <c r="H84">
        <v>7</v>
      </c>
      <c r="I84">
        <v>1</v>
      </c>
    </row>
    <row r="85" spans="1:9" x14ac:dyDescent="0.25">
      <c r="A85">
        <v>17157</v>
      </c>
      <c r="B85" t="s">
        <v>7</v>
      </c>
      <c r="C85" t="s">
        <v>2022</v>
      </c>
      <c r="D85" t="s">
        <v>7017</v>
      </c>
      <c r="E85" t="s">
        <v>2023</v>
      </c>
      <c r="F85" t="s">
        <v>6974</v>
      </c>
      <c r="G85" t="s">
        <v>7816</v>
      </c>
      <c r="H85">
        <v>10</v>
      </c>
      <c r="I85">
        <v>1</v>
      </c>
    </row>
    <row r="86" spans="1:9" x14ac:dyDescent="0.25">
      <c r="A86">
        <v>17161</v>
      </c>
      <c r="B86" t="s">
        <v>7</v>
      </c>
      <c r="C86" t="s">
        <v>2030</v>
      </c>
      <c r="D86" t="s">
        <v>7017</v>
      </c>
      <c r="E86" t="s">
        <v>2031</v>
      </c>
      <c r="F86" t="s">
        <v>6985</v>
      </c>
      <c r="I86">
        <v>1</v>
      </c>
    </row>
    <row r="87" spans="1:9" x14ac:dyDescent="0.25">
      <c r="A87">
        <v>17170</v>
      </c>
      <c r="B87" t="s">
        <v>7</v>
      </c>
      <c r="C87" t="s">
        <v>2038</v>
      </c>
      <c r="D87" t="s">
        <v>7017</v>
      </c>
      <c r="E87" t="s">
        <v>2039</v>
      </c>
      <c r="F87" t="s">
        <v>7656</v>
      </c>
    </row>
    <row r="88" spans="1:9" x14ac:dyDescent="0.25">
      <c r="A88">
        <v>17220</v>
      </c>
      <c r="B88" t="s">
        <v>7</v>
      </c>
      <c r="C88" t="s">
        <v>2068</v>
      </c>
      <c r="D88" t="s">
        <v>7017</v>
      </c>
      <c r="E88" t="s">
        <v>2069</v>
      </c>
      <c r="F88" t="s">
        <v>7657</v>
      </c>
      <c r="I88">
        <v>1</v>
      </c>
    </row>
    <row r="89" spans="1:9" x14ac:dyDescent="0.25">
      <c r="A89">
        <v>17338</v>
      </c>
      <c r="B89" t="s">
        <v>7</v>
      </c>
      <c r="C89" t="s">
        <v>2132</v>
      </c>
      <c r="D89" t="s">
        <v>7017</v>
      </c>
      <c r="E89" t="s">
        <v>2133</v>
      </c>
      <c r="F89" t="s">
        <v>6960</v>
      </c>
      <c r="I89">
        <v>1</v>
      </c>
    </row>
    <row r="90" spans="1:9" x14ac:dyDescent="0.25">
      <c r="A90">
        <v>17342</v>
      </c>
      <c r="B90" t="s">
        <v>7</v>
      </c>
      <c r="C90" t="s">
        <v>2140</v>
      </c>
      <c r="D90" t="s">
        <v>7017</v>
      </c>
      <c r="E90" t="s">
        <v>2141</v>
      </c>
      <c r="F90" t="s">
        <v>6960</v>
      </c>
      <c r="I90">
        <v>1</v>
      </c>
    </row>
    <row r="91" spans="1:9" x14ac:dyDescent="0.25">
      <c r="A91">
        <v>17390</v>
      </c>
      <c r="B91" t="s">
        <v>7</v>
      </c>
      <c r="C91" t="s">
        <v>2158</v>
      </c>
      <c r="D91" t="s">
        <v>7017</v>
      </c>
      <c r="E91" t="s">
        <v>2159</v>
      </c>
      <c r="F91" t="s">
        <v>7658</v>
      </c>
      <c r="G91" t="s">
        <v>7831</v>
      </c>
      <c r="H91">
        <v>8</v>
      </c>
    </row>
    <row r="92" spans="1:9" x14ac:dyDescent="0.25">
      <c r="A92">
        <v>17471</v>
      </c>
      <c r="B92" t="s">
        <v>7</v>
      </c>
      <c r="C92" t="s">
        <v>2194</v>
      </c>
      <c r="D92" t="s">
        <v>7017</v>
      </c>
      <c r="E92" t="s">
        <v>2195</v>
      </c>
      <c r="F92" t="s">
        <v>7659</v>
      </c>
    </row>
    <row r="93" spans="1:9" x14ac:dyDescent="0.25">
      <c r="A93">
        <v>17483</v>
      </c>
      <c r="B93" t="s">
        <v>7</v>
      </c>
      <c r="C93" t="s">
        <v>2218</v>
      </c>
      <c r="D93" t="s">
        <v>7017</v>
      </c>
      <c r="E93" t="s">
        <v>2219</v>
      </c>
      <c r="F93" t="s">
        <v>7660</v>
      </c>
    </row>
    <row r="94" spans="1:9" x14ac:dyDescent="0.25">
      <c r="A94">
        <v>17504</v>
      </c>
      <c r="B94" t="s">
        <v>7</v>
      </c>
      <c r="C94" t="s">
        <v>2246</v>
      </c>
      <c r="D94" t="s">
        <v>7017</v>
      </c>
      <c r="E94" t="s">
        <v>2247</v>
      </c>
      <c r="F94" t="s">
        <v>7661</v>
      </c>
    </row>
    <row r="95" spans="1:9" x14ac:dyDescent="0.25">
      <c r="A95">
        <v>17510</v>
      </c>
      <c r="B95" t="s">
        <v>7</v>
      </c>
      <c r="C95" t="s">
        <v>2256</v>
      </c>
      <c r="D95" t="s">
        <v>7017</v>
      </c>
      <c r="E95" t="s">
        <v>2257</v>
      </c>
      <c r="F95" t="s">
        <v>7662</v>
      </c>
    </row>
    <row r="96" spans="1:9" x14ac:dyDescent="0.25">
      <c r="A96">
        <v>17526</v>
      </c>
      <c r="B96" t="s">
        <v>7</v>
      </c>
      <c r="C96" t="s">
        <v>2272</v>
      </c>
      <c r="D96" t="s">
        <v>7017</v>
      </c>
      <c r="E96" t="s">
        <v>2273</v>
      </c>
      <c r="F96" t="s">
        <v>6915</v>
      </c>
      <c r="G96" t="s">
        <v>7820</v>
      </c>
      <c r="H96">
        <v>4</v>
      </c>
      <c r="I96">
        <v>1</v>
      </c>
    </row>
    <row r="97" spans="1:9" x14ac:dyDescent="0.25">
      <c r="A97">
        <v>17530</v>
      </c>
      <c r="B97" t="s">
        <v>7</v>
      </c>
      <c r="C97" t="s">
        <v>2280</v>
      </c>
      <c r="D97" t="s">
        <v>7017</v>
      </c>
      <c r="E97" t="s">
        <v>2281</v>
      </c>
      <c r="F97" t="s">
        <v>7663</v>
      </c>
    </row>
    <row r="98" spans="1:9" x14ac:dyDescent="0.25">
      <c r="A98">
        <v>17543</v>
      </c>
      <c r="B98" t="s">
        <v>7</v>
      </c>
      <c r="C98" t="s">
        <v>2296</v>
      </c>
      <c r="D98" t="s">
        <v>7017</v>
      </c>
      <c r="E98" t="s">
        <v>2297</v>
      </c>
      <c r="F98" t="s">
        <v>6924</v>
      </c>
      <c r="I98">
        <v>1</v>
      </c>
    </row>
    <row r="99" spans="1:9" x14ac:dyDescent="0.25">
      <c r="A99">
        <v>17547</v>
      </c>
      <c r="B99" t="s">
        <v>7</v>
      </c>
      <c r="C99" t="s">
        <v>2304</v>
      </c>
      <c r="D99" t="s">
        <v>7017</v>
      </c>
      <c r="E99" t="s">
        <v>2305</v>
      </c>
      <c r="F99" t="s">
        <v>6924</v>
      </c>
      <c r="I99">
        <v>1</v>
      </c>
    </row>
    <row r="100" spans="1:9" x14ac:dyDescent="0.25">
      <c r="A100">
        <v>17551</v>
      </c>
      <c r="B100" t="s">
        <v>7</v>
      </c>
      <c r="C100" t="s">
        <v>2312</v>
      </c>
      <c r="D100" t="s">
        <v>7017</v>
      </c>
      <c r="E100" t="s">
        <v>2313</v>
      </c>
      <c r="F100" t="s">
        <v>6924</v>
      </c>
      <c r="I100">
        <v>1</v>
      </c>
    </row>
    <row r="101" spans="1:9" x14ac:dyDescent="0.25">
      <c r="A101">
        <v>17555</v>
      </c>
      <c r="B101" t="s">
        <v>7</v>
      </c>
      <c r="C101" t="s">
        <v>2320</v>
      </c>
      <c r="D101" t="s">
        <v>7017</v>
      </c>
      <c r="E101" t="s">
        <v>2321</v>
      </c>
      <c r="F101" t="s">
        <v>7664</v>
      </c>
      <c r="I101">
        <v>1</v>
      </c>
    </row>
    <row r="102" spans="1:9" x14ac:dyDescent="0.25">
      <c r="A102">
        <v>17565</v>
      </c>
      <c r="B102" t="s">
        <v>7</v>
      </c>
      <c r="C102" t="s">
        <v>2328</v>
      </c>
      <c r="D102" t="s">
        <v>7017</v>
      </c>
      <c r="E102" t="s">
        <v>2329</v>
      </c>
      <c r="F102" t="s">
        <v>6942</v>
      </c>
      <c r="G102" t="s">
        <v>7832</v>
      </c>
      <c r="H102">
        <v>6</v>
      </c>
      <c r="I102">
        <v>1</v>
      </c>
    </row>
    <row r="103" spans="1:9" x14ac:dyDescent="0.25">
      <c r="A103">
        <v>17578</v>
      </c>
      <c r="B103" t="s">
        <v>7</v>
      </c>
      <c r="C103" t="s">
        <v>2346</v>
      </c>
      <c r="D103" t="s">
        <v>7017</v>
      </c>
      <c r="E103" t="s">
        <v>2347</v>
      </c>
      <c r="F103" t="s">
        <v>6942</v>
      </c>
      <c r="G103" t="s">
        <v>7832</v>
      </c>
      <c r="H103">
        <v>6</v>
      </c>
      <c r="I103">
        <v>1</v>
      </c>
    </row>
    <row r="104" spans="1:9" x14ac:dyDescent="0.25">
      <c r="A104">
        <v>17582</v>
      </c>
      <c r="B104" t="s">
        <v>7</v>
      </c>
      <c r="C104" t="s">
        <v>2354</v>
      </c>
      <c r="D104" t="s">
        <v>7017</v>
      </c>
      <c r="E104" t="s">
        <v>2355</v>
      </c>
      <c r="F104" t="s">
        <v>6940</v>
      </c>
      <c r="G104" t="s">
        <v>7823</v>
      </c>
      <c r="H104">
        <v>6</v>
      </c>
      <c r="I104">
        <v>1</v>
      </c>
    </row>
    <row r="105" spans="1:9" x14ac:dyDescent="0.25">
      <c r="A105">
        <v>17586</v>
      </c>
      <c r="B105" t="s">
        <v>7</v>
      </c>
      <c r="C105" t="s">
        <v>2362</v>
      </c>
      <c r="D105" t="s">
        <v>7017</v>
      </c>
      <c r="E105" t="s">
        <v>2363</v>
      </c>
      <c r="F105" t="s">
        <v>7665</v>
      </c>
    </row>
    <row r="106" spans="1:9" x14ac:dyDescent="0.25">
      <c r="A106">
        <v>17596</v>
      </c>
      <c r="B106" t="s">
        <v>7</v>
      </c>
      <c r="C106" t="s">
        <v>2370</v>
      </c>
      <c r="D106" t="s">
        <v>7017</v>
      </c>
      <c r="E106" t="s">
        <v>2371</v>
      </c>
      <c r="F106" t="s">
        <v>6970</v>
      </c>
      <c r="I106">
        <v>1</v>
      </c>
    </row>
    <row r="107" spans="1:9" x14ac:dyDescent="0.25">
      <c r="A107">
        <v>17603</v>
      </c>
      <c r="B107" t="s">
        <v>7</v>
      </c>
      <c r="C107" t="s">
        <v>2380</v>
      </c>
      <c r="D107" t="s">
        <v>7017</v>
      </c>
      <c r="E107" t="s">
        <v>2381</v>
      </c>
      <c r="F107" t="s">
        <v>6979</v>
      </c>
      <c r="G107" t="s">
        <v>7833</v>
      </c>
      <c r="H107">
        <v>6</v>
      </c>
    </row>
    <row r="108" spans="1:9" x14ac:dyDescent="0.25">
      <c r="A108">
        <v>17620</v>
      </c>
      <c r="B108" t="s">
        <v>7</v>
      </c>
      <c r="C108" t="s">
        <v>2396</v>
      </c>
      <c r="D108" t="s">
        <v>7017</v>
      </c>
      <c r="E108" t="s">
        <v>2397</v>
      </c>
      <c r="F108" t="s">
        <v>6979</v>
      </c>
      <c r="G108" t="s">
        <v>7833</v>
      </c>
      <c r="H108">
        <v>6</v>
      </c>
    </row>
    <row r="109" spans="1:9" x14ac:dyDescent="0.25">
      <c r="A109">
        <v>17623</v>
      </c>
      <c r="B109" t="s">
        <v>7</v>
      </c>
      <c r="C109" t="s">
        <v>2402</v>
      </c>
      <c r="D109" t="s">
        <v>7017</v>
      </c>
      <c r="E109" t="s">
        <v>2403</v>
      </c>
      <c r="F109" t="s">
        <v>6980</v>
      </c>
      <c r="G109" t="s">
        <v>7834</v>
      </c>
      <c r="H109">
        <v>6</v>
      </c>
    </row>
    <row r="110" spans="1:9" x14ac:dyDescent="0.25">
      <c r="A110">
        <v>17634</v>
      </c>
      <c r="B110" t="s">
        <v>7</v>
      </c>
      <c r="C110" t="s">
        <v>2418</v>
      </c>
      <c r="D110" t="s">
        <v>7017</v>
      </c>
      <c r="E110" t="s">
        <v>2419</v>
      </c>
      <c r="F110" t="s">
        <v>6980</v>
      </c>
      <c r="G110" t="s">
        <v>7834</v>
      </c>
      <c r="H110">
        <v>6</v>
      </c>
    </row>
    <row r="111" spans="1:9" x14ac:dyDescent="0.25">
      <c r="A111">
        <v>17658</v>
      </c>
      <c r="B111" t="s">
        <v>7</v>
      </c>
      <c r="C111" t="s">
        <v>2438</v>
      </c>
      <c r="D111" t="s">
        <v>7017</v>
      </c>
      <c r="E111" t="s">
        <v>2439</v>
      </c>
      <c r="F111" t="s">
        <v>6970</v>
      </c>
      <c r="I111">
        <v>1</v>
      </c>
    </row>
    <row r="112" spans="1:9" x14ac:dyDescent="0.25">
      <c r="A112">
        <v>17662</v>
      </c>
      <c r="B112" t="s">
        <v>7</v>
      </c>
      <c r="C112" t="s">
        <v>2446</v>
      </c>
      <c r="D112" t="s">
        <v>7017</v>
      </c>
      <c r="E112" t="s">
        <v>2447</v>
      </c>
      <c r="F112" t="s">
        <v>7666</v>
      </c>
      <c r="I112">
        <v>1</v>
      </c>
    </row>
    <row r="113" spans="1:9" x14ac:dyDescent="0.25">
      <c r="A113">
        <v>17678</v>
      </c>
      <c r="B113" t="s">
        <v>7</v>
      </c>
      <c r="C113" t="s">
        <v>2466</v>
      </c>
      <c r="D113" t="s">
        <v>7017</v>
      </c>
      <c r="E113" t="s">
        <v>2467</v>
      </c>
      <c r="F113" t="s">
        <v>7009</v>
      </c>
      <c r="I113">
        <v>1</v>
      </c>
    </row>
    <row r="114" spans="1:9" x14ac:dyDescent="0.25">
      <c r="A114">
        <v>17686</v>
      </c>
      <c r="B114" t="s">
        <v>7</v>
      </c>
      <c r="C114" t="s">
        <v>2482</v>
      </c>
      <c r="D114" t="s">
        <v>7017</v>
      </c>
      <c r="E114" t="s">
        <v>2483</v>
      </c>
      <c r="F114" t="s">
        <v>7008</v>
      </c>
      <c r="I114">
        <v>1</v>
      </c>
    </row>
    <row r="115" spans="1:9" x14ac:dyDescent="0.25">
      <c r="A115">
        <v>17695</v>
      </c>
      <c r="B115" t="s">
        <v>7</v>
      </c>
      <c r="C115" t="s">
        <v>2500</v>
      </c>
      <c r="D115" t="s">
        <v>7017</v>
      </c>
      <c r="E115" t="s">
        <v>2501</v>
      </c>
      <c r="F115" t="s">
        <v>7006</v>
      </c>
      <c r="I115">
        <v>1</v>
      </c>
    </row>
    <row r="116" spans="1:9" x14ac:dyDescent="0.25">
      <c r="A116">
        <v>17708</v>
      </c>
      <c r="B116" t="s">
        <v>7</v>
      </c>
      <c r="C116" t="s">
        <v>2520</v>
      </c>
      <c r="D116" t="s">
        <v>7017</v>
      </c>
      <c r="E116" t="s">
        <v>2521</v>
      </c>
      <c r="F116" t="s">
        <v>7667</v>
      </c>
    </row>
    <row r="117" spans="1:9" x14ac:dyDescent="0.25">
      <c r="A117">
        <v>17711</v>
      </c>
      <c r="B117" t="s">
        <v>7</v>
      </c>
      <c r="C117" t="s">
        <v>2526</v>
      </c>
      <c r="D117" t="s">
        <v>7017</v>
      </c>
      <c r="E117" t="s">
        <v>2527</v>
      </c>
      <c r="F117" t="s">
        <v>7668</v>
      </c>
    </row>
    <row r="118" spans="1:9" x14ac:dyDescent="0.25">
      <c r="A118">
        <v>17714</v>
      </c>
      <c r="B118" t="s">
        <v>7</v>
      </c>
      <c r="C118" t="s">
        <v>2532</v>
      </c>
      <c r="D118" t="s">
        <v>7017</v>
      </c>
      <c r="E118" t="s">
        <v>2533</v>
      </c>
      <c r="F118" t="s">
        <v>7669</v>
      </c>
    </row>
    <row r="119" spans="1:9" x14ac:dyDescent="0.25">
      <c r="A119">
        <v>17717</v>
      </c>
      <c r="B119" t="s">
        <v>7</v>
      </c>
      <c r="C119" t="s">
        <v>2538</v>
      </c>
      <c r="D119" t="s">
        <v>7017</v>
      </c>
      <c r="E119" t="s">
        <v>2539</v>
      </c>
      <c r="F119" t="s">
        <v>7670</v>
      </c>
    </row>
    <row r="120" spans="1:9" x14ac:dyDescent="0.25">
      <c r="A120">
        <v>17726</v>
      </c>
      <c r="B120" t="s">
        <v>7</v>
      </c>
      <c r="C120" t="s">
        <v>2546</v>
      </c>
      <c r="D120" t="s">
        <v>7017</v>
      </c>
      <c r="E120" t="s">
        <v>2547</v>
      </c>
      <c r="F120" t="s">
        <v>7671</v>
      </c>
    </row>
    <row r="121" spans="1:9" x14ac:dyDescent="0.25">
      <c r="A121">
        <v>17741</v>
      </c>
      <c r="B121" t="s">
        <v>7</v>
      </c>
      <c r="C121" t="s">
        <v>2558</v>
      </c>
      <c r="D121" t="s">
        <v>7017</v>
      </c>
      <c r="E121" t="s">
        <v>2559</v>
      </c>
      <c r="F121" t="s">
        <v>6942</v>
      </c>
      <c r="G121" t="s">
        <v>7832</v>
      </c>
      <c r="H121">
        <v>6</v>
      </c>
      <c r="I121">
        <v>1</v>
      </c>
    </row>
    <row r="122" spans="1:9" x14ac:dyDescent="0.25">
      <c r="A122">
        <v>17745</v>
      </c>
      <c r="B122" t="s">
        <v>7</v>
      </c>
      <c r="C122" t="s">
        <v>2566</v>
      </c>
      <c r="D122" t="s">
        <v>7017</v>
      </c>
      <c r="E122" t="s">
        <v>2567</v>
      </c>
      <c r="F122" t="s">
        <v>6939</v>
      </c>
      <c r="G122" t="s">
        <v>7824</v>
      </c>
      <c r="H122">
        <v>5</v>
      </c>
      <c r="I122">
        <v>1</v>
      </c>
    </row>
    <row r="123" spans="1:9" x14ac:dyDescent="0.25">
      <c r="A123">
        <v>17749</v>
      </c>
      <c r="B123" t="s">
        <v>7</v>
      </c>
      <c r="C123" t="s">
        <v>2574</v>
      </c>
      <c r="D123" t="s">
        <v>7017</v>
      </c>
      <c r="E123" t="s">
        <v>2575</v>
      </c>
      <c r="F123" t="s">
        <v>6939</v>
      </c>
      <c r="G123" t="s">
        <v>7824</v>
      </c>
      <c r="H123">
        <v>5</v>
      </c>
      <c r="I123">
        <v>1</v>
      </c>
    </row>
    <row r="124" spans="1:9" x14ac:dyDescent="0.25">
      <c r="A124">
        <v>17753</v>
      </c>
      <c r="B124" t="s">
        <v>7</v>
      </c>
      <c r="C124" t="s">
        <v>2582</v>
      </c>
      <c r="D124" t="s">
        <v>7017</v>
      </c>
      <c r="E124" t="s">
        <v>2583</v>
      </c>
      <c r="F124" t="s">
        <v>7672</v>
      </c>
      <c r="G124" t="s">
        <v>7835</v>
      </c>
      <c r="H124">
        <v>6</v>
      </c>
      <c r="I124">
        <v>1</v>
      </c>
    </row>
    <row r="125" spans="1:9" x14ac:dyDescent="0.25">
      <c r="A125">
        <v>17762</v>
      </c>
      <c r="B125" t="s">
        <v>7</v>
      </c>
      <c r="C125" t="s">
        <v>2600</v>
      </c>
      <c r="D125" t="s">
        <v>7017</v>
      </c>
      <c r="E125" t="s">
        <v>2601</v>
      </c>
      <c r="F125" t="s">
        <v>7673</v>
      </c>
      <c r="G125" t="s">
        <v>7836</v>
      </c>
      <c r="H125">
        <v>6</v>
      </c>
      <c r="I125">
        <v>1</v>
      </c>
    </row>
    <row r="126" spans="1:9" x14ac:dyDescent="0.25">
      <c r="A126">
        <v>17771</v>
      </c>
      <c r="B126" t="s">
        <v>7</v>
      </c>
      <c r="C126" t="s">
        <v>2618</v>
      </c>
      <c r="D126" t="s">
        <v>7017</v>
      </c>
      <c r="E126" t="s">
        <v>2619</v>
      </c>
      <c r="F126" t="s">
        <v>6935</v>
      </c>
      <c r="I126">
        <v>1</v>
      </c>
    </row>
    <row r="127" spans="1:9" x14ac:dyDescent="0.25">
      <c r="A127">
        <v>17775</v>
      </c>
      <c r="B127" t="s">
        <v>7</v>
      </c>
      <c r="C127" t="s">
        <v>2626</v>
      </c>
      <c r="D127" t="s">
        <v>7017</v>
      </c>
      <c r="E127" t="s">
        <v>2627</v>
      </c>
      <c r="F127" t="s">
        <v>7674</v>
      </c>
      <c r="I127">
        <v>1</v>
      </c>
    </row>
    <row r="128" spans="1:9" x14ac:dyDescent="0.25">
      <c r="A128">
        <v>17787</v>
      </c>
      <c r="B128" t="s">
        <v>7</v>
      </c>
      <c r="C128" t="s">
        <v>2644</v>
      </c>
      <c r="D128" t="s">
        <v>7017</v>
      </c>
      <c r="E128" t="s">
        <v>2645</v>
      </c>
      <c r="F128" t="s">
        <v>7675</v>
      </c>
      <c r="I128">
        <v>1</v>
      </c>
    </row>
    <row r="129" spans="1:9" x14ac:dyDescent="0.25">
      <c r="A129">
        <v>17808</v>
      </c>
      <c r="B129" t="s">
        <v>7</v>
      </c>
      <c r="C129" t="s">
        <v>2668</v>
      </c>
      <c r="D129" t="s">
        <v>7017</v>
      </c>
      <c r="E129" t="s">
        <v>2669</v>
      </c>
      <c r="F129" t="s">
        <v>7002</v>
      </c>
      <c r="I129">
        <v>1</v>
      </c>
    </row>
    <row r="130" spans="1:9" x14ac:dyDescent="0.25">
      <c r="A130">
        <v>17820</v>
      </c>
      <c r="B130" t="s">
        <v>7</v>
      </c>
      <c r="C130" t="s">
        <v>2686</v>
      </c>
      <c r="D130" t="s">
        <v>7017</v>
      </c>
      <c r="E130" t="s">
        <v>2687</v>
      </c>
      <c r="F130" t="s">
        <v>7003</v>
      </c>
      <c r="I130">
        <v>1</v>
      </c>
    </row>
    <row r="131" spans="1:9" x14ac:dyDescent="0.25">
      <c r="A131">
        <v>17829</v>
      </c>
      <c r="B131" t="s">
        <v>7</v>
      </c>
      <c r="C131" t="s">
        <v>2704</v>
      </c>
      <c r="D131" t="s">
        <v>7017</v>
      </c>
      <c r="E131" t="s">
        <v>2705</v>
      </c>
      <c r="F131" t="s">
        <v>7004</v>
      </c>
      <c r="I131">
        <v>1</v>
      </c>
    </row>
    <row r="132" spans="1:9" x14ac:dyDescent="0.25">
      <c r="A132">
        <v>17836</v>
      </c>
      <c r="B132" t="s">
        <v>7</v>
      </c>
      <c r="C132" t="s">
        <v>2712</v>
      </c>
      <c r="D132" t="s">
        <v>7017</v>
      </c>
      <c r="E132" t="s">
        <v>2713</v>
      </c>
      <c r="F132" t="s">
        <v>7002</v>
      </c>
      <c r="I132">
        <v>1</v>
      </c>
    </row>
    <row r="133" spans="1:9" x14ac:dyDescent="0.25">
      <c r="A133">
        <v>17843</v>
      </c>
      <c r="B133" t="s">
        <v>7</v>
      </c>
      <c r="C133" t="s">
        <v>2720</v>
      </c>
      <c r="D133" t="s">
        <v>7017</v>
      </c>
      <c r="E133" t="s">
        <v>2721</v>
      </c>
      <c r="F133" t="s">
        <v>7002</v>
      </c>
      <c r="I133">
        <v>1</v>
      </c>
    </row>
    <row r="134" spans="1:9" x14ac:dyDescent="0.25">
      <c r="A134">
        <v>17849</v>
      </c>
      <c r="B134" t="s">
        <v>7</v>
      </c>
      <c r="C134" t="s">
        <v>2730</v>
      </c>
      <c r="D134" t="s">
        <v>7017</v>
      </c>
      <c r="E134" t="s">
        <v>2731</v>
      </c>
      <c r="F134" t="s">
        <v>7003</v>
      </c>
      <c r="I134">
        <v>1</v>
      </c>
    </row>
    <row r="135" spans="1:9" x14ac:dyDescent="0.25">
      <c r="A135">
        <v>17853</v>
      </c>
      <c r="B135" t="s">
        <v>7</v>
      </c>
      <c r="C135" t="s">
        <v>2738</v>
      </c>
      <c r="D135" t="s">
        <v>7017</v>
      </c>
      <c r="E135" t="s">
        <v>2739</v>
      </c>
      <c r="F135" t="s">
        <v>6911</v>
      </c>
      <c r="G135" t="s">
        <v>7837</v>
      </c>
      <c r="H135">
        <v>4</v>
      </c>
      <c r="I135">
        <v>1</v>
      </c>
    </row>
    <row r="136" spans="1:9" x14ac:dyDescent="0.25">
      <c r="A136">
        <v>17866</v>
      </c>
      <c r="B136" t="s">
        <v>7</v>
      </c>
      <c r="C136" t="s">
        <v>2756</v>
      </c>
      <c r="D136" t="s">
        <v>7017</v>
      </c>
      <c r="E136" t="s">
        <v>2757</v>
      </c>
      <c r="F136" t="s">
        <v>6911</v>
      </c>
      <c r="G136" t="s">
        <v>7837</v>
      </c>
      <c r="H136">
        <v>4</v>
      </c>
      <c r="I136">
        <v>1</v>
      </c>
    </row>
    <row r="137" spans="1:9" x14ac:dyDescent="0.25">
      <c r="A137">
        <v>17870</v>
      </c>
      <c r="B137" t="s">
        <v>7</v>
      </c>
      <c r="C137" t="s">
        <v>2764</v>
      </c>
      <c r="D137" t="s">
        <v>7017</v>
      </c>
      <c r="E137" t="s">
        <v>2765</v>
      </c>
      <c r="F137" t="s">
        <v>6911</v>
      </c>
      <c r="G137" t="s">
        <v>7837</v>
      </c>
      <c r="H137">
        <v>4</v>
      </c>
      <c r="I137">
        <v>1</v>
      </c>
    </row>
    <row r="138" spans="1:9" x14ac:dyDescent="0.25">
      <c r="A138">
        <v>17874</v>
      </c>
      <c r="B138" t="s">
        <v>7</v>
      </c>
      <c r="C138" t="s">
        <v>2772</v>
      </c>
      <c r="D138" t="s">
        <v>7017</v>
      </c>
      <c r="E138" t="s">
        <v>2773</v>
      </c>
      <c r="F138" t="s">
        <v>6994</v>
      </c>
      <c r="I138">
        <v>1</v>
      </c>
    </row>
    <row r="139" spans="1:9" x14ac:dyDescent="0.25">
      <c r="A139">
        <v>17882</v>
      </c>
      <c r="B139" t="s">
        <v>7</v>
      </c>
      <c r="C139" t="s">
        <v>2788</v>
      </c>
      <c r="D139" t="s">
        <v>7017</v>
      </c>
      <c r="E139" t="s">
        <v>2789</v>
      </c>
      <c r="F139" t="s">
        <v>6993</v>
      </c>
      <c r="I139">
        <v>1</v>
      </c>
    </row>
    <row r="140" spans="1:9" x14ac:dyDescent="0.25">
      <c r="A140">
        <v>17890</v>
      </c>
      <c r="B140" t="s">
        <v>7</v>
      </c>
      <c r="C140" t="s">
        <v>2804</v>
      </c>
      <c r="D140" t="s">
        <v>7017</v>
      </c>
      <c r="E140" t="s">
        <v>2805</v>
      </c>
      <c r="F140" t="s">
        <v>6990</v>
      </c>
      <c r="I140">
        <v>1</v>
      </c>
    </row>
    <row r="141" spans="1:9" x14ac:dyDescent="0.25">
      <c r="A141">
        <v>17900</v>
      </c>
      <c r="B141" t="s">
        <v>7</v>
      </c>
      <c r="C141" t="s">
        <v>2816</v>
      </c>
      <c r="D141" t="s">
        <v>7017</v>
      </c>
      <c r="E141" t="s">
        <v>2817</v>
      </c>
      <c r="F141" t="s">
        <v>6907</v>
      </c>
      <c r="G141" t="s">
        <v>7838</v>
      </c>
      <c r="H141">
        <v>9</v>
      </c>
      <c r="I141">
        <v>1</v>
      </c>
    </row>
    <row r="142" spans="1:9" x14ac:dyDescent="0.25">
      <c r="A142">
        <v>17913</v>
      </c>
      <c r="B142" t="s">
        <v>7</v>
      </c>
      <c r="C142" t="s">
        <v>2834</v>
      </c>
      <c r="D142" t="s">
        <v>7017</v>
      </c>
      <c r="E142" t="s">
        <v>2835</v>
      </c>
      <c r="F142" t="s">
        <v>6909</v>
      </c>
      <c r="G142" t="s">
        <v>7839</v>
      </c>
      <c r="H142">
        <v>9</v>
      </c>
      <c r="I142">
        <v>1</v>
      </c>
    </row>
    <row r="143" spans="1:9" x14ac:dyDescent="0.25">
      <c r="A143">
        <v>17926</v>
      </c>
      <c r="B143" t="s">
        <v>7</v>
      </c>
      <c r="C143" t="s">
        <v>2852</v>
      </c>
      <c r="D143" t="s">
        <v>7017</v>
      </c>
      <c r="E143" t="s">
        <v>2853</v>
      </c>
      <c r="F143" t="s">
        <v>6908</v>
      </c>
      <c r="G143" t="s">
        <v>7828</v>
      </c>
      <c r="H143">
        <v>9</v>
      </c>
      <c r="I143">
        <v>1</v>
      </c>
    </row>
    <row r="144" spans="1:9" x14ac:dyDescent="0.25">
      <c r="A144">
        <v>17930</v>
      </c>
      <c r="B144" t="s">
        <v>7</v>
      </c>
      <c r="C144" t="s">
        <v>2860</v>
      </c>
      <c r="D144" t="s">
        <v>7017</v>
      </c>
      <c r="E144" t="s">
        <v>2861</v>
      </c>
      <c r="F144" t="s">
        <v>6908</v>
      </c>
      <c r="G144" t="s">
        <v>7828</v>
      </c>
      <c r="H144">
        <v>9</v>
      </c>
      <c r="I144">
        <v>1</v>
      </c>
    </row>
    <row r="145" spans="1:9" x14ac:dyDescent="0.25">
      <c r="A145">
        <v>17934</v>
      </c>
      <c r="B145" t="s">
        <v>7</v>
      </c>
      <c r="C145" t="s">
        <v>2868</v>
      </c>
      <c r="D145" t="s">
        <v>7017</v>
      </c>
      <c r="E145" t="s">
        <v>2869</v>
      </c>
      <c r="F145" t="s">
        <v>6909</v>
      </c>
      <c r="G145" t="s">
        <v>7839</v>
      </c>
      <c r="H145">
        <v>9</v>
      </c>
      <c r="I145">
        <v>1</v>
      </c>
    </row>
    <row r="146" spans="1:9" x14ac:dyDescent="0.25">
      <c r="A146">
        <v>17938</v>
      </c>
      <c r="B146" t="s">
        <v>7</v>
      </c>
      <c r="C146" t="s">
        <v>2876</v>
      </c>
      <c r="D146" t="s">
        <v>7017</v>
      </c>
      <c r="E146" t="s">
        <v>2877</v>
      </c>
      <c r="F146" t="s">
        <v>6909</v>
      </c>
      <c r="G146" t="s">
        <v>7839</v>
      </c>
      <c r="H146">
        <v>9</v>
      </c>
      <c r="I146">
        <v>1</v>
      </c>
    </row>
    <row r="147" spans="1:9" x14ac:dyDescent="0.25">
      <c r="A147">
        <v>17942</v>
      </c>
      <c r="B147" t="s">
        <v>7</v>
      </c>
      <c r="C147" t="s">
        <v>2884</v>
      </c>
      <c r="D147" t="s">
        <v>7017</v>
      </c>
      <c r="E147" t="s">
        <v>2885</v>
      </c>
      <c r="F147" t="s">
        <v>6907</v>
      </c>
      <c r="G147" t="s">
        <v>7838</v>
      </c>
      <c r="H147">
        <v>9</v>
      </c>
      <c r="I147">
        <v>1</v>
      </c>
    </row>
    <row r="148" spans="1:9" x14ac:dyDescent="0.25">
      <c r="A148">
        <v>17946</v>
      </c>
      <c r="B148" t="s">
        <v>7</v>
      </c>
      <c r="C148" t="s">
        <v>2892</v>
      </c>
      <c r="D148" t="s">
        <v>7017</v>
      </c>
      <c r="E148" t="s">
        <v>2893</v>
      </c>
      <c r="F148" t="s">
        <v>6907</v>
      </c>
      <c r="G148" t="s">
        <v>7838</v>
      </c>
      <c r="H148">
        <v>9</v>
      </c>
      <c r="I148">
        <v>1</v>
      </c>
    </row>
    <row r="149" spans="1:9" x14ac:dyDescent="0.25">
      <c r="A149">
        <v>17950</v>
      </c>
      <c r="B149" t="s">
        <v>7</v>
      </c>
      <c r="C149" t="s">
        <v>2900</v>
      </c>
      <c r="D149" t="s">
        <v>7017</v>
      </c>
      <c r="E149" t="s">
        <v>2901</v>
      </c>
      <c r="F149" t="s">
        <v>6907</v>
      </c>
      <c r="G149" t="s">
        <v>7838</v>
      </c>
      <c r="H149">
        <v>9</v>
      </c>
      <c r="I149">
        <v>1</v>
      </c>
    </row>
    <row r="150" spans="1:9" x14ac:dyDescent="0.25">
      <c r="A150">
        <v>17954</v>
      </c>
      <c r="B150" t="s">
        <v>7</v>
      </c>
      <c r="C150" t="s">
        <v>2908</v>
      </c>
      <c r="D150" t="s">
        <v>7017</v>
      </c>
      <c r="E150" t="s">
        <v>2909</v>
      </c>
      <c r="F150" t="s">
        <v>6976</v>
      </c>
      <c r="G150" t="s">
        <v>7840</v>
      </c>
      <c r="H150">
        <v>9</v>
      </c>
      <c r="I150">
        <v>1</v>
      </c>
    </row>
    <row r="151" spans="1:9" x14ac:dyDescent="0.25">
      <c r="A151">
        <v>17970</v>
      </c>
      <c r="B151" t="s">
        <v>7</v>
      </c>
      <c r="C151" t="s">
        <v>2926</v>
      </c>
      <c r="D151" t="s">
        <v>7017</v>
      </c>
      <c r="E151" t="s">
        <v>2927</v>
      </c>
      <c r="F151" t="s">
        <v>6975</v>
      </c>
      <c r="G151" t="s">
        <v>7841</v>
      </c>
      <c r="H151">
        <v>8</v>
      </c>
      <c r="I151">
        <v>1</v>
      </c>
    </row>
    <row r="152" spans="1:9" x14ac:dyDescent="0.25">
      <c r="A152">
        <v>17979</v>
      </c>
      <c r="B152" t="s">
        <v>7</v>
      </c>
      <c r="C152" t="s">
        <v>2944</v>
      </c>
      <c r="D152" t="s">
        <v>7017</v>
      </c>
      <c r="E152" t="s">
        <v>2945</v>
      </c>
      <c r="F152" t="s">
        <v>6976</v>
      </c>
      <c r="G152" t="s">
        <v>7840</v>
      </c>
      <c r="H152">
        <v>9</v>
      </c>
      <c r="I152">
        <v>1</v>
      </c>
    </row>
    <row r="153" spans="1:9" x14ac:dyDescent="0.25">
      <c r="A153">
        <v>17983</v>
      </c>
      <c r="B153" t="s">
        <v>7</v>
      </c>
      <c r="C153" t="s">
        <v>2952</v>
      </c>
      <c r="D153" t="s">
        <v>7017</v>
      </c>
      <c r="E153" t="s">
        <v>2953</v>
      </c>
      <c r="F153" t="s">
        <v>6975</v>
      </c>
      <c r="G153" t="s">
        <v>7841</v>
      </c>
      <c r="H153">
        <v>8</v>
      </c>
      <c r="I153">
        <v>1</v>
      </c>
    </row>
    <row r="154" spans="1:9" x14ac:dyDescent="0.25">
      <c r="A154">
        <v>17987</v>
      </c>
      <c r="B154" t="s">
        <v>7</v>
      </c>
      <c r="C154" t="s">
        <v>2960</v>
      </c>
      <c r="D154" t="s">
        <v>7017</v>
      </c>
      <c r="E154" t="s">
        <v>2961</v>
      </c>
      <c r="F154" t="s">
        <v>7005</v>
      </c>
      <c r="I154">
        <v>1</v>
      </c>
    </row>
    <row r="155" spans="1:9" x14ac:dyDescent="0.25">
      <c r="A155">
        <v>17990</v>
      </c>
      <c r="B155" t="s">
        <v>7</v>
      </c>
      <c r="C155" t="s">
        <v>2966</v>
      </c>
      <c r="D155" t="s">
        <v>7017</v>
      </c>
      <c r="E155" t="s">
        <v>2967</v>
      </c>
      <c r="F155" t="s">
        <v>7009</v>
      </c>
      <c r="I155">
        <v>1</v>
      </c>
    </row>
    <row r="156" spans="1:9" x14ac:dyDescent="0.25">
      <c r="A156">
        <v>17993</v>
      </c>
      <c r="B156" t="s">
        <v>7</v>
      </c>
      <c r="C156" t="s">
        <v>2972</v>
      </c>
      <c r="D156" t="s">
        <v>7017</v>
      </c>
      <c r="E156" t="s">
        <v>2973</v>
      </c>
      <c r="F156" t="s">
        <v>7008</v>
      </c>
      <c r="I156">
        <v>1</v>
      </c>
    </row>
    <row r="157" spans="1:9" x14ac:dyDescent="0.25">
      <c r="A157">
        <v>17996</v>
      </c>
      <c r="B157" t="s">
        <v>7</v>
      </c>
      <c r="C157" t="s">
        <v>2978</v>
      </c>
      <c r="D157" t="s">
        <v>7017</v>
      </c>
      <c r="E157" t="s">
        <v>2979</v>
      </c>
      <c r="F157" t="s">
        <v>7676</v>
      </c>
    </row>
    <row r="158" spans="1:9" x14ac:dyDescent="0.25">
      <c r="A158">
        <v>18004</v>
      </c>
      <c r="B158" t="s">
        <v>7</v>
      </c>
      <c r="C158" t="s">
        <v>2984</v>
      </c>
      <c r="D158" t="s">
        <v>7017</v>
      </c>
      <c r="E158" t="s">
        <v>2985</v>
      </c>
      <c r="F158" t="s">
        <v>7677</v>
      </c>
    </row>
    <row r="159" spans="1:9" x14ac:dyDescent="0.25">
      <c r="A159">
        <v>18012</v>
      </c>
      <c r="B159" t="s">
        <v>7</v>
      </c>
      <c r="C159" t="s">
        <v>2990</v>
      </c>
      <c r="D159" t="s">
        <v>7017</v>
      </c>
      <c r="E159" t="s">
        <v>2991</v>
      </c>
      <c r="F159" t="s">
        <v>6957</v>
      </c>
      <c r="I159">
        <v>1</v>
      </c>
    </row>
    <row r="160" spans="1:9" x14ac:dyDescent="0.25">
      <c r="A160">
        <v>18021</v>
      </c>
      <c r="B160" t="s">
        <v>7</v>
      </c>
      <c r="C160" t="s">
        <v>3004</v>
      </c>
      <c r="D160" t="s">
        <v>7017</v>
      </c>
      <c r="E160" t="s">
        <v>3005</v>
      </c>
      <c r="F160" t="s">
        <v>6957</v>
      </c>
      <c r="I160">
        <v>1</v>
      </c>
    </row>
    <row r="161" spans="1:9" x14ac:dyDescent="0.25">
      <c r="A161">
        <v>18025</v>
      </c>
      <c r="B161" t="s">
        <v>7</v>
      </c>
      <c r="C161" t="s">
        <v>3012</v>
      </c>
      <c r="D161" t="s">
        <v>7017</v>
      </c>
      <c r="E161" t="s">
        <v>3013</v>
      </c>
      <c r="F161" t="s">
        <v>6957</v>
      </c>
      <c r="I161">
        <v>1</v>
      </c>
    </row>
    <row r="162" spans="1:9" x14ac:dyDescent="0.25">
      <c r="A162">
        <v>18036</v>
      </c>
      <c r="B162" t="s">
        <v>7</v>
      </c>
      <c r="C162" t="s">
        <v>3022</v>
      </c>
      <c r="D162" t="s">
        <v>7017</v>
      </c>
      <c r="E162" t="s">
        <v>3023</v>
      </c>
      <c r="F162" t="s">
        <v>6962</v>
      </c>
      <c r="I162">
        <v>1</v>
      </c>
    </row>
    <row r="163" spans="1:9" x14ac:dyDescent="0.25">
      <c r="A163">
        <v>18043</v>
      </c>
      <c r="B163" t="s">
        <v>7</v>
      </c>
      <c r="C163" t="s">
        <v>3036</v>
      </c>
      <c r="D163" t="s">
        <v>7017</v>
      </c>
      <c r="E163" t="s">
        <v>3037</v>
      </c>
      <c r="F163" t="s">
        <v>6962</v>
      </c>
      <c r="I163">
        <v>1</v>
      </c>
    </row>
    <row r="164" spans="1:9" x14ac:dyDescent="0.25">
      <c r="A164">
        <v>18047</v>
      </c>
      <c r="B164" t="s">
        <v>7</v>
      </c>
      <c r="C164" t="s">
        <v>3044</v>
      </c>
      <c r="D164" t="s">
        <v>7017</v>
      </c>
      <c r="E164" t="s">
        <v>3045</v>
      </c>
      <c r="F164" t="s">
        <v>6962</v>
      </c>
      <c r="I164">
        <v>1</v>
      </c>
    </row>
    <row r="165" spans="1:9" x14ac:dyDescent="0.25">
      <c r="A165">
        <v>18051</v>
      </c>
      <c r="B165" t="s">
        <v>7</v>
      </c>
      <c r="C165" t="s">
        <v>3052</v>
      </c>
      <c r="D165" t="s">
        <v>7017</v>
      </c>
      <c r="E165" t="s">
        <v>3053</v>
      </c>
      <c r="F165" t="s">
        <v>6961</v>
      </c>
      <c r="I165">
        <v>1</v>
      </c>
    </row>
    <row r="166" spans="1:9" x14ac:dyDescent="0.25">
      <c r="A166">
        <v>18060</v>
      </c>
      <c r="B166" t="s">
        <v>7</v>
      </c>
      <c r="C166" t="s">
        <v>3066</v>
      </c>
      <c r="D166" t="s">
        <v>7017</v>
      </c>
      <c r="E166" t="s">
        <v>3067</v>
      </c>
      <c r="F166" t="s">
        <v>6961</v>
      </c>
      <c r="I166">
        <v>1</v>
      </c>
    </row>
    <row r="167" spans="1:9" x14ac:dyDescent="0.25">
      <c r="A167">
        <v>18064</v>
      </c>
      <c r="B167" t="s">
        <v>7</v>
      </c>
      <c r="C167" t="s">
        <v>3074</v>
      </c>
      <c r="D167" t="s">
        <v>7017</v>
      </c>
      <c r="E167" t="s">
        <v>3075</v>
      </c>
      <c r="F167" t="s">
        <v>6959</v>
      </c>
      <c r="I167">
        <v>1</v>
      </c>
    </row>
    <row r="168" spans="1:9" x14ac:dyDescent="0.25">
      <c r="A168">
        <v>18072</v>
      </c>
      <c r="B168" t="s">
        <v>7</v>
      </c>
      <c r="C168" t="s">
        <v>3090</v>
      </c>
      <c r="D168" t="s">
        <v>7017</v>
      </c>
      <c r="E168" t="s">
        <v>3091</v>
      </c>
      <c r="F168" t="s">
        <v>6959</v>
      </c>
      <c r="I168">
        <v>1</v>
      </c>
    </row>
    <row r="169" spans="1:9" x14ac:dyDescent="0.25">
      <c r="A169">
        <v>18076</v>
      </c>
      <c r="B169" t="s">
        <v>7</v>
      </c>
      <c r="C169" t="s">
        <v>3098</v>
      </c>
      <c r="D169" t="s">
        <v>7017</v>
      </c>
      <c r="E169" t="s">
        <v>3099</v>
      </c>
      <c r="F169" t="s">
        <v>6958</v>
      </c>
      <c r="I169">
        <v>1</v>
      </c>
    </row>
    <row r="170" spans="1:9" x14ac:dyDescent="0.25">
      <c r="A170">
        <v>18085</v>
      </c>
      <c r="B170" t="s">
        <v>7</v>
      </c>
      <c r="C170" t="s">
        <v>3112</v>
      </c>
      <c r="D170" t="s">
        <v>7017</v>
      </c>
      <c r="E170" t="s">
        <v>3113</v>
      </c>
      <c r="F170" t="s">
        <v>6958</v>
      </c>
      <c r="I170">
        <v>1</v>
      </c>
    </row>
    <row r="171" spans="1:9" x14ac:dyDescent="0.25">
      <c r="A171">
        <v>18089</v>
      </c>
      <c r="B171" t="s">
        <v>7</v>
      </c>
      <c r="C171" t="s">
        <v>3120</v>
      </c>
      <c r="D171" t="s">
        <v>7017</v>
      </c>
      <c r="E171" t="s">
        <v>3121</v>
      </c>
      <c r="F171" t="s">
        <v>6969</v>
      </c>
      <c r="I171">
        <v>1</v>
      </c>
    </row>
    <row r="172" spans="1:9" x14ac:dyDescent="0.25">
      <c r="A172">
        <v>18098</v>
      </c>
      <c r="B172" t="s">
        <v>7</v>
      </c>
      <c r="C172" t="s">
        <v>3134</v>
      </c>
      <c r="D172" t="s">
        <v>7017</v>
      </c>
      <c r="E172" t="s">
        <v>3135</v>
      </c>
      <c r="F172" t="s">
        <v>6969</v>
      </c>
      <c r="I172">
        <v>1</v>
      </c>
    </row>
    <row r="173" spans="1:9" x14ac:dyDescent="0.25">
      <c r="A173">
        <v>18102</v>
      </c>
      <c r="B173" t="s">
        <v>7</v>
      </c>
      <c r="C173" t="s">
        <v>3142</v>
      </c>
      <c r="D173" t="s">
        <v>7017</v>
      </c>
      <c r="E173" t="s">
        <v>3143</v>
      </c>
      <c r="F173" t="s">
        <v>6969</v>
      </c>
      <c r="I173">
        <v>1</v>
      </c>
    </row>
    <row r="174" spans="1:9" x14ac:dyDescent="0.25">
      <c r="A174">
        <v>18106</v>
      </c>
      <c r="B174" t="s">
        <v>7</v>
      </c>
      <c r="C174" t="s">
        <v>3150</v>
      </c>
      <c r="D174" t="s">
        <v>7017</v>
      </c>
      <c r="E174" t="s">
        <v>3151</v>
      </c>
      <c r="F174" t="s">
        <v>6972</v>
      </c>
      <c r="I174">
        <v>1</v>
      </c>
    </row>
    <row r="175" spans="1:9" x14ac:dyDescent="0.25">
      <c r="A175">
        <v>18115</v>
      </c>
      <c r="B175" t="s">
        <v>7</v>
      </c>
      <c r="C175" t="s">
        <v>3164</v>
      </c>
      <c r="D175" t="s">
        <v>7017</v>
      </c>
      <c r="E175" t="s">
        <v>3165</v>
      </c>
      <c r="F175" t="s">
        <v>6972</v>
      </c>
      <c r="I175">
        <v>1</v>
      </c>
    </row>
    <row r="176" spans="1:9" x14ac:dyDescent="0.25">
      <c r="A176">
        <v>18119</v>
      </c>
      <c r="B176" t="s">
        <v>7</v>
      </c>
      <c r="C176" t="s">
        <v>3172</v>
      </c>
      <c r="D176" t="s">
        <v>7017</v>
      </c>
      <c r="E176" t="s">
        <v>3173</v>
      </c>
      <c r="F176" t="s">
        <v>6972</v>
      </c>
      <c r="I176">
        <v>1</v>
      </c>
    </row>
    <row r="177" spans="1:9" x14ac:dyDescent="0.25">
      <c r="A177">
        <v>18123</v>
      </c>
      <c r="B177" t="s">
        <v>7</v>
      </c>
      <c r="C177" t="s">
        <v>3180</v>
      </c>
      <c r="D177" t="s">
        <v>7017</v>
      </c>
      <c r="E177" t="s">
        <v>6964</v>
      </c>
      <c r="F177" t="s">
        <v>6963</v>
      </c>
      <c r="I177">
        <v>1</v>
      </c>
    </row>
    <row r="178" spans="1:9" x14ac:dyDescent="0.25">
      <c r="A178">
        <v>18132</v>
      </c>
      <c r="B178" t="s">
        <v>7</v>
      </c>
      <c r="C178" t="s">
        <v>3193</v>
      </c>
      <c r="D178" t="s">
        <v>7017</v>
      </c>
      <c r="E178" t="s">
        <v>6992</v>
      </c>
      <c r="F178" t="s">
        <v>6993</v>
      </c>
      <c r="I178">
        <v>1</v>
      </c>
    </row>
    <row r="179" spans="1:9" x14ac:dyDescent="0.25">
      <c r="A179">
        <v>18139</v>
      </c>
      <c r="B179" t="s">
        <v>7</v>
      </c>
      <c r="C179" t="s">
        <v>3198</v>
      </c>
      <c r="D179" t="s">
        <v>7017</v>
      </c>
      <c r="E179" t="s">
        <v>3199</v>
      </c>
      <c r="F179" t="s">
        <v>6963</v>
      </c>
      <c r="I179">
        <v>1</v>
      </c>
    </row>
    <row r="180" spans="1:9" x14ac:dyDescent="0.25">
      <c r="A180">
        <v>18143</v>
      </c>
      <c r="B180" t="s">
        <v>7</v>
      </c>
      <c r="C180" t="s">
        <v>3206</v>
      </c>
      <c r="D180" t="s">
        <v>7017</v>
      </c>
      <c r="E180" t="s">
        <v>6965</v>
      </c>
      <c r="F180" t="s">
        <v>6963</v>
      </c>
      <c r="I180">
        <v>1</v>
      </c>
    </row>
    <row r="181" spans="1:9" x14ac:dyDescent="0.25">
      <c r="A181">
        <v>18147</v>
      </c>
      <c r="B181" t="s">
        <v>7</v>
      </c>
      <c r="C181" t="s">
        <v>3213</v>
      </c>
      <c r="D181" t="s">
        <v>7017</v>
      </c>
      <c r="E181" t="s">
        <v>3214</v>
      </c>
      <c r="F181" t="s">
        <v>7678</v>
      </c>
      <c r="I181">
        <v>1</v>
      </c>
    </row>
    <row r="182" spans="1:9" x14ac:dyDescent="0.25">
      <c r="A182">
        <v>18156</v>
      </c>
      <c r="B182" t="s">
        <v>7</v>
      </c>
      <c r="C182" t="s">
        <v>3227</v>
      </c>
      <c r="D182" t="s">
        <v>7017</v>
      </c>
      <c r="E182" t="s">
        <v>3228</v>
      </c>
      <c r="F182" t="s">
        <v>7679</v>
      </c>
      <c r="G182" t="s">
        <v>7842</v>
      </c>
      <c r="H182">
        <v>3</v>
      </c>
      <c r="I182">
        <v>1</v>
      </c>
    </row>
    <row r="183" spans="1:9" x14ac:dyDescent="0.25">
      <c r="A183">
        <v>18167</v>
      </c>
      <c r="B183" t="s">
        <v>7</v>
      </c>
      <c r="C183" t="s">
        <v>3245</v>
      </c>
      <c r="D183" t="s">
        <v>7017</v>
      </c>
      <c r="E183" t="s">
        <v>3246</v>
      </c>
      <c r="F183" t="s">
        <v>7680</v>
      </c>
      <c r="G183" t="s">
        <v>7843</v>
      </c>
      <c r="H183">
        <v>3</v>
      </c>
      <c r="I183">
        <v>1</v>
      </c>
    </row>
    <row r="184" spans="1:9" x14ac:dyDescent="0.25">
      <c r="A184">
        <v>18176</v>
      </c>
      <c r="B184" t="s">
        <v>7</v>
      </c>
      <c r="C184" t="s">
        <v>3259</v>
      </c>
      <c r="D184" t="s">
        <v>7017</v>
      </c>
      <c r="E184" t="s">
        <v>3260</v>
      </c>
      <c r="F184" t="s">
        <v>7681</v>
      </c>
      <c r="G184" t="s">
        <v>7844</v>
      </c>
      <c r="H184">
        <v>8</v>
      </c>
      <c r="I184">
        <v>1</v>
      </c>
    </row>
    <row r="185" spans="1:9" x14ac:dyDescent="0.25">
      <c r="A185">
        <v>18188</v>
      </c>
      <c r="B185" t="s">
        <v>7</v>
      </c>
      <c r="C185" t="s">
        <v>3277</v>
      </c>
      <c r="D185" t="s">
        <v>7017</v>
      </c>
      <c r="E185" t="s">
        <v>3278</v>
      </c>
      <c r="F185" t="s">
        <v>7682</v>
      </c>
      <c r="G185" t="s">
        <v>7845</v>
      </c>
      <c r="H185">
        <v>7</v>
      </c>
      <c r="I185">
        <v>1</v>
      </c>
    </row>
    <row r="186" spans="1:9" x14ac:dyDescent="0.25">
      <c r="A186">
        <v>18202</v>
      </c>
      <c r="B186" t="s">
        <v>7</v>
      </c>
      <c r="C186" t="s">
        <v>3299</v>
      </c>
      <c r="D186" t="s">
        <v>7017</v>
      </c>
      <c r="E186" t="s">
        <v>3300</v>
      </c>
      <c r="F186" t="s">
        <v>7683</v>
      </c>
      <c r="G186" t="s">
        <v>7846</v>
      </c>
      <c r="H186">
        <v>2</v>
      </c>
    </row>
    <row r="187" spans="1:9" x14ac:dyDescent="0.25">
      <c r="A187">
        <v>18214</v>
      </c>
      <c r="B187" t="s">
        <v>7</v>
      </c>
      <c r="C187" t="s">
        <v>3317</v>
      </c>
      <c r="D187" t="s">
        <v>7017</v>
      </c>
      <c r="E187" t="s">
        <v>3318</v>
      </c>
      <c r="F187" t="s">
        <v>6917</v>
      </c>
      <c r="I187">
        <v>1</v>
      </c>
    </row>
    <row r="188" spans="1:9" x14ac:dyDescent="0.25">
      <c r="A188">
        <v>18227</v>
      </c>
      <c r="B188" t="s">
        <v>7</v>
      </c>
      <c r="C188" t="s">
        <v>3335</v>
      </c>
      <c r="D188" t="s">
        <v>7017</v>
      </c>
      <c r="E188" t="s">
        <v>3336</v>
      </c>
      <c r="F188" t="s">
        <v>6917</v>
      </c>
      <c r="I188">
        <v>1</v>
      </c>
    </row>
    <row r="189" spans="1:9" x14ac:dyDescent="0.25">
      <c r="A189">
        <v>18231</v>
      </c>
      <c r="B189" t="s">
        <v>7</v>
      </c>
      <c r="C189" t="s">
        <v>3343</v>
      </c>
      <c r="D189" t="s">
        <v>7017</v>
      </c>
      <c r="E189" t="s">
        <v>3344</v>
      </c>
      <c r="F189" t="s">
        <v>6917</v>
      </c>
      <c r="I189">
        <v>1</v>
      </c>
    </row>
    <row r="190" spans="1:9" x14ac:dyDescent="0.25">
      <c r="A190">
        <v>18235</v>
      </c>
      <c r="B190" t="s">
        <v>7</v>
      </c>
      <c r="C190" t="s">
        <v>3351</v>
      </c>
      <c r="D190" t="s">
        <v>7017</v>
      </c>
      <c r="E190" t="s">
        <v>3352</v>
      </c>
      <c r="F190" t="s">
        <v>6917</v>
      </c>
      <c r="I190">
        <v>1</v>
      </c>
    </row>
    <row r="191" spans="1:9" x14ac:dyDescent="0.25">
      <c r="A191">
        <v>18239</v>
      </c>
      <c r="B191" t="s">
        <v>7</v>
      </c>
      <c r="C191" t="s">
        <v>3359</v>
      </c>
      <c r="D191" t="s">
        <v>7017</v>
      </c>
      <c r="E191" t="s">
        <v>3360</v>
      </c>
      <c r="F191" t="s">
        <v>6919</v>
      </c>
      <c r="I191">
        <v>1</v>
      </c>
    </row>
    <row r="192" spans="1:9" x14ac:dyDescent="0.25">
      <c r="A192">
        <v>18243</v>
      </c>
      <c r="B192" t="s">
        <v>7</v>
      </c>
      <c r="C192" t="s">
        <v>3367</v>
      </c>
      <c r="D192" t="s">
        <v>7017</v>
      </c>
      <c r="E192" t="s">
        <v>3368</v>
      </c>
      <c r="F192" t="s">
        <v>6947</v>
      </c>
      <c r="I192">
        <v>1</v>
      </c>
    </row>
    <row r="193" spans="1:9" x14ac:dyDescent="0.25">
      <c r="A193">
        <v>18255</v>
      </c>
      <c r="B193" t="s">
        <v>7</v>
      </c>
      <c r="C193" t="s">
        <v>3385</v>
      </c>
      <c r="D193" t="s">
        <v>7017</v>
      </c>
      <c r="E193" t="s">
        <v>3386</v>
      </c>
      <c r="F193" t="s">
        <v>6947</v>
      </c>
      <c r="I193">
        <v>1</v>
      </c>
    </row>
    <row r="194" spans="1:9" x14ac:dyDescent="0.25">
      <c r="A194">
        <v>18263</v>
      </c>
      <c r="B194" t="s">
        <v>7</v>
      </c>
      <c r="C194" t="s">
        <v>7015</v>
      </c>
      <c r="D194" t="s">
        <v>7017</v>
      </c>
      <c r="E194" t="s">
        <v>7014</v>
      </c>
      <c r="F194" t="s">
        <v>7684</v>
      </c>
      <c r="G194" t="s">
        <v>7847</v>
      </c>
      <c r="H194">
        <v>7</v>
      </c>
      <c r="I194">
        <v>1</v>
      </c>
    </row>
    <row r="195" spans="1:9" x14ac:dyDescent="0.25">
      <c r="A195">
        <v>18285</v>
      </c>
      <c r="B195" t="s">
        <v>7</v>
      </c>
      <c r="C195" t="s">
        <v>3395</v>
      </c>
      <c r="D195" t="s">
        <v>7017</v>
      </c>
      <c r="E195" t="s">
        <v>3396</v>
      </c>
      <c r="F195" t="s">
        <v>6933</v>
      </c>
      <c r="G195" t="s">
        <v>7848</v>
      </c>
      <c r="H195">
        <v>5</v>
      </c>
      <c r="I195">
        <v>1</v>
      </c>
    </row>
    <row r="196" spans="1:9" x14ac:dyDescent="0.25">
      <c r="A196">
        <v>18298</v>
      </c>
      <c r="B196" t="s">
        <v>7</v>
      </c>
      <c r="C196" t="s">
        <v>3413</v>
      </c>
      <c r="D196" t="s">
        <v>7017</v>
      </c>
      <c r="E196" t="s">
        <v>3414</v>
      </c>
      <c r="F196" t="s">
        <v>6934</v>
      </c>
      <c r="G196" t="s">
        <v>7822</v>
      </c>
      <c r="H196">
        <v>6</v>
      </c>
      <c r="I196">
        <v>1</v>
      </c>
    </row>
    <row r="197" spans="1:9" x14ac:dyDescent="0.25">
      <c r="A197">
        <v>18302</v>
      </c>
      <c r="B197" t="s">
        <v>7</v>
      </c>
      <c r="C197" t="s">
        <v>3421</v>
      </c>
      <c r="D197" t="s">
        <v>7017</v>
      </c>
      <c r="E197" t="s">
        <v>3422</v>
      </c>
      <c r="F197" t="s">
        <v>6934</v>
      </c>
      <c r="G197" t="s">
        <v>7822</v>
      </c>
      <c r="H197">
        <v>6</v>
      </c>
      <c r="I197">
        <v>1</v>
      </c>
    </row>
    <row r="198" spans="1:9" x14ac:dyDescent="0.25">
      <c r="A198">
        <v>18305</v>
      </c>
      <c r="B198" t="s">
        <v>7</v>
      </c>
      <c r="C198" t="s">
        <v>3427</v>
      </c>
      <c r="D198" t="s">
        <v>7017</v>
      </c>
      <c r="E198" t="s">
        <v>3428</v>
      </c>
      <c r="F198" t="s">
        <v>6933</v>
      </c>
      <c r="G198" t="s">
        <v>7848</v>
      </c>
      <c r="H198">
        <v>5</v>
      </c>
      <c r="I198">
        <v>1</v>
      </c>
    </row>
    <row r="199" spans="1:9" x14ac:dyDescent="0.25">
      <c r="A199">
        <v>18309</v>
      </c>
      <c r="B199" t="s">
        <v>7</v>
      </c>
      <c r="C199" t="s">
        <v>3435</v>
      </c>
      <c r="D199" t="s">
        <v>7017</v>
      </c>
      <c r="E199" t="s">
        <v>3436</v>
      </c>
      <c r="F199" t="s">
        <v>6933</v>
      </c>
      <c r="G199" t="s">
        <v>7848</v>
      </c>
      <c r="H199">
        <v>5</v>
      </c>
      <c r="I199">
        <v>1</v>
      </c>
    </row>
    <row r="200" spans="1:9" x14ac:dyDescent="0.25">
      <c r="A200">
        <v>18312</v>
      </c>
      <c r="B200" t="s">
        <v>7</v>
      </c>
      <c r="C200" t="s">
        <v>3441</v>
      </c>
      <c r="D200" t="s">
        <v>7017</v>
      </c>
      <c r="E200" t="s">
        <v>3442</v>
      </c>
      <c r="F200" t="s">
        <v>6918</v>
      </c>
      <c r="I200">
        <v>1</v>
      </c>
    </row>
    <row r="201" spans="1:9" x14ac:dyDescent="0.25">
      <c r="A201">
        <v>18325</v>
      </c>
      <c r="B201" t="s">
        <v>7</v>
      </c>
      <c r="C201" t="s">
        <v>3459</v>
      </c>
      <c r="D201" t="s">
        <v>7017</v>
      </c>
      <c r="E201" t="s">
        <v>3460</v>
      </c>
      <c r="F201" t="s">
        <v>6918</v>
      </c>
      <c r="I201">
        <v>1</v>
      </c>
    </row>
    <row r="202" spans="1:9" x14ac:dyDescent="0.25">
      <c r="A202">
        <v>18329</v>
      </c>
      <c r="B202" t="s">
        <v>7</v>
      </c>
      <c r="C202" t="s">
        <v>3467</v>
      </c>
      <c r="D202" t="s">
        <v>7017</v>
      </c>
      <c r="E202" t="s">
        <v>3468</v>
      </c>
      <c r="F202" t="s">
        <v>6918</v>
      </c>
      <c r="I202">
        <v>1</v>
      </c>
    </row>
    <row r="203" spans="1:9" x14ac:dyDescent="0.25">
      <c r="A203">
        <v>18333</v>
      </c>
      <c r="B203" t="s">
        <v>7</v>
      </c>
      <c r="C203" t="s">
        <v>3475</v>
      </c>
      <c r="D203" t="s">
        <v>7017</v>
      </c>
      <c r="E203" t="s">
        <v>3476</v>
      </c>
      <c r="F203" t="s">
        <v>6918</v>
      </c>
      <c r="I203">
        <v>1</v>
      </c>
    </row>
    <row r="204" spans="1:9" x14ac:dyDescent="0.25">
      <c r="A204">
        <v>18337</v>
      </c>
      <c r="B204" t="s">
        <v>7</v>
      </c>
      <c r="C204" t="s">
        <v>3483</v>
      </c>
      <c r="D204" t="s">
        <v>7017</v>
      </c>
      <c r="E204" t="s">
        <v>3484</v>
      </c>
      <c r="F204" t="s">
        <v>6909</v>
      </c>
      <c r="G204" t="s">
        <v>7839</v>
      </c>
      <c r="H204">
        <v>9</v>
      </c>
      <c r="I204">
        <v>1</v>
      </c>
    </row>
    <row r="205" spans="1:9" x14ac:dyDescent="0.25">
      <c r="A205">
        <v>18341</v>
      </c>
      <c r="B205" t="s">
        <v>7</v>
      </c>
      <c r="C205" t="s">
        <v>3491</v>
      </c>
      <c r="D205" t="s">
        <v>7017</v>
      </c>
      <c r="E205" t="s">
        <v>3492</v>
      </c>
      <c r="F205" t="s">
        <v>7004</v>
      </c>
      <c r="I205">
        <v>1</v>
      </c>
    </row>
    <row r="206" spans="1:9" x14ac:dyDescent="0.25">
      <c r="A206">
        <v>18348</v>
      </c>
      <c r="B206" t="s">
        <v>7</v>
      </c>
      <c r="C206" t="s">
        <v>3499</v>
      </c>
      <c r="D206" t="s">
        <v>7017</v>
      </c>
      <c r="E206" t="s">
        <v>6966</v>
      </c>
      <c r="F206" t="s">
        <v>6967</v>
      </c>
      <c r="I206">
        <v>1</v>
      </c>
    </row>
    <row r="207" spans="1:9" x14ac:dyDescent="0.25">
      <c r="A207">
        <v>18355</v>
      </c>
      <c r="B207" t="s">
        <v>7</v>
      </c>
      <c r="C207" t="s">
        <v>3512</v>
      </c>
      <c r="D207" t="s">
        <v>7017</v>
      </c>
      <c r="E207" t="s">
        <v>3513</v>
      </c>
      <c r="F207" t="s">
        <v>6967</v>
      </c>
      <c r="I207">
        <v>1</v>
      </c>
    </row>
    <row r="208" spans="1:9" x14ac:dyDescent="0.25">
      <c r="A208">
        <v>18359</v>
      </c>
      <c r="B208" t="s">
        <v>7</v>
      </c>
      <c r="C208" t="s">
        <v>3520</v>
      </c>
      <c r="D208" t="s">
        <v>7017</v>
      </c>
      <c r="E208" t="s">
        <v>3521</v>
      </c>
      <c r="F208" t="s">
        <v>7685</v>
      </c>
      <c r="I208">
        <v>1</v>
      </c>
    </row>
    <row r="209" spans="1:9" x14ac:dyDescent="0.25">
      <c r="A209">
        <v>18371</v>
      </c>
      <c r="B209" t="s">
        <v>7</v>
      </c>
      <c r="C209" t="s">
        <v>3536</v>
      </c>
      <c r="D209" t="s">
        <v>7017</v>
      </c>
      <c r="E209" t="s">
        <v>3537</v>
      </c>
      <c r="F209" t="s">
        <v>7686</v>
      </c>
      <c r="I209">
        <v>1</v>
      </c>
    </row>
    <row r="210" spans="1:9" x14ac:dyDescent="0.25">
      <c r="A210">
        <v>18383</v>
      </c>
      <c r="B210" t="s">
        <v>7</v>
      </c>
      <c r="C210" t="s">
        <v>3552</v>
      </c>
      <c r="D210" t="s">
        <v>7017</v>
      </c>
      <c r="E210" t="s">
        <v>3553</v>
      </c>
      <c r="F210" t="s">
        <v>6931</v>
      </c>
      <c r="I210">
        <v>1</v>
      </c>
    </row>
    <row r="211" spans="1:9" x14ac:dyDescent="0.25">
      <c r="A211">
        <v>18396</v>
      </c>
      <c r="B211" t="s">
        <v>7</v>
      </c>
      <c r="C211" t="s">
        <v>3570</v>
      </c>
      <c r="D211" t="s">
        <v>7017</v>
      </c>
      <c r="E211" t="s">
        <v>3571</v>
      </c>
      <c r="F211" t="s">
        <v>6931</v>
      </c>
      <c r="I211">
        <v>1</v>
      </c>
    </row>
    <row r="212" spans="1:9" x14ac:dyDescent="0.25">
      <c r="A212">
        <v>18400</v>
      </c>
      <c r="B212" t="s">
        <v>7</v>
      </c>
      <c r="C212" t="s">
        <v>3578</v>
      </c>
      <c r="D212" t="s">
        <v>7017</v>
      </c>
      <c r="E212" t="s">
        <v>3579</v>
      </c>
      <c r="F212" t="s">
        <v>6931</v>
      </c>
      <c r="I212">
        <v>1</v>
      </c>
    </row>
    <row r="213" spans="1:9" x14ac:dyDescent="0.25">
      <c r="A213">
        <v>18404</v>
      </c>
      <c r="B213" t="s">
        <v>7</v>
      </c>
      <c r="C213" t="s">
        <v>3586</v>
      </c>
      <c r="D213" t="s">
        <v>7017</v>
      </c>
      <c r="E213" t="s">
        <v>3587</v>
      </c>
      <c r="F213" t="s">
        <v>6931</v>
      </c>
      <c r="I213">
        <v>1</v>
      </c>
    </row>
    <row r="214" spans="1:9" x14ac:dyDescent="0.25">
      <c r="A214">
        <v>18408</v>
      </c>
      <c r="B214" t="s">
        <v>7</v>
      </c>
      <c r="C214" t="s">
        <v>3594</v>
      </c>
      <c r="D214" t="s">
        <v>7017</v>
      </c>
      <c r="E214" t="s">
        <v>3595</v>
      </c>
      <c r="F214" t="s">
        <v>6929</v>
      </c>
      <c r="I214">
        <v>1</v>
      </c>
    </row>
    <row r="215" spans="1:9" x14ac:dyDescent="0.25">
      <c r="A215">
        <v>18421</v>
      </c>
      <c r="B215" t="s">
        <v>7</v>
      </c>
      <c r="C215" t="s">
        <v>3612</v>
      </c>
      <c r="D215" t="s">
        <v>7017</v>
      </c>
      <c r="E215" t="s">
        <v>3613</v>
      </c>
      <c r="F215" t="s">
        <v>6929</v>
      </c>
      <c r="I215">
        <v>1</v>
      </c>
    </row>
    <row r="216" spans="1:9" x14ac:dyDescent="0.25">
      <c r="A216">
        <v>18425</v>
      </c>
      <c r="B216" t="s">
        <v>7</v>
      </c>
      <c r="C216" t="s">
        <v>3620</v>
      </c>
      <c r="D216" t="s">
        <v>7017</v>
      </c>
      <c r="E216" t="s">
        <v>3621</v>
      </c>
      <c r="F216" t="s">
        <v>6929</v>
      </c>
      <c r="I216">
        <v>1</v>
      </c>
    </row>
    <row r="217" spans="1:9" x14ac:dyDescent="0.25">
      <c r="A217">
        <v>18429</v>
      </c>
      <c r="B217" t="s">
        <v>7</v>
      </c>
      <c r="C217" t="s">
        <v>3628</v>
      </c>
      <c r="D217" t="s">
        <v>7017</v>
      </c>
      <c r="E217" t="s">
        <v>3629</v>
      </c>
      <c r="F217" t="s">
        <v>6929</v>
      </c>
      <c r="I217">
        <v>1</v>
      </c>
    </row>
    <row r="218" spans="1:9" x14ac:dyDescent="0.25">
      <c r="A218">
        <v>18433</v>
      </c>
      <c r="B218" t="s">
        <v>7</v>
      </c>
      <c r="C218" t="s">
        <v>3636</v>
      </c>
      <c r="D218" t="s">
        <v>7017</v>
      </c>
      <c r="E218" t="s">
        <v>3637</v>
      </c>
      <c r="F218" t="s">
        <v>6926</v>
      </c>
      <c r="I218">
        <v>1</v>
      </c>
    </row>
    <row r="219" spans="1:9" x14ac:dyDescent="0.25">
      <c r="A219">
        <v>18437</v>
      </c>
      <c r="B219" t="s">
        <v>7</v>
      </c>
      <c r="C219" t="s">
        <v>3644</v>
      </c>
      <c r="D219" t="s">
        <v>7017</v>
      </c>
      <c r="E219" t="s">
        <v>3645</v>
      </c>
      <c r="F219" t="s">
        <v>6930</v>
      </c>
      <c r="I219">
        <v>1</v>
      </c>
    </row>
    <row r="220" spans="1:9" x14ac:dyDescent="0.25">
      <c r="A220">
        <v>18441</v>
      </c>
      <c r="B220" t="s">
        <v>7</v>
      </c>
      <c r="C220" t="s">
        <v>3652</v>
      </c>
      <c r="D220" t="s">
        <v>7017</v>
      </c>
      <c r="E220" t="s">
        <v>3653</v>
      </c>
      <c r="F220" t="s">
        <v>6930</v>
      </c>
      <c r="I220">
        <v>1</v>
      </c>
    </row>
    <row r="221" spans="1:9" x14ac:dyDescent="0.25">
      <c r="A221">
        <v>18445</v>
      </c>
      <c r="B221" t="s">
        <v>7</v>
      </c>
      <c r="C221" t="s">
        <v>3660</v>
      </c>
      <c r="D221" t="s">
        <v>7017</v>
      </c>
      <c r="E221" t="s">
        <v>3661</v>
      </c>
      <c r="F221" t="s">
        <v>6930</v>
      </c>
      <c r="I221">
        <v>1</v>
      </c>
    </row>
    <row r="222" spans="1:9" x14ac:dyDescent="0.25">
      <c r="A222">
        <v>18448</v>
      </c>
      <c r="B222" t="s">
        <v>7</v>
      </c>
      <c r="C222" t="s">
        <v>3666</v>
      </c>
      <c r="D222" t="s">
        <v>7017</v>
      </c>
      <c r="E222" t="s">
        <v>3667</v>
      </c>
      <c r="F222" t="s">
        <v>7687</v>
      </c>
    </row>
    <row r="223" spans="1:9" x14ac:dyDescent="0.25">
      <c r="A223">
        <v>18460</v>
      </c>
      <c r="B223" t="s">
        <v>7</v>
      </c>
      <c r="C223" t="s">
        <v>3680</v>
      </c>
      <c r="D223" t="s">
        <v>7017</v>
      </c>
      <c r="E223" t="s">
        <v>3681</v>
      </c>
      <c r="F223" t="s">
        <v>7688</v>
      </c>
    </row>
    <row r="224" spans="1:9" x14ac:dyDescent="0.25">
      <c r="A224">
        <v>18464</v>
      </c>
      <c r="B224" t="s">
        <v>7</v>
      </c>
      <c r="C224" t="s">
        <v>3688</v>
      </c>
      <c r="D224" t="s">
        <v>7017</v>
      </c>
      <c r="E224" t="s">
        <v>3689</v>
      </c>
      <c r="F224" t="s">
        <v>7689</v>
      </c>
    </row>
    <row r="225" spans="1:9" x14ac:dyDescent="0.25">
      <c r="A225">
        <v>18468</v>
      </c>
      <c r="B225" t="s">
        <v>7</v>
      </c>
      <c r="C225" t="s">
        <v>3696</v>
      </c>
      <c r="D225" t="s">
        <v>7017</v>
      </c>
      <c r="E225" t="s">
        <v>3697</v>
      </c>
      <c r="F225" t="s">
        <v>7690</v>
      </c>
      <c r="G225" t="s">
        <v>7849</v>
      </c>
      <c r="H225">
        <v>7</v>
      </c>
      <c r="I225">
        <v>1</v>
      </c>
    </row>
    <row r="226" spans="1:9" x14ac:dyDescent="0.25">
      <c r="A226">
        <v>18484</v>
      </c>
      <c r="B226" t="s">
        <v>7</v>
      </c>
      <c r="C226" t="s">
        <v>3718</v>
      </c>
      <c r="D226" t="s">
        <v>7017</v>
      </c>
      <c r="E226" t="s">
        <v>3719</v>
      </c>
      <c r="F226" t="s">
        <v>7691</v>
      </c>
    </row>
    <row r="227" spans="1:9" x14ac:dyDescent="0.25">
      <c r="A227">
        <v>18507</v>
      </c>
      <c r="B227" t="s">
        <v>7</v>
      </c>
      <c r="C227" t="s">
        <v>3732</v>
      </c>
      <c r="D227" t="s">
        <v>7017</v>
      </c>
      <c r="E227" t="s">
        <v>3733</v>
      </c>
      <c r="F227" t="s">
        <v>6926</v>
      </c>
      <c r="I227">
        <v>1</v>
      </c>
    </row>
    <row r="228" spans="1:9" x14ac:dyDescent="0.25">
      <c r="A228">
        <v>18520</v>
      </c>
      <c r="B228" t="s">
        <v>7</v>
      </c>
      <c r="C228" t="s">
        <v>3744</v>
      </c>
      <c r="D228" t="s">
        <v>7017</v>
      </c>
      <c r="E228" t="s">
        <v>3745</v>
      </c>
      <c r="F228" t="s">
        <v>7692</v>
      </c>
    </row>
    <row r="229" spans="1:9" x14ac:dyDescent="0.25">
      <c r="A229">
        <v>18524</v>
      </c>
      <c r="B229" t="s">
        <v>7</v>
      </c>
      <c r="C229" t="s">
        <v>3752</v>
      </c>
      <c r="D229" t="s">
        <v>7017</v>
      </c>
      <c r="E229" t="s">
        <v>3753</v>
      </c>
      <c r="F229" t="s">
        <v>7693</v>
      </c>
      <c r="G229" t="s">
        <v>7850</v>
      </c>
      <c r="H229">
        <v>7</v>
      </c>
      <c r="I229">
        <v>1</v>
      </c>
    </row>
    <row r="230" spans="1:9" x14ac:dyDescent="0.25">
      <c r="A230">
        <v>18541</v>
      </c>
      <c r="B230" t="s">
        <v>7</v>
      </c>
      <c r="C230" t="s">
        <v>3778</v>
      </c>
      <c r="D230" t="s">
        <v>7017</v>
      </c>
      <c r="E230" t="s">
        <v>3779</v>
      </c>
      <c r="F230" t="s">
        <v>7694</v>
      </c>
      <c r="G230" t="s">
        <v>7851</v>
      </c>
      <c r="H230">
        <v>7</v>
      </c>
      <c r="I230">
        <v>1</v>
      </c>
    </row>
    <row r="231" spans="1:9" x14ac:dyDescent="0.25">
      <c r="A231">
        <v>18563</v>
      </c>
      <c r="B231" t="s">
        <v>7</v>
      </c>
      <c r="C231" t="s">
        <v>3804</v>
      </c>
      <c r="D231" t="s">
        <v>7017</v>
      </c>
      <c r="E231" t="s">
        <v>3805</v>
      </c>
      <c r="F231" t="s">
        <v>7695</v>
      </c>
    </row>
    <row r="232" spans="1:9" x14ac:dyDescent="0.25">
      <c r="A232">
        <v>18590</v>
      </c>
      <c r="B232" t="s">
        <v>7</v>
      </c>
      <c r="C232" t="s">
        <v>3828</v>
      </c>
      <c r="D232" t="s">
        <v>7017</v>
      </c>
      <c r="E232" t="s">
        <v>3829</v>
      </c>
      <c r="F232" t="s">
        <v>6921</v>
      </c>
      <c r="I232">
        <v>1</v>
      </c>
    </row>
    <row r="233" spans="1:9" x14ac:dyDescent="0.25">
      <c r="A233">
        <v>18603</v>
      </c>
      <c r="B233" t="s">
        <v>7</v>
      </c>
      <c r="C233" t="s">
        <v>3844</v>
      </c>
      <c r="D233" t="s">
        <v>7017</v>
      </c>
      <c r="E233" t="s">
        <v>3845</v>
      </c>
      <c r="F233" t="s">
        <v>6922</v>
      </c>
      <c r="I233">
        <v>1</v>
      </c>
    </row>
    <row r="234" spans="1:9" x14ac:dyDescent="0.25">
      <c r="A234">
        <v>18622</v>
      </c>
      <c r="B234" t="s">
        <v>7</v>
      </c>
      <c r="C234" t="s">
        <v>3862</v>
      </c>
      <c r="D234" t="s">
        <v>7017</v>
      </c>
      <c r="E234" t="s">
        <v>7000</v>
      </c>
      <c r="F234" t="s">
        <v>7001</v>
      </c>
      <c r="I234">
        <v>1</v>
      </c>
    </row>
    <row r="235" spans="1:9" x14ac:dyDescent="0.25">
      <c r="A235">
        <v>18657</v>
      </c>
      <c r="B235" t="s">
        <v>7</v>
      </c>
      <c r="C235" t="s">
        <v>3885</v>
      </c>
      <c r="D235" t="s">
        <v>7017</v>
      </c>
      <c r="E235" t="s">
        <v>3886</v>
      </c>
      <c r="F235" t="s">
        <v>6977</v>
      </c>
      <c r="G235" t="s">
        <v>7852</v>
      </c>
      <c r="H235">
        <v>7</v>
      </c>
      <c r="I235">
        <v>1</v>
      </c>
    </row>
    <row r="236" spans="1:9" x14ac:dyDescent="0.25">
      <c r="A236">
        <v>18676</v>
      </c>
      <c r="B236" t="s">
        <v>7</v>
      </c>
      <c r="C236" t="s">
        <v>3907</v>
      </c>
      <c r="D236" t="s">
        <v>7017</v>
      </c>
      <c r="E236" t="s">
        <v>3908</v>
      </c>
      <c r="F236" t="s">
        <v>7696</v>
      </c>
      <c r="I236">
        <v>1</v>
      </c>
    </row>
    <row r="237" spans="1:9" x14ac:dyDescent="0.25">
      <c r="A237">
        <v>18688</v>
      </c>
      <c r="B237" t="s">
        <v>7</v>
      </c>
      <c r="C237" t="s">
        <v>3923</v>
      </c>
      <c r="D237" t="s">
        <v>7017</v>
      </c>
      <c r="E237" t="s">
        <v>3924</v>
      </c>
      <c r="F237" t="s">
        <v>7697</v>
      </c>
      <c r="I237">
        <v>1</v>
      </c>
    </row>
    <row r="238" spans="1:9" x14ac:dyDescent="0.25">
      <c r="A238">
        <v>18716</v>
      </c>
      <c r="B238" t="s">
        <v>7</v>
      </c>
      <c r="C238" t="s">
        <v>3947</v>
      </c>
      <c r="D238" t="s">
        <v>7017</v>
      </c>
      <c r="E238" t="s">
        <v>3948</v>
      </c>
      <c r="F238" t="s">
        <v>6977</v>
      </c>
      <c r="G238" t="s">
        <v>7852</v>
      </c>
      <c r="H238">
        <v>7</v>
      </c>
      <c r="I238">
        <v>1</v>
      </c>
    </row>
    <row r="239" spans="1:9" x14ac:dyDescent="0.25">
      <c r="A239">
        <v>18720</v>
      </c>
      <c r="B239" t="s">
        <v>7</v>
      </c>
      <c r="C239" t="s">
        <v>3955</v>
      </c>
      <c r="D239" t="s">
        <v>7017</v>
      </c>
      <c r="E239" t="s">
        <v>3956</v>
      </c>
      <c r="F239" t="s">
        <v>7698</v>
      </c>
      <c r="G239" t="s">
        <v>7853</v>
      </c>
      <c r="H239">
        <v>7</v>
      </c>
      <c r="I239">
        <v>1</v>
      </c>
    </row>
    <row r="240" spans="1:9" x14ac:dyDescent="0.25">
      <c r="A240">
        <v>18735</v>
      </c>
      <c r="B240" t="s">
        <v>7</v>
      </c>
      <c r="C240" t="s">
        <v>3979</v>
      </c>
      <c r="D240" t="s">
        <v>7017</v>
      </c>
      <c r="E240" t="s">
        <v>3980</v>
      </c>
      <c r="F240" t="s">
        <v>6968</v>
      </c>
      <c r="I240">
        <v>1</v>
      </c>
    </row>
    <row r="241" spans="1:9" x14ac:dyDescent="0.25">
      <c r="A241">
        <v>18741</v>
      </c>
      <c r="B241" t="s">
        <v>7</v>
      </c>
      <c r="C241" t="s">
        <v>3987</v>
      </c>
      <c r="D241" t="s">
        <v>7017</v>
      </c>
      <c r="E241" t="s">
        <v>3988</v>
      </c>
      <c r="F241" t="s">
        <v>6968</v>
      </c>
      <c r="I241">
        <v>1</v>
      </c>
    </row>
    <row r="242" spans="1:9" x14ac:dyDescent="0.25">
      <c r="A242">
        <v>18839</v>
      </c>
      <c r="B242" t="s">
        <v>7</v>
      </c>
      <c r="C242" t="s">
        <v>4043</v>
      </c>
      <c r="D242" t="s">
        <v>7017</v>
      </c>
      <c r="E242" t="s">
        <v>4044</v>
      </c>
      <c r="F242" t="s">
        <v>7699</v>
      </c>
    </row>
    <row r="243" spans="1:9" x14ac:dyDescent="0.25">
      <c r="A243">
        <v>18863</v>
      </c>
      <c r="B243" t="s">
        <v>7</v>
      </c>
      <c r="C243" t="s">
        <v>4053</v>
      </c>
      <c r="D243" t="s">
        <v>7017</v>
      </c>
      <c r="E243" t="s">
        <v>4054</v>
      </c>
      <c r="F243" t="s">
        <v>6949</v>
      </c>
      <c r="I243">
        <v>1</v>
      </c>
    </row>
    <row r="244" spans="1:9" x14ac:dyDescent="0.25">
      <c r="A244">
        <v>18875</v>
      </c>
      <c r="B244" t="s">
        <v>7</v>
      </c>
      <c r="C244" t="s">
        <v>4069</v>
      </c>
      <c r="D244" t="s">
        <v>7017</v>
      </c>
      <c r="E244" t="s">
        <v>4070</v>
      </c>
      <c r="F244" t="s">
        <v>6950</v>
      </c>
      <c r="I244">
        <v>1</v>
      </c>
    </row>
    <row r="245" spans="1:9" x14ac:dyDescent="0.25">
      <c r="A245">
        <v>18879</v>
      </c>
      <c r="B245" t="s">
        <v>7</v>
      </c>
      <c r="C245" t="s">
        <v>4077</v>
      </c>
      <c r="D245" t="s">
        <v>7017</v>
      </c>
      <c r="E245" t="s">
        <v>4078</v>
      </c>
      <c r="F245" t="s">
        <v>6949</v>
      </c>
      <c r="I245">
        <v>1</v>
      </c>
    </row>
    <row r="246" spans="1:9" x14ac:dyDescent="0.25">
      <c r="A246">
        <v>18905</v>
      </c>
      <c r="B246" t="s">
        <v>7</v>
      </c>
      <c r="C246" t="s">
        <v>4099</v>
      </c>
      <c r="D246" t="s">
        <v>7017</v>
      </c>
      <c r="E246" t="s">
        <v>4100</v>
      </c>
      <c r="F246" t="s">
        <v>6932</v>
      </c>
      <c r="I246">
        <v>1</v>
      </c>
    </row>
    <row r="247" spans="1:9" x14ac:dyDescent="0.25">
      <c r="A247">
        <v>18917</v>
      </c>
      <c r="B247" t="s">
        <v>7</v>
      </c>
      <c r="C247" t="s">
        <v>4115</v>
      </c>
      <c r="D247" t="s">
        <v>7017</v>
      </c>
      <c r="E247" t="s">
        <v>4116</v>
      </c>
      <c r="F247" t="s">
        <v>6932</v>
      </c>
      <c r="I247">
        <v>1</v>
      </c>
    </row>
    <row r="248" spans="1:9" x14ac:dyDescent="0.25">
      <c r="A248">
        <v>18945</v>
      </c>
      <c r="B248" t="s">
        <v>7</v>
      </c>
      <c r="C248" t="s">
        <v>4139</v>
      </c>
      <c r="D248" t="s">
        <v>7017</v>
      </c>
      <c r="E248" t="s">
        <v>4140</v>
      </c>
      <c r="F248" t="s">
        <v>6916</v>
      </c>
      <c r="G248" t="s">
        <v>7854</v>
      </c>
      <c r="H248">
        <v>4</v>
      </c>
      <c r="I248">
        <v>1</v>
      </c>
    </row>
    <row r="249" spans="1:9" x14ac:dyDescent="0.25">
      <c r="A249">
        <v>18956</v>
      </c>
      <c r="B249" t="s">
        <v>7</v>
      </c>
      <c r="C249" t="s">
        <v>4153</v>
      </c>
      <c r="D249" t="s">
        <v>7017</v>
      </c>
      <c r="E249" t="s">
        <v>4154</v>
      </c>
      <c r="F249" t="s">
        <v>6916</v>
      </c>
      <c r="G249" t="s">
        <v>7854</v>
      </c>
      <c r="H249">
        <v>4</v>
      </c>
      <c r="I249">
        <v>1</v>
      </c>
    </row>
    <row r="250" spans="1:9" x14ac:dyDescent="0.25">
      <c r="A250">
        <v>18960</v>
      </c>
      <c r="B250" t="s">
        <v>7</v>
      </c>
      <c r="C250" t="s">
        <v>4161</v>
      </c>
      <c r="D250" t="s">
        <v>7017</v>
      </c>
      <c r="E250" t="s">
        <v>4162</v>
      </c>
      <c r="F250" t="s">
        <v>7013</v>
      </c>
      <c r="G250" t="s">
        <v>7826</v>
      </c>
      <c r="H250">
        <v>7</v>
      </c>
      <c r="I250">
        <v>1</v>
      </c>
    </row>
    <row r="251" spans="1:9" x14ac:dyDescent="0.25">
      <c r="A251">
        <v>18965</v>
      </c>
      <c r="B251" t="s">
        <v>7</v>
      </c>
      <c r="C251" t="s">
        <v>4171</v>
      </c>
      <c r="D251" t="s">
        <v>7017</v>
      </c>
      <c r="E251" t="s">
        <v>4172</v>
      </c>
      <c r="F251" t="s">
        <v>7700</v>
      </c>
    </row>
    <row r="252" spans="1:9" x14ac:dyDescent="0.25">
      <c r="A252">
        <v>18997</v>
      </c>
      <c r="B252" t="s">
        <v>7</v>
      </c>
      <c r="C252" t="s">
        <v>4189</v>
      </c>
      <c r="D252" t="s">
        <v>7017</v>
      </c>
      <c r="E252" t="s">
        <v>4190</v>
      </c>
      <c r="F252" t="s">
        <v>7701</v>
      </c>
    </row>
    <row r="253" spans="1:9" x14ac:dyDescent="0.25">
      <c r="A253">
        <v>19007</v>
      </c>
      <c r="B253" t="s">
        <v>7</v>
      </c>
      <c r="C253" t="s">
        <v>4195</v>
      </c>
      <c r="D253" t="s">
        <v>7017</v>
      </c>
      <c r="E253" t="s">
        <v>4196</v>
      </c>
      <c r="F253" t="s">
        <v>7702</v>
      </c>
    </row>
    <row r="254" spans="1:9" x14ac:dyDescent="0.25">
      <c r="A254">
        <v>19013</v>
      </c>
      <c r="B254" t="s">
        <v>7</v>
      </c>
      <c r="C254" t="s">
        <v>4207</v>
      </c>
      <c r="D254" t="s">
        <v>7017</v>
      </c>
      <c r="E254" t="s">
        <v>4208</v>
      </c>
      <c r="F254" t="s">
        <v>6953</v>
      </c>
      <c r="I254">
        <v>1</v>
      </c>
    </row>
    <row r="255" spans="1:9" x14ac:dyDescent="0.25">
      <c r="A255">
        <v>19020</v>
      </c>
      <c r="B255" t="s">
        <v>7</v>
      </c>
      <c r="C255" t="s">
        <v>4221</v>
      </c>
      <c r="D255" t="s">
        <v>7017</v>
      </c>
      <c r="E255" t="s">
        <v>4222</v>
      </c>
      <c r="F255" t="s">
        <v>6953</v>
      </c>
      <c r="I255">
        <v>1</v>
      </c>
    </row>
    <row r="256" spans="1:9" x14ac:dyDescent="0.25">
      <c r="A256">
        <v>19024</v>
      </c>
      <c r="B256" t="s">
        <v>7</v>
      </c>
      <c r="C256" t="s">
        <v>4229</v>
      </c>
      <c r="D256" t="s">
        <v>7017</v>
      </c>
      <c r="E256" t="s">
        <v>4230</v>
      </c>
      <c r="F256" t="s">
        <v>6955</v>
      </c>
      <c r="I256">
        <v>1</v>
      </c>
    </row>
    <row r="257" spans="1:9" x14ac:dyDescent="0.25">
      <c r="A257">
        <v>19031</v>
      </c>
      <c r="B257" t="s">
        <v>7</v>
      </c>
      <c r="C257" t="s">
        <v>4243</v>
      </c>
      <c r="D257" t="s">
        <v>7017</v>
      </c>
      <c r="E257" t="s">
        <v>4244</v>
      </c>
      <c r="F257" t="s">
        <v>6955</v>
      </c>
      <c r="I257">
        <v>1</v>
      </c>
    </row>
    <row r="258" spans="1:9" x14ac:dyDescent="0.25">
      <c r="A258">
        <v>19035</v>
      </c>
      <c r="B258" t="s">
        <v>7</v>
      </c>
      <c r="C258" t="s">
        <v>4251</v>
      </c>
      <c r="D258" t="s">
        <v>7017</v>
      </c>
      <c r="E258" t="s">
        <v>4252</v>
      </c>
      <c r="F258" t="s">
        <v>6956</v>
      </c>
      <c r="I258">
        <v>1</v>
      </c>
    </row>
    <row r="259" spans="1:9" x14ac:dyDescent="0.25">
      <c r="A259">
        <v>19042</v>
      </c>
      <c r="B259" t="s">
        <v>7</v>
      </c>
      <c r="C259" t="s">
        <v>4265</v>
      </c>
      <c r="D259" t="s">
        <v>7017</v>
      </c>
      <c r="E259" t="s">
        <v>4266</v>
      </c>
      <c r="F259" t="s">
        <v>6956</v>
      </c>
      <c r="I259">
        <v>1</v>
      </c>
    </row>
    <row r="260" spans="1:9" x14ac:dyDescent="0.25">
      <c r="A260">
        <v>19046</v>
      </c>
      <c r="B260" t="s">
        <v>7</v>
      </c>
      <c r="C260" t="s">
        <v>4273</v>
      </c>
      <c r="D260" t="s">
        <v>7017</v>
      </c>
      <c r="E260" t="s">
        <v>4274</v>
      </c>
      <c r="F260" t="s">
        <v>6954</v>
      </c>
      <c r="I260">
        <v>1</v>
      </c>
    </row>
    <row r="261" spans="1:9" x14ac:dyDescent="0.25">
      <c r="A261">
        <v>19053</v>
      </c>
      <c r="B261" t="s">
        <v>7</v>
      </c>
      <c r="C261" t="s">
        <v>4287</v>
      </c>
      <c r="D261" t="s">
        <v>7017</v>
      </c>
      <c r="E261" t="s">
        <v>4288</v>
      </c>
      <c r="F261" t="s">
        <v>6954</v>
      </c>
      <c r="I261">
        <v>1</v>
      </c>
    </row>
    <row r="262" spans="1:9" x14ac:dyDescent="0.25">
      <c r="A262">
        <v>19057</v>
      </c>
      <c r="B262" t="s">
        <v>7</v>
      </c>
      <c r="C262" t="s">
        <v>4295</v>
      </c>
      <c r="D262" t="s">
        <v>7017</v>
      </c>
      <c r="E262" t="s">
        <v>4296</v>
      </c>
      <c r="F262" t="s">
        <v>6968</v>
      </c>
      <c r="I262">
        <v>1</v>
      </c>
    </row>
    <row r="263" spans="1:9" x14ac:dyDescent="0.25">
      <c r="A263">
        <v>19061</v>
      </c>
      <c r="B263" t="s">
        <v>7</v>
      </c>
      <c r="C263" t="s">
        <v>4303</v>
      </c>
      <c r="D263" t="s">
        <v>7017</v>
      </c>
      <c r="E263" t="s">
        <v>4304</v>
      </c>
      <c r="F263" t="s">
        <v>6951</v>
      </c>
      <c r="I263">
        <v>1</v>
      </c>
    </row>
    <row r="264" spans="1:9" x14ac:dyDescent="0.25">
      <c r="A264">
        <v>19068</v>
      </c>
      <c r="B264" t="s">
        <v>7</v>
      </c>
      <c r="C264" t="s">
        <v>4317</v>
      </c>
      <c r="D264" t="s">
        <v>7017</v>
      </c>
      <c r="E264" t="s">
        <v>4318</v>
      </c>
      <c r="F264" t="s">
        <v>6951</v>
      </c>
      <c r="I264">
        <v>1</v>
      </c>
    </row>
    <row r="265" spans="1:9" x14ac:dyDescent="0.25">
      <c r="A265">
        <v>19072</v>
      </c>
      <c r="B265" t="s">
        <v>7</v>
      </c>
      <c r="C265" t="s">
        <v>4325</v>
      </c>
      <c r="D265" t="s">
        <v>7017</v>
      </c>
      <c r="E265" t="s">
        <v>4326</v>
      </c>
      <c r="F265" t="s">
        <v>7703</v>
      </c>
    </row>
    <row r="266" spans="1:9" x14ac:dyDescent="0.25">
      <c r="A266">
        <v>19089</v>
      </c>
      <c r="B266" t="s">
        <v>7</v>
      </c>
      <c r="C266" t="s">
        <v>4339</v>
      </c>
      <c r="D266" t="s">
        <v>7017</v>
      </c>
      <c r="E266" t="s">
        <v>4340</v>
      </c>
      <c r="F266" t="s">
        <v>7704</v>
      </c>
      <c r="I266">
        <v>1</v>
      </c>
    </row>
    <row r="267" spans="1:9" x14ac:dyDescent="0.25">
      <c r="A267">
        <v>19100</v>
      </c>
      <c r="B267" t="s">
        <v>7</v>
      </c>
      <c r="C267" t="s">
        <v>4355</v>
      </c>
      <c r="D267" t="s">
        <v>7017</v>
      </c>
      <c r="E267" t="s">
        <v>4356</v>
      </c>
      <c r="F267" t="s">
        <v>7705</v>
      </c>
      <c r="I267">
        <v>1</v>
      </c>
    </row>
    <row r="268" spans="1:9" x14ac:dyDescent="0.25">
      <c r="A268">
        <v>19116</v>
      </c>
      <c r="B268" t="s">
        <v>7</v>
      </c>
      <c r="C268" t="s">
        <v>4375</v>
      </c>
      <c r="D268" t="s">
        <v>7017</v>
      </c>
      <c r="E268" t="s">
        <v>4376</v>
      </c>
      <c r="F268" t="s">
        <v>7706</v>
      </c>
      <c r="I268">
        <v>1</v>
      </c>
    </row>
    <row r="269" spans="1:9" x14ac:dyDescent="0.25">
      <c r="A269">
        <v>19130</v>
      </c>
      <c r="B269" t="s">
        <v>7</v>
      </c>
      <c r="C269" t="s">
        <v>4395</v>
      </c>
      <c r="D269" t="s">
        <v>7017</v>
      </c>
      <c r="E269" t="s">
        <v>4396</v>
      </c>
      <c r="F269" t="s">
        <v>6944</v>
      </c>
      <c r="I269">
        <v>1</v>
      </c>
    </row>
    <row r="270" spans="1:9" x14ac:dyDescent="0.25">
      <c r="A270">
        <v>19142</v>
      </c>
      <c r="B270" t="s">
        <v>7</v>
      </c>
      <c r="C270" t="s">
        <v>4409</v>
      </c>
      <c r="D270" t="s">
        <v>7017</v>
      </c>
      <c r="E270" t="s">
        <v>4410</v>
      </c>
      <c r="F270" t="s">
        <v>6944</v>
      </c>
      <c r="I270">
        <v>1</v>
      </c>
    </row>
    <row r="271" spans="1:9" x14ac:dyDescent="0.25">
      <c r="A271">
        <v>19167</v>
      </c>
      <c r="B271" t="s">
        <v>7</v>
      </c>
      <c r="C271" t="s">
        <v>4422</v>
      </c>
      <c r="D271" t="s">
        <v>7017</v>
      </c>
      <c r="E271" t="s">
        <v>4423</v>
      </c>
      <c r="F271" t="s">
        <v>7707</v>
      </c>
      <c r="I271">
        <v>1</v>
      </c>
    </row>
    <row r="272" spans="1:9" x14ac:dyDescent="0.25">
      <c r="A272">
        <v>19175</v>
      </c>
      <c r="B272" t="s">
        <v>7</v>
      </c>
      <c r="C272" t="s">
        <v>4438</v>
      </c>
      <c r="D272" t="s">
        <v>7017</v>
      </c>
      <c r="E272" t="s">
        <v>4439</v>
      </c>
      <c r="F272" t="s">
        <v>7708</v>
      </c>
      <c r="I272">
        <v>1</v>
      </c>
    </row>
    <row r="273" spans="1:9" x14ac:dyDescent="0.25">
      <c r="A273">
        <v>19184</v>
      </c>
      <c r="B273" t="s">
        <v>7</v>
      </c>
      <c r="C273" t="s">
        <v>4456</v>
      </c>
      <c r="D273" t="s">
        <v>7017</v>
      </c>
      <c r="E273" t="s">
        <v>4457</v>
      </c>
      <c r="F273" t="s">
        <v>7709</v>
      </c>
      <c r="I273">
        <v>1</v>
      </c>
    </row>
    <row r="274" spans="1:9" x14ac:dyDescent="0.25">
      <c r="A274">
        <v>19192</v>
      </c>
      <c r="B274" t="s">
        <v>7</v>
      </c>
      <c r="C274" t="s">
        <v>4472</v>
      </c>
      <c r="D274" t="s">
        <v>7017</v>
      </c>
      <c r="E274" t="s">
        <v>4473</v>
      </c>
      <c r="F274" t="s">
        <v>7710</v>
      </c>
      <c r="I274">
        <v>1</v>
      </c>
    </row>
    <row r="275" spans="1:9" x14ac:dyDescent="0.25">
      <c r="A275">
        <v>19202</v>
      </c>
      <c r="B275" t="s">
        <v>7</v>
      </c>
      <c r="C275" t="s">
        <v>4490</v>
      </c>
      <c r="D275" t="s">
        <v>7017</v>
      </c>
      <c r="E275" t="s">
        <v>4491</v>
      </c>
      <c r="F275" t="s">
        <v>6927</v>
      </c>
      <c r="I275">
        <v>1</v>
      </c>
    </row>
    <row r="276" spans="1:9" x14ac:dyDescent="0.25">
      <c r="A276">
        <v>19215</v>
      </c>
      <c r="B276" t="s">
        <v>7</v>
      </c>
      <c r="C276" t="s">
        <v>4508</v>
      </c>
      <c r="D276" t="s">
        <v>7017</v>
      </c>
      <c r="E276" t="s">
        <v>4509</v>
      </c>
      <c r="F276" t="s">
        <v>6927</v>
      </c>
      <c r="I276">
        <v>1</v>
      </c>
    </row>
    <row r="277" spans="1:9" x14ac:dyDescent="0.25">
      <c r="A277">
        <v>19222</v>
      </c>
      <c r="B277" t="s">
        <v>7</v>
      </c>
      <c r="C277" t="s">
        <v>4518</v>
      </c>
      <c r="D277" t="s">
        <v>7017</v>
      </c>
      <c r="E277" t="s">
        <v>4519</v>
      </c>
      <c r="F277" t="s">
        <v>7711</v>
      </c>
      <c r="I277">
        <v>1</v>
      </c>
    </row>
    <row r="278" spans="1:9" x14ac:dyDescent="0.25">
      <c r="A278">
        <v>19234</v>
      </c>
      <c r="B278" t="s">
        <v>7</v>
      </c>
      <c r="C278" t="s">
        <v>4534</v>
      </c>
      <c r="D278" t="s">
        <v>7017</v>
      </c>
      <c r="E278" t="s">
        <v>4535</v>
      </c>
      <c r="F278" t="s">
        <v>6969</v>
      </c>
      <c r="I278">
        <v>1</v>
      </c>
    </row>
    <row r="279" spans="1:9" x14ac:dyDescent="0.25">
      <c r="A279">
        <v>19238</v>
      </c>
      <c r="B279" t="s">
        <v>7</v>
      </c>
      <c r="C279" t="s">
        <v>4542</v>
      </c>
      <c r="D279" t="s">
        <v>7017</v>
      </c>
      <c r="E279" t="s">
        <v>6997</v>
      </c>
      <c r="F279" t="s">
        <v>6998</v>
      </c>
      <c r="I279">
        <v>1</v>
      </c>
    </row>
    <row r="280" spans="1:9" x14ac:dyDescent="0.25">
      <c r="A280">
        <v>19241</v>
      </c>
      <c r="B280" t="s">
        <v>7</v>
      </c>
      <c r="C280" t="s">
        <v>4547</v>
      </c>
      <c r="D280" t="s">
        <v>7017</v>
      </c>
      <c r="E280" t="s">
        <v>4548</v>
      </c>
      <c r="F280" t="s">
        <v>7712</v>
      </c>
      <c r="G280" t="s">
        <v>7855</v>
      </c>
      <c r="H280">
        <v>7</v>
      </c>
      <c r="I280">
        <v>1</v>
      </c>
    </row>
    <row r="281" spans="1:9" x14ac:dyDescent="0.25">
      <c r="A281">
        <v>19253</v>
      </c>
      <c r="B281" t="s">
        <v>7</v>
      </c>
      <c r="C281" t="s">
        <v>4571</v>
      </c>
      <c r="D281" t="s">
        <v>7017</v>
      </c>
      <c r="E281" t="s">
        <v>4572</v>
      </c>
      <c r="F281" t="s">
        <v>7713</v>
      </c>
      <c r="I281">
        <v>1</v>
      </c>
    </row>
    <row r="282" spans="1:9" x14ac:dyDescent="0.25">
      <c r="A282">
        <v>19262</v>
      </c>
      <c r="B282" t="s">
        <v>7</v>
      </c>
      <c r="C282" t="s">
        <v>4579</v>
      </c>
      <c r="D282" t="s">
        <v>7017</v>
      </c>
      <c r="E282" t="s">
        <v>4580</v>
      </c>
      <c r="F282" t="s">
        <v>7714</v>
      </c>
      <c r="I282">
        <v>1</v>
      </c>
    </row>
    <row r="283" spans="1:9" x14ac:dyDescent="0.25">
      <c r="A283">
        <v>19274</v>
      </c>
      <c r="B283" t="s">
        <v>7</v>
      </c>
      <c r="C283" t="s">
        <v>4593</v>
      </c>
      <c r="D283" t="s">
        <v>7017</v>
      </c>
      <c r="E283" t="s">
        <v>4594</v>
      </c>
      <c r="F283" t="s">
        <v>7715</v>
      </c>
      <c r="I283">
        <v>1</v>
      </c>
    </row>
    <row r="284" spans="1:9" x14ac:dyDescent="0.25">
      <c r="A284">
        <v>19283</v>
      </c>
      <c r="B284" t="s">
        <v>7</v>
      </c>
      <c r="C284" t="s">
        <v>4601</v>
      </c>
      <c r="D284" t="s">
        <v>7017</v>
      </c>
      <c r="E284" t="s">
        <v>4602</v>
      </c>
      <c r="F284" t="s">
        <v>6943</v>
      </c>
      <c r="I284">
        <v>1</v>
      </c>
    </row>
    <row r="285" spans="1:9" x14ac:dyDescent="0.25">
      <c r="A285">
        <v>19296</v>
      </c>
      <c r="B285" t="s">
        <v>7</v>
      </c>
      <c r="C285" t="s">
        <v>4619</v>
      </c>
      <c r="D285" t="s">
        <v>7017</v>
      </c>
      <c r="E285" t="s">
        <v>4620</v>
      </c>
      <c r="F285" t="s">
        <v>6943</v>
      </c>
      <c r="I285">
        <v>1</v>
      </c>
    </row>
    <row r="286" spans="1:9" x14ac:dyDescent="0.25">
      <c r="A286">
        <v>19300</v>
      </c>
      <c r="B286" t="s">
        <v>7</v>
      </c>
      <c r="C286" t="s">
        <v>4627</v>
      </c>
      <c r="D286" t="s">
        <v>7017</v>
      </c>
      <c r="E286" t="s">
        <v>4628</v>
      </c>
      <c r="F286" t="s">
        <v>6973</v>
      </c>
      <c r="I286">
        <v>1</v>
      </c>
    </row>
    <row r="287" spans="1:9" x14ac:dyDescent="0.25">
      <c r="A287">
        <v>19304</v>
      </c>
      <c r="B287" t="s">
        <v>7</v>
      </c>
      <c r="C287" t="s">
        <v>4635</v>
      </c>
      <c r="D287" t="s">
        <v>7017</v>
      </c>
      <c r="E287" t="s">
        <v>4636</v>
      </c>
      <c r="F287" t="s">
        <v>6936</v>
      </c>
      <c r="G287" t="s">
        <v>7856</v>
      </c>
      <c r="H287">
        <v>6</v>
      </c>
      <c r="I287">
        <v>1</v>
      </c>
    </row>
    <row r="288" spans="1:9" x14ac:dyDescent="0.25">
      <c r="A288">
        <v>19317</v>
      </c>
      <c r="B288" t="s">
        <v>7</v>
      </c>
      <c r="C288" t="s">
        <v>4653</v>
      </c>
      <c r="D288" t="s">
        <v>7017</v>
      </c>
      <c r="E288" t="s">
        <v>4654</v>
      </c>
      <c r="F288" t="s">
        <v>6936</v>
      </c>
      <c r="G288" t="s">
        <v>7856</v>
      </c>
      <c r="H288">
        <v>6</v>
      </c>
      <c r="I288">
        <v>1</v>
      </c>
    </row>
    <row r="289" spans="1:9" x14ac:dyDescent="0.25">
      <c r="A289">
        <v>19321</v>
      </c>
      <c r="B289" t="s">
        <v>7</v>
      </c>
      <c r="C289" t="s">
        <v>4661</v>
      </c>
      <c r="D289" t="s">
        <v>7017</v>
      </c>
      <c r="E289" t="s">
        <v>4662</v>
      </c>
      <c r="F289" t="s">
        <v>6920</v>
      </c>
      <c r="I289">
        <v>1</v>
      </c>
    </row>
    <row r="290" spans="1:9" x14ac:dyDescent="0.25">
      <c r="A290">
        <v>19335</v>
      </c>
      <c r="B290" t="s">
        <v>7</v>
      </c>
      <c r="C290" t="s">
        <v>4677</v>
      </c>
      <c r="D290" t="s">
        <v>7017</v>
      </c>
      <c r="E290" t="s">
        <v>4678</v>
      </c>
      <c r="F290" t="s">
        <v>7716</v>
      </c>
      <c r="I290">
        <v>1</v>
      </c>
    </row>
    <row r="291" spans="1:9" x14ac:dyDescent="0.25">
      <c r="A291">
        <v>19354</v>
      </c>
      <c r="B291" t="s">
        <v>7</v>
      </c>
      <c r="C291" t="s">
        <v>4693</v>
      </c>
      <c r="D291" t="s">
        <v>7017</v>
      </c>
      <c r="E291" t="s">
        <v>4694</v>
      </c>
      <c r="F291" t="s">
        <v>6950</v>
      </c>
      <c r="I291">
        <v>1</v>
      </c>
    </row>
    <row r="292" spans="1:9" x14ac:dyDescent="0.25">
      <c r="A292">
        <v>19380</v>
      </c>
      <c r="B292" t="s">
        <v>7</v>
      </c>
      <c r="C292" t="s">
        <v>4711</v>
      </c>
      <c r="D292" t="s">
        <v>7017</v>
      </c>
      <c r="E292" t="s">
        <v>4712</v>
      </c>
      <c r="F292" t="s">
        <v>7717</v>
      </c>
    </row>
    <row r="293" spans="1:9" x14ac:dyDescent="0.25">
      <c r="A293">
        <v>19397</v>
      </c>
      <c r="B293" t="s">
        <v>7</v>
      </c>
      <c r="C293" t="s">
        <v>4725</v>
      </c>
      <c r="D293" t="s">
        <v>7017</v>
      </c>
      <c r="E293" t="s">
        <v>4726</v>
      </c>
      <c r="F293" t="s">
        <v>7718</v>
      </c>
    </row>
    <row r="294" spans="1:9" x14ac:dyDescent="0.25">
      <c r="A294">
        <v>19418</v>
      </c>
      <c r="B294" t="s">
        <v>7</v>
      </c>
      <c r="C294" t="s">
        <v>4751</v>
      </c>
      <c r="D294" t="s">
        <v>7017</v>
      </c>
      <c r="E294" t="s">
        <v>4752</v>
      </c>
      <c r="F294" t="s">
        <v>6991</v>
      </c>
      <c r="I294">
        <v>1</v>
      </c>
    </row>
    <row r="295" spans="1:9" x14ac:dyDescent="0.25">
      <c r="A295">
        <v>19430</v>
      </c>
      <c r="B295" t="s">
        <v>7</v>
      </c>
      <c r="C295" t="s">
        <v>4767</v>
      </c>
      <c r="D295" t="s">
        <v>7017</v>
      </c>
      <c r="E295" t="s">
        <v>4768</v>
      </c>
      <c r="F295" t="s">
        <v>6991</v>
      </c>
      <c r="I295">
        <v>1</v>
      </c>
    </row>
    <row r="296" spans="1:9" x14ac:dyDescent="0.25">
      <c r="A296">
        <v>19434</v>
      </c>
      <c r="B296" t="s">
        <v>7</v>
      </c>
      <c r="C296" t="s">
        <v>4775</v>
      </c>
      <c r="D296" t="s">
        <v>7017</v>
      </c>
      <c r="E296" t="s">
        <v>4776</v>
      </c>
      <c r="F296" t="s">
        <v>6989</v>
      </c>
      <c r="I296">
        <v>1</v>
      </c>
    </row>
    <row r="297" spans="1:9" x14ac:dyDescent="0.25">
      <c r="A297">
        <v>19446</v>
      </c>
      <c r="B297" t="s">
        <v>7</v>
      </c>
      <c r="C297" t="s">
        <v>4791</v>
      </c>
      <c r="D297" t="s">
        <v>7017</v>
      </c>
      <c r="E297" t="s">
        <v>4792</v>
      </c>
      <c r="F297" t="s">
        <v>6989</v>
      </c>
      <c r="I297">
        <v>1</v>
      </c>
    </row>
    <row r="298" spans="1:9" x14ac:dyDescent="0.25">
      <c r="A298">
        <v>19454</v>
      </c>
      <c r="B298" t="s">
        <v>7</v>
      </c>
      <c r="C298" t="s">
        <v>4803</v>
      </c>
      <c r="D298" t="s">
        <v>7017</v>
      </c>
      <c r="E298" t="s">
        <v>4804</v>
      </c>
      <c r="F298" t="s">
        <v>6988</v>
      </c>
      <c r="I298">
        <v>1</v>
      </c>
    </row>
    <row r="299" spans="1:9" x14ac:dyDescent="0.25">
      <c r="A299">
        <v>19461</v>
      </c>
      <c r="B299" t="s">
        <v>7</v>
      </c>
      <c r="C299" t="s">
        <v>4811</v>
      </c>
      <c r="D299" t="s">
        <v>7017</v>
      </c>
      <c r="E299" t="s">
        <v>4812</v>
      </c>
      <c r="F299" t="s">
        <v>6990</v>
      </c>
      <c r="I299">
        <v>1</v>
      </c>
    </row>
    <row r="300" spans="1:9" x14ac:dyDescent="0.25">
      <c r="A300">
        <v>19464</v>
      </c>
      <c r="B300" t="s">
        <v>7</v>
      </c>
      <c r="C300" t="s">
        <v>4817</v>
      </c>
      <c r="D300" t="s">
        <v>7017</v>
      </c>
      <c r="E300" t="s">
        <v>4818</v>
      </c>
      <c r="F300" t="s">
        <v>6994</v>
      </c>
      <c r="I300">
        <v>1</v>
      </c>
    </row>
    <row r="301" spans="1:9" x14ac:dyDescent="0.25">
      <c r="A301">
        <v>19474</v>
      </c>
      <c r="B301" t="s">
        <v>7</v>
      </c>
      <c r="C301" t="s">
        <v>4827</v>
      </c>
      <c r="D301" t="s">
        <v>7017</v>
      </c>
      <c r="E301" t="s">
        <v>4828</v>
      </c>
      <c r="F301" t="s">
        <v>6984</v>
      </c>
      <c r="I301">
        <v>1</v>
      </c>
    </row>
    <row r="302" spans="1:9" x14ac:dyDescent="0.25">
      <c r="A302">
        <v>19478</v>
      </c>
      <c r="B302" t="s">
        <v>7</v>
      </c>
      <c r="C302" t="s">
        <v>4835</v>
      </c>
      <c r="D302" t="s">
        <v>7017</v>
      </c>
      <c r="E302" t="s">
        <v>4836</v>
      </c>
      <c r="F302" t="s">
        <v>6996</v>
      </c>
      <c r="I302">
        <v>1</v>
      </c>
    </row>
    <row r="303" spans="1:9" x14ac:dyDescent="0.25">
      <c r="A303">
        <v>19487</v>
      </c>
      <c r="B303" t="s">
        <v>7</v>
      </c>
      <c r="C303" t="s">
        <v>4845</v>
      </c>
      <c r="D303" t="s">
        <v>7017</v>
      </c>
      <c r="E303" t="s">
        <v>4846</v>
      </c>
      <c r="F303" t="s">
        <v>6996</v>
      </c>
      <c r="I303">
        <v>1</v>
      </c>
    </row>
    <row r="304" spans="1:9" x14ac:dyDescent="0.25">
      <c r="A304">
        <v>19491</v>
      </c>
      <c r="B304" t="s">
        <v>7</v>
      </c>
      <c r="C304" t="s">
        <v>4853</v>
      </c>
      <c r="D304" t="s">
        <v>7017</v>
      </c>
      <c r="E304" t="s">
        <v>4854</v>
      </c>
      <c r="F304" t="s">
        <v>6986</v>
      </c>
      <c r="I304">
        <v>1</v>
      </c>
    </row>
    <row r="305" spans="1:9" x14ac:dyDescent="0.25">
      <c r="A305">
        <v>19503</v>
      </c>
      <c r="B305" t="s">
        <v>7</v>
      </c>
      <c r="C305" t="s">
        <v>4869</v>
      </c>
      <c r="D305" t="s">
        <v>7017</v>
      </c>
      <c r="E305" t="s">
        <v>4870</v>
      </c>
      <c r="F305" t="s">
        <v>6986</v>
      </c>
      <c r="I305">
        <v>1</v>
      </c>
    </row>
    <row r="306" spans="1:9" x14ac:dyDescent="0.25">
      <c r="A306">
        <v>19507</v>
      </c>
      <c r="B306" t="s">
        <v>7</v>
      </c>
      <c r="C306" t="s">
        <v>4877</v>
      </c>
      <c r="D306" t="s">
        <v>7017</v>
      </c>
      <c r="E306" t="s">
        <v>4878</v>
      </c>
      <c r="F306" t="s">
        <v>6987</v>
      </c>
      <c r="I306">
        <v>1</v>
      </c>
    </row>
    <row r="307" spans="1:9" x14ac:dyDescent="0.25">
      <c r="A307">
        <v>19519</v>
      </c>
      <c r="B307" t="s">
        <v>7</v>
      </c>
      <c r="C307" t="s">
        <v>4893</v>
      </c>
      <c r="D307" t="s">
        <v>7017</v>
      </c>
      <c r="E307" t="s">
        <v>4894</v>
      </c>
      <c r="F307" t="s">
        <v>6987</v>
      </c>
      <c r="I307">
        <v>1</v>
      </c>
    </row>
    <row r="308" spans="1:9" x14ac:dyDescent="0.25">
      <c r="A308">
        <v>19523</v>
      </c>
      <c r="B308" t="s">
        <v>7</v>
      </c>
      <c r="C308" t="s">
        <v>4901</v>
      </c>
      <c r="D308" t="s">
        <v>7017</v>
      </c>
      <c r="E308" t="s">
        <v>4902</v>
      </c>
      <c r="F308" t="s">
        <v>7719</v>
      </c>
      <c r="I308">
        <v>1</v>
      </c>
    </row>
    <row r="309" spans="1:9" x14ac:dyDescent="0.25">
      <c r="A309">
        <v>19533</v>
      </c>
      <c r="B309" t="s">
        <v>7</v>
      </c>
      <c r="C309" t="s">
        <v>4909</v>
      </c>
      <c r="D309" t="s">
        <v>7017</v>
      </c>
      <c r="E309" t="s">
        <v>4910</v>
      </c>
      <c r="F309" t="s">
        <v>7720</v>
      </c>
      <c r="I309">
        <v>1</v>
      </c>
    </row>
    <row r="310" spans="1:9" x14ac:dyDescent="0.25">
      <c r="A310">
        <v>19545</v>
      </c>
      <c r="B310" t="s">
        <v>7</v>
      </c>
      <c r="C310" t="s">
        <v>4925</v>
      </c>
      <c r="D310" t="s">
        <v>7017</v>
      </c>
      <c r="E310" t="s">
        <v>4926</v>
      </c>
      <c r="F310" t="s">
        <v>6995</v>
      </c>
      <c r="I310">
        <v>1</v>
      </c>
    </row>
    <row r="311" spans="1:9" x14ac:dyDescent="0.25">
      <c r="A311">
        <v>19557</v>
      </c>
      <c r="B311" t="s">
        <v>7</v>
      </c>
      <c r="C311" t="s">
        <v>4941</v>
      </c>
      <c r="D311" t="s">
        <v>7017</v>
      </c>
      <c r="E311" t="s">
        <v>4942</v>
      </c>
      <c r="F311" t="s">
        <v>6995</v>
      </c>
      <c r="I311">
        <v>1</v>
      </c>
    </row>
    <row r="312" spans="1:9" x14ac:dyDescent="0.25">
      <c r="A312">
        <v>19561</v>
      </c>
      <c r="B312" t="s">
        <v>7</v>
      </c>
      <c r="C312" t="s">
        <v>4949</v>
      </c>
      <c r="D312" t="s">
        <v>7017</v>
      </c>
      <c r="E312" t="s">
        <v>4950</v>
      </c>
      <c r="F312" t="s">
        <v>6923</v>
      </c>
      <c r="I312">
        <v>1</v>
      </c>
    </row>
    <row r="313" spans="1:9" x14ac:dyDescent="0.25">
      <c r="A313">
        <v>19574</v>
      </c>
      <c r="B313" t="s">
        <v>7</v>
      </c>
      <c r="C313" t="s">
        <v>4967</v>
      </c>
      <c r="D313" t="s">
        <v>7017</v>
      </c>
      <c r="E313" t="s">
        <v>4968</v>
      </c>
      <c r="F313" t="s">
        <v>7721</v>
      </c>
    </row>
    <row r="314" spans="1:9" x14ac:dyDescent="0.25">
      <c r="A314">
        <v>19581</v>
      </c>
      <c r="B314" t="s">
        <v>7</v>
      </c>
      <c r="C314" t="s">
        <v>4981</v>
      </c>
      <c r="D314" t="s">
        <v>7017</v>
      </c>
      <c r="E314" t="s">
        <v>4982</v>
      </c>
      <c r="F314" t="s">
        <v>7722</v>
      </c>
    </row>
    <row r="315" spans="1:9" x14ac:dyDescent="0.25">
      <c r="A315">
        <v>19589</v>
      </c>
      <c r="B315" t="s">
        <v>7</v>
      </c>
      <c r="C315" t="s">
        <v>4997</v>
      </c>
      <c r="D315" t="s">
        <v>7017</v>
      </c>
      <c r="E315" t="s">
        <v>4998</v>
      </c>
      <c r="F315" t="s">
        <v>7007</v>
      </c>
      <c r="I315">
        <v>1</v>
      </c>
    </row>
    <row r="316" spans="1:9" x14ac:dyDescent="0.25">
      <c r="A316">
        <v>19599</v>
      </c>
      <c r="B316" t="s">
        <v>7</v>
      </c>
      <c r="C316" t="s">
        <v>5013</v>
      </c>
      <c r="D316" t="s">
        <v>7017</v>
      </c>
      <c r="E316" t="s">
        <v>5014</v>
      </c>
      <c r="F316" t="s">
        <v>7007</v>
      </c>
      <c r="I316">
        <v>1</v>
      </c>
    </row>
    <row r="317" spans="1:9" x14ac:dyDescent="0.25">
      <c r="A317">
        <v>19609</v>
      </c>
      <c r="B317" t="s">
        <v>7</v>
      </c>
      <c r="C317" t="s">
        <v>5023</v>
      </c>
      <c r="D317" t="s">
        <v>7017</v>
      </c>
      <c r="E317" t="s">
        <v>5024</v>
      </c>
      <c r="F317" t="s">
        <v>6952</v>
      </c>
      <c r="I317">
        <v>1</v>
      </c>
    </row>
    <row r="318" spans="1:9" x14ac:dyDescent="0.25">
      <c r="A318">
        <v>19616</v>
      </c>
      <c r="B318" t="s">
        <v>7</v>
      </c>
      <c r="C318" t="s">
        <v>5037</v>
      </c>
      <c r="D318" t="s">
        <v>7017</v>
      </c>
      <c r="E318" t="s">
        <v>5038</v>
      </c>
      <c r="F318" t="s">
        <v>6952</v>
      </c>
      <c r="I318">
        <v>1</v>
      </c>
    </row>
    <row r="319" spans="1:9" x14ac:dyDescent="0.25">
      <c r="A319">
        <v>19620</v>
      </c>
      <c r="B319" t="s">
        <v>7</v>
      </c>
      <c r="C319" t="s">
        <v>5045</v>
      </c>
      <c r="D319" t="s">
        <v>7017</v>
      </c>
      <c r="E319" t="s">
        <v>5046</v>
      </c>
      <c r="F319" t="s">
        <v>6952</v>
      </c>
      <c r="I319">
        <v>1</v>
      </c>
    </row>
    <row r="320" spans="1:9" x14ac:dyDescent="0.25">
      <c r="A320">
        <v>19635</v>
      </c>
      <c r="B320" t="s">
        <v>7</v>
      </c>
      <c r="C320" t="s">
        <v>5055</v>
      </c>
      <c r="D320" t="s">
        <v>7017</v>
      </c>
      <c r="E320" t="s">
        <v>5056</v>
      </c>
      <c r="F320" t="s">
        <v>6927</v>
      </c>
      <c r="I320">
        <v>1</v>
      </c>
    </row>
    <row r="321" spans="1:9" x14ac:dyDescent="0.25">
      <c r="A321">
        <v>19644</v>
      </c>
      <c r="B321" t="s">
        <v>7</v>
      </c>
      <c r="C321" t="s">
        <v>5065</v>
      </c>
      <c r="D321" t="s">
        <v>7017</v>
      </c>
      <c r="E321" t="s">
        <v>5066</v>
      </c>
      <c r="F321" t="s">
        <v>6961</v>
      </c>
      <c r="I321">
        <v>1</v>
      </c>
    </row>
    <row r="322" spans="1:9" x14ac:dyDescent="0.25">
      <c r="A322">
        <v>19648</v>
      </c>
      <c r="B322" t="s">
        <v>7</v>
      </c>
      <c r="C322" t="s">
        <v>5073</v>
      </c>
      <c r="D322" t="s">
        <v>7017</v>
      </c>
      <c r="E322" t="s">
        <v>5074</v>
      </c>
      <c r="F322" t="s">
        <v>7012</v>
      </c>
      <c r="I322">
        <v>1</v>
      </c>
    </row>
    <row r="323" spans="1:9" x14ac:dyDescent="0.25">
      <c r="A323">
        <v>19651</v>
      </c>
      <c r="B323" t="s">
        <v>7</v>
      </c>
      <c r="C323" t="s">
        <v>5079</v>
      </c>
      <c r="D323" t="s">
        <v>7017</v>
      </c>
      <c r="E323" t="s">
        <v>5080</v>
      </c>
      <c r="F323" t="s">
        <v>7723</v>
      </c>
    </row>
    <row r="324" spans="1:9" x14ac:dyDescent="0.25">
      <c r="A324">
        <v>19659</v>
      </c>
      <c r="B324" t="s">
        <v>7</v>
      </c>
      <c r="C324" t="s">
        <v>5095</v>
      </c>
      <c r="D324" t="s">
        <v>7017</v>
      </c>
      <c r="E324" t="s">
        <v>5096</v>
      </c>
      <c r="F324" t="s">
        <v>7011</v>
      </c>
      <c r="I324">
        <v>1</v>
      </c>
    </row>
    <row r="325" spans="1:9" x14ac:dyDescent="0.25">
      <c r="A325">
        <v>19663</v>
      </c>
      <c r="B325" t="s">
        <v>7</v>
      </c>
      <c r="C325" t="s">
        <v>5103</v>
      </c>
      <c r="D325" t="s">
        <v>7017</v>
      </c>
      <c r="E325" t="s">
        <v>5104</v>
      </c>
      <c r="F325" t="s">
        <v>7010</v>
      </c>
      <c r="I325">
        <v>1</v>
      </c>
    </row>
    <row r="326" spans="1:9" x14ac:dyDescent="0.25">
      <c r="A326">
        <v>19673</v>
      </c>
      <c r="B326" t="s">
        <v>7</v>
      </c>
      <c r="C326" t="s">
        <v>5113</v>
      </c>
      <c r="D326" t="s">
        <v>7017</v>
      </c>
      <c r="E326" t="s">
        <v>5114</v>
      </c>
      <c r="F326" t="s">
        <v>7724</v>
      </c>
      <c r="G326" t="s">
        <v>7857</v>
      </c>
      <c r="H326">
        <v>6</v>
      </c>
      <c r="I326">
        <v>1</v>
      </c>
    </row>
    <row r="327" spans="1:9" x14ac:dyDescent="0.25">
      <c r="A327">
        <v>19687</v>
      </c>
      <c r="B327" t="s">
        <v>7</v>
      </c>
      <c r="C327" t="s">
        <v>5133</v>
      </c>
      <c r="D327" t="s">
        <v>7017</v>
      </c>
      <c r="E327" t="s">
        <v>5134</v>
      </c>
      <c r="F327" t="s">
        <v>7006</v>
      </c>
      <c r="I327">
        <v>1</v>
      </c>
    </row>
    <row r="328" spans="1:9" x14ac:dyDescent="0.25">
      <c r="A328">
        <v>19690</v>
      </c>
      <c r="B328" t="s">
        <v>7</v>
      </c>
      <c r="C328" t="s">
        <v>5139</v>
      </c>
      <c r="D328" t="s">
        <v>7017</v>
      </c>
      <c r="E328" t="s">
        <v>5140</v>
      </c>
      <c r="F328" t="s">
        <v>7725</v>
      </c>
      <c r="I328">
        <v>1</v>
      </c>
    </row>
    <row r="329" spans="1:9" x14ac:dyDescent="0.25">
      <c r="A329">
        <v>19697</v>
      </c>
      <c r="B329" t="s">
        <v>7</v>
      </c>
      <c r="C329" t="s">
        <v>5153</v>
      </c>
      <c r="D329" t="s">
        <v>7017</v>
      </c>
      <c r="E329" t="s">
        <v>5154</v>
      </c>
      <c r="F329" t="s">
        <v>7726</v>
      </c>
      <c r="I329">
        <v>1</v>
      </c>
    </row>
    <row r="330" spans="1:9" x14ac:dyDescent="0.25">
      <c r="A330">
        <v>19701</v>
      </c>
      <c r="B330" t="s">
        <v>7</v>
      </c>
      <c r="C330" t="s">
        <v>5161</v>
      </c>
      <c r="D330" t="s">
        <v>7017</v>
      </c>
      <c r="E330" t="s">
        <v>5162</v>
      </c>
      <c r="F330" t="s">
        <v>7727</v>
      </c>
      <c r="I330">
        <v>1</v>
      </c>
    </row>
    <row r="331" spans="1:9" x14ac:dyDescent="0.25">
      <c r="A331">
        <v>19722</v>
      </c>
      <c r="B331" t="s">
        <v>7</v>
      </c>
      <c r="C331" t="s">
        <v>5187</v>
      </c>
      <c r="D331" t="s">
        <v>7017</v>
      </c>
      <c r="E331" t="s">
        <v>5188</v>
      </c>
      <c r="F331" t="s">
        <v>6981</v>
      </c>
      <c r="I331">
        <v>1</v>
      </c>
    </row>
    <row r="332" spans="1:9" x14ac:dyDescent="0.25">
      <c r="A332">
        <v>19734</v>
      </c>
      <c r="B332" t="s">
        <v>7</v>
      </c>
      <c r="C332" t="s">
        <v>5203</v>
      </c>
      <c r="D332" t="s">
        <v>7017</v>
      </c>
      <c r="E332" t="s">
        <v>5204</v>
      </c>
      <c r="F332" t="s">
        <v>6981</v>
      </c>
      <c r="I332">
        <v>1</v>
      </c>
    </row>
    <row r="333" spans="1:9" x14ac:dyDescent="0.25">
      <c r="A333">
        <v>19742</v>
      </c>
      <c r="B333" t="s">
        <v>7</v>
      </c>
      <c r="C333" t="s">
        <v>5211</v>
      </c>
      <c r="D333" t="s">
        <v>7017</v>
      </c>
      <c r="E333" t="s">
        <v>5212</v>
      </c>
      <c r="F333" t="s">
        <v>6948</v>
      </c>
      <c r="I333">
        <v>1</v>
      </c>
    </row>
    <row r="334" spans="1:9" x14ac:dyDescent="0.25">
      <c r="A334">
        <v>19746</v>
      </c>
      <c r="B334" t="s">
        <v>7</v>
      </c>
      <c r="C334" t="s">
        <v>5219</v>
      </c>
      <c r="D334" t="s">
        <v>7017</v>
      </c>
      <c r="E334" t="s">
        <v>5220</v>
      </c>
      <c r="F334" t="s">
        <v>7728</v>
      </c>
      <c r="G334" t="s">
        <v>7858</v>
      </c>
      <c r="H334">
        <v>7</v>
      </c>
      <c r="I334">
        <v>1</v>
      </c>
    </row>
    <row r="335" spans="1:9" x14ac:dyDescent="0.25">
      <c r="A335">
        <v>19757</v>
      </c>
      <c r="B335" t="s">
        <v>7</v>
      </c>
      <c r="C335" t="s">
        <v>5233</v>
      </c>
      <c r="D335" t="s">
        <v>7017</v>
      </c>
      <c r="E335" t="s">
        <v>5234</v>
      </c>
      <c r="F335" t="s">
        <v>6945</v>
      </c>
      <c r="I335">
        <v>1</v>
      </c>
    </row>
    <row r="336" spans="1:9" x14ac:dyDescent="0.25">
      <c r="A336">
        <v>19778</v>
      </c>
      <c r="B336" t="s">
        <v>7</v>
      </c>
      <c r="C336" t="s">
        <v>5253</v>
      </c>
      <c r="D336" t="s">
        <v>7017</v>
      </c>
      <c r="E336" t="s">
        <v>5254</v>
      </c>
      <c r="F336" t="s">
        <v>7729</v>
      </c>
    </row>
    <row r="337" spans="1:9" x14ac:dyDescent="0.25">
      <c r="A337">
        <v>19784</v>
      </c>
      <c r="B337" t="s">
        <v>7</v>
      </c>
      <c r="C337" t="s">
        <v>5265</v>
      </c>
      <c r="D337" t="s">
        <v>7017</v>
      </c>
      <c r="E337" t="s">
        <v>5266</v>
      </c>
      <c r="F337" t="s">
        <v>6922</v>
      </c>
      <c r="I337">
        <v>1</v>
      </c>
    </row>
    <row r="338" spans="1:9" x14ac:dyDescent="0.25">
      <c r="A338">
        <v>19788</v>
      </c>
      <c r="B338" t="s">
        <v>7</v>
      </c>
      <c r="C338" t="s">
        <v>5273</v>
      </c>
      <c r="D338" t="s">
        <v>7017</v>
      </c>
      <c r="E338" t="s">
        <v>5274</v>
      </c>
      <c r="F338" t="s">
        <v>6921</v>
      </c>
      <c r="I338">
        <v>1</v>
      </c>
    </row>
    <row r="339" spans="1:9" x14ac:dyDescent="0.25">
      <c r="A339">
        <v>19804</v>
      </c>
      <c r="B339" t="s">
        <v>7</v>
      </c>
      <c r="C339" t="s">
        <v>5287</v>
      </c>
      <c r="D339" t="s">
        <v>7017</v>
      </c>
      <c r="E339" t="s">
        <v>5288</v>
      </c>
      <c r="F339" t="s">
        <v>6919</v>
      </c>
      <c r="I339">
        <v>1</v>
      </c>
    </row>
    <row r="340" spans="1:9" x14ac:dyDescent="0.25">
      <c r="A340">
        <v>19808</v>
      </c>
      <c r="B340" t="s">
        <v>7</v>
      </c>
      <c r="C340" t="s">
        <v>5295</v>
      </c>
      <c r="D340" t="s">
        <v>7017</v>
      </c>
      <c r="E340" t="s">
        <v>5296</v>
      </c>
      <c r="F340" t="s">
        <v>7730</v>
      </c>
      <c r="G340" t="s">
        <v>7859</v>
      </c>
      <c r="H340">
        <v>5</v>
      </c>
      <c r="I340">
        <v>1</v>
      </c>
    </row>
    <row r="341" spans="1:9" x14ac:dyDescent="0.25">
      <c r="A341">
        <v>19824</v>
      </c>
      <c r="B341" t="s">
        <v>7</v>
      </c>
      <c r="C341" t="s">
        <v>5311</v>
      </c>
      <c r="D341" t="s">
        <v>7017</v>
      </c>
      <c r="E341" t="s">
        <v>5312</v>
      </c>
      <c r="F341" t="s">
        <v>6982</v>
      </c>
      <c r="I341">
        <v>1</v>
      </c>
    </row>
    <row r="342" spans="1:9" x14ac:dyDescent="0.25">
      <c r="A342">
        <v>19836</v>
      </c>
      <c r="B342" t="s">
        <v>7</v>
      </c>
      <c r="C342" t="s">
        <v>5327</v>
      </c>
      <c r="D342" t="s">
        <v>7017</v>
      </c>
      <c r="E342" t="s">
        <v>5328</v>
      </c>
      <c r="F342" t="s">
        <v>6983</v>
      </c>
      <c r="I342">
        <v>1</v>
      </c>
    </row>
    <row r="343" spans="1:9" x14ac:dyDescent="0.25">
      <c r="A343">
        <v>19848</v>
      </c>
      <c r="B343" t="s">
        <v>7</v>
      </c>
      <c r="C343" t="s">
        <v>5343</v>
      </c>
      <c r="D343" t="s">
        <v>7017</v>
      </c>
      <c r="E343" t="s">
        <v>5344</v>
      </c>
      <c r="F343" t="s">
        <v>6982</v>
      </c>
      <c r="I343">
        <v>1</v>
      </c>
    </row>
    <row r="344" spans="1:9" x14ac:dyDescent="0.25">
      <c r="A344">
        <v>19852</v>
      </c>
      <c r="B344" t="s">
        <v>7</v>
      </c>
      <c r="C344" t="s">
        <v>5351</v>
      </c>
      <c r="D344" t="s">
        <v>7017</v>
      </c>
      <c r="E344" t="s">
        <v>5352</v>
      </c>
      <c r="F344" t="s">
        <v>6983</v>
      </c>
      <c r="I344">
        <v>1</v>
      </c>
    </row>
    <row r="345" spans="1:9" x14ac:dyDescent="0.25">
      <c r="A345">
        <v>19891</v>
      </c>
      <c r="B345" t="s">
        <v>7</v>
      </c>
      <c r="C345" t="s">
        <v>5375</v>
      </c>
      <c r="D345" t="s">
        <v>7017</v>
      </c>
      <c r="E345" t="s">
        <v>5376</v>
      </c>
      <c r="F345" t="s">
        <v>7731</v>
      </c>
      <c r="G345" t="s">
        <v>7860</v>
      </c>
      <c r="H345">
        <v>3</v>
      </c>
    </row>
    <row r="346" spans="1:9" x14ac:dyDescent="0.25">
      <c r="A346">
        <v>19902</v>
      </c>
      <c r="B346" t="s">
        <v>7</v>
      </c>
      <c r="C346" t="s">
        <v>5385</v>
      </c>
      <c r="D346" t="s">
        <v>7017</v>
      </c>
      <c r="E346" t="s">
        <v>5386</v>
      </c>
      <c r="F346" t="s">
        <v>7732</v>
      </c>
      <c r="I346">
        <v>1</v>
      </c>
    </row>
    <row r="347" spans="1:9" x14ac:dyDescent="0.25">
      <c r="A347">
        <v>19955</v>
      </c>
      <c r="B347" t="s">
        <v>7</v>
      </c>
      <c r="C347" t="s">
        <v>5409</v>
      </c>
      <c r="D347" t="s">
        <v>7017</v>
      </c>
      <c r="E347" t="s">
        <v>5410</v>
      </c>
      <c r="F347" t="s">
        <v>6938</v>
      </c>
      <c r="G347" t="s">
        <v>7861</v>
      </c>
      <c r="H347">
        <v>5</v>
      </c>
      <c r="I347">
        <v>1</v>
      </c>
    </row>
    <row r="348" spans="1:9" x14ac:dyDescent="0.25">
      <c r="A348">
        <v>19964</v>
      </c>
      <c r="B348" t="s">
        <v>7</v>
      </c>
      <c r="C348" t="s">
        <v>5427</v>
      </c>
      <c r="D348" t="s">
        <v>7017</v>
      </c>
      <c r="E348" t="s">
        <v>5428</v>
      </c>
      <c r="F348" t="s">
        <v>6945</v>
      </c>
      <c r="I348">
        <v>1</v>
      </c>
    </row>
    <row r="349" spans="1:9" x14ac:dyDescent="0.25">
      <c r="A349">
        <v>20000</v>
      </c>
      <c r="B349" t="s">
        <v>7</v>
      </c>
      <c r="C349" t="s">
        <v>5449</v>
      </c>
      <c r="D349" t="s">
        <v>7017</v>
      </c>
      <c r="E349" t="s">
        <v>5450</v>
      </c>
      <c r="F349" t="s">
        <v>6940</v>
      </c>
      <c r="G349" t="s">
        <v>7823</v>
      </c>
      <c r="H349">
        <v>6</v>
      </c>
      <c r="I349">
        <v>1</v>
      </c>
    </row>
    <row r="350" spans="1:9" x14ac:dyDescent="0.25">
      <c r="A350">
        <v>20004</v>
      </c>
      <c r="B350" t="s">
        <v>7</v>
      </c>
      <c r="C350" t="s">
        <v>5457</v>
      </c>
      <c r="D350" t="s">
        <v>7017</v>
      </c>
      <c r="E350" t="s">
        <v>5458</v>
      </c>
      <c r="F350" t="s">
        <v>7001</v>
      </c>
      <c r="I350">
        <v>1</v>
      </c>
    </row>
    <row r="351" spans="1:9" x14ac:dyDescent="0.25">
      <c r="A351">
        <v>20011</v>
      </c>
      <c r="B351" t="s">
        <v>7</v>
      </c>
      <c r="C351" t="s">
        <v>5465</v>
      </c>
      <c r="D351" t="s">
        <v>7017</v>
      </c>
      <c r="E351" t="s">
        <v>5466</v>
      </c>
      <c r="F351" t="s">
        <v>6920</v>
      </c>
      <c r="I351">
        <v>1</v>
      </c>
    </row>
    <row r="352" spans="1:9" x14ac:dyDescent="0.25">
      <c r="A352">
        <v>20059</v>
      </c>
      <c r="B352" t="s">
        <v>7</v>
      </c>
      <c r="C352" t="s">
        <v>5509</v>
      </c>
      <c r="D352" t="s">
        <v>7017</v>
      </c>
      <c r="E352" t="s">
        <v>5510</v>
      </c>
      <c r="F352" t="s">
        <v>6919</v>
      </c>
      <c r="I352">
        <v>1</v>
      </c>
    </row>
    <row r="353" spans="1:9" x14ac:dyDescent="0.25">
      <c r="A353">
        <v>20063</v>
      </c>
      <c r="B353" t="s">
        <v>7</v>
      </c>
      <c r="C353" t="s">
        <v>5517</v>
      </c>
      <c r="D353" t="s">
        <v>7017</v>
      </c>
      <c r="E353" t="s">
        <v>5518</v>
      </c>
      <c r="F353" t="s">
        <v>6937</v>
      </c>
      <c r="G353" t="s">
        <v>7862</v>
      </c>
      <c r="H353">
        <v>5</v>
      </c>
      <c r="I353">
        <v>1</v>
      </c>
    </row>
    <row r="354" spans="1:9" x14ac:dyDescent="0.25">
      <c r="A354">
        <v>20072</v>
      </c>
      <c r="B354" t="s">
        <v>7</v>
      </c>
      <c r="C354" t="s">
        <v>5535</v>
      </c>
      <c r="D354" t="s">
        <v>7017</v>
      </c>
      <c r="E354" t="s">
        <v>5536</v>
      </c>
      <c r="F354" t="s">
        <v>6937</v>
      </c>
      <c r="G354" t="s">
        <v>7862</v>
      </c>
      <c r="H354">
        <v>5</v>
      </c>
      <c r="I354">
        <v>1</v>
      </c>
    </row>
    <row r="355" spans="1:9" x14ac:dyDescent="0.25">
      <c r="A355">
        <v>20076</v>
      </c>
      <c r="B355" t="s">
        <v>7</v>
      </c>
      <c r="C355" t="s">
        <v>5543</v>
      </c>
      <c r="D355" t="s">
        <v>7017</v>
      </c>
      <c r="E355" t="s">
        <v>5544</v>
      </c>
      <c r="F355" t="s">
        <v>6937</v>
      </c>
      <c r="G355" t="s">
        <v>7862</v>
      </c>
      <c r="H355">
        <v>5</v>
      </c>
      <c r="I355">
        <v>1</v>
      </c>
    </row>
    <row r="356" spans="1:9" x14ac:dyDescent="0.25">
      <c r="A356">
        <v>20080</v>
      </c>
      <c r="B356" t="s">
        <v>7</v>
      </c>
      <c r="C356" t="s">
        <v>5551</v>
      </c>
      <c r="D356" t="s">
        <v>7017</v>
      </c>
      <c r="E356" t="s">
        <v>5552</v>
      </c>
      <c r="F356" t="s">
        <v>6938</v>
      </c>
      <c r="G356" t="s">
        <v>7861</v>
      </c>
      <c r="H356">
        <v>5</v>
      </c>
      <c r="I356">
        <v>1</v>
      </c>
    </row>
    <row r="357" spans="1:9" x14ac:dyDescent="0.25">
      <c r="A357">
        <v>20084</v>
      </c>
      <c r="B357" t="s">
        <v>7</v>
      </c>
      <c r="C357" t="s">
        <v>5559</v>
      </c>
      <c r="D357" t="s">
        <v>7017</v>
      </c>
      <c r="E357" t="s">
        <v>5560</v>
      </c>
      <c r="F357" t="s">
        <v>6938</v>
      </c>
      <c r="G357" t="s">
        <v>7861</v>
      </c>
      <c r="H357">
        <v>5</v>
      </c>
      <c r="I357">
        <v>1</v>
      </c>
    </row>
    <row r="358" spans="1:9" x14ac:dyDescent="0.25">
      <c r="A358">
        <v>20088</v>
      </c>
      <c r="B358" t="s">
        <v>7</v>
      </c>
      <c r="C358" t="s">
        <v>5567</v>
      </c>
      <c r="D358" t="s">
        <v>7017</v>
      </c>
      <c r="E358" t="s">
        <v>5568</v>
      </c>
      <c r="F358" t="s">
        <v>6910</v>
      </c>
      <c r="G358" t="s">
        <v>7863</v>
      </c>
      <c r="H358">
        <v>4</v>
      </c>
      <c r="I358">
        <v>1</v>
      </c>
    </row>
    <row r="359" spans="1:9" x14ac:dyDescent="0.25">
      <c r="A359">
        <v>20101</v>
      </c>
      <c r="B359" t="s">
        <v>7</v>
      </c>
      <c r="C359" t="s">
        <v>5585</v>
      </c>
      <c r="D359" t="s">
        <v>7017</v>
      </c>
      <c r="E359" t="s">
        <v>5586</v>
      </c>
      <c r="F359" t="s">
        <v>6910</v>
      </c>
      <c r="G359" t="s">
        <v>7863</v>
      </c>
      <c r="H359">
        <v>4</v>
      </c>
      <c r="I359">
        <v>1</v>
      </c>
    </row>
    <row r="360" spans="1:9" x14ac:dyDescent="0.25">
      <c r="A360">
        <v>20105</v>
      </c>
      <c r="B360" t="s">
        <v>7</v>
      </c>
      <c r="C360" t="s">
        <v>5593</v>
      </c>
      <c r="D360" t="s">
        <v>7017</v>
      </c>
      <c r="E360" t="s">
        <v>5594</v>
      </c>
      <c r="F360" t="s">
        <v>6910</v>
      </c>
      <c r="G360" t="s">
        <v>7863</v>
      </c>
      <c r="H360">
        <v>4</v>
      </c>
      <c r="I360">
        <v>1</v>
      </c>
    </row>
    <row r="361" spans="1:9" x14ac:dyDescent="0.25">
      <c r="A361">
        <v>20109</v>
      </c>
      <c r="B361" t="s">
        <v>7</v>
      </c>
      <c r="C361" t="s">
        <v>5601</v>
      </c>
      <c r="D361" t="s">
        <v>7017</v>
      </c>
      <c r="E361" t="s">
        <v>5602</v>
      </c>
      <c r="F361" t="s">
        <v>6910</v>
      </c>
      <c r="G361" t="s">
        <v>7863</v>
      </c>
      <c r="H361">
        <v>4</v>
      </c>
      <c r="I361">
        <v>1</v>
      </c>
    </row>
    <row r="362" spans="1:9" x14ac:dyDescent="0.25">
      <c r="A362">
        <v>20113</v>
      </c>
      <c r="B362" t="s">
        <v>7</v>
      </c>
      <c r="C362" t="s">
        <v>5609</v>
      </c>
      <c r="D362" t="s">
        <v>7017</v>
      </c>
      <c r="E362" t="s">
        <v>5610</v>
      </c>
      <c r="F362" t="s">
        <v>6912</v>
      </c>
      <c r="G362" t="s">
        <v>7821</v>
      </c>
      <c r="H362">
        <v>4</v>
      </c>
      <c r="I362">
        <v>1</v>
      </c>
    </row>
    <row r="363" spans="1:9" x14ac:dyDescent="0.25">
      <c r="A363">
        <v>20117</v>
      </c>
      <c r="B363" t="s">
        <v>7</v>
      </c>
      <c r="C363" t="s">
        <v>5617</v>
      </c>
      <c r="D363" t="s">
        <v>7017</v>
      </c>
      <c r="E363" t="s">
        <v>5618</v>
      </c>
      <c r="F363" t="s">
        <v>6912</v>
      </c>
      <c r="G363" t="s">
        <v>7821</v>
      </c>
      <c r="H363">
        <v>4</v>
      </c>
      <c r="I363">
        <v>1</v>
      </c>
    </row>
    <row r="364" spans="1:9" x14ac:dyDescent="0.25">
      <c r="A364">
        <v>20148</v>
      </c>
      <c r="B364" t="s">
        <v>7</v>
      </c>
      <c r="C364" t="s">
        <v>5635</v>
      </c>
      <c r="D364" t="s">
        <v>7017</v>
      </c>
      <c r="E364" t="s">
        <v>5636</v>
      </c>
      <c r="F364" t="s">
        <v>7733</v>
      </c>
      <c r="G364" t="s">
        <v>7864</v>
      </c>
      <c r="H364">
        <v>10</v>
      </c>
      <c r="I364">
        <v>1</v>
      </c>
    </row>
    <row r="365" spans="1:9" x14ac:dyDescent="0.25">
      <c r="A365">
        <v>20183</v>
      </c>
      <c r="B365" t="s">
        <v>7</v>
      </c>
      <c r="C365" t="s">
        <v>5681</v>
      </c>
      <c r="D365" t="s">
        <v>7017</v>
      </c>
      <c r="E365" t="s">
        <v>5682</v>
      </c>
      <c r="F365" t="s">
        <v>7734</v>
      </c>
      <c r="I365">
        <v>1</v>
      </c>
    </row>
    <row r="366" spans="1:9" x14ac:dyDescent="0.25">
      <c r="A366">
        <v>20474</v>
      </c>
      <c r="B366" t="s">
        <v>7</v>
      </c>
      <c r="C366" t="s">
        <v>5955</v>
      </c>
      <c r="D366" t="s">
        <v>7017</v>
      </c>
      <c r="E366" t="s">
        <v>5956</v>
      </c>
      <c r="F366" t="s">
        <v>6908</v>
      </c>
      <c r="G366" t="s">
        <v>7828</v>
      </c>
      <c r="H366">
        <v>9</v>
      </c>
      <c r="I366">
        <v>1</v>
      </c>
    </row>
    <row r="367" spans="1:9" x14ac:dyDescent="0.25">
      <c r="A367">
        <v>20478</v>
      </c>
      <c r="B367" t="s">
        <v>7</v>
      </c>
      <c r="C367" t="s">
        <v>5963</v>
      </c>
      <c r="D367" t="s">
        <v>7017</v>
      </c>
      <c r="E367" t="s">
        <v>5964</v>
      </c>
      <c r="F367" t="s">
        <v>6927</v>
      </c>
      <c r="I367">
        <v>1</v>
      </c>
    </row>
    <row r="368" spans="1:9" x14ac:dyDescent="0.25">
      <c r="A368">
        <v>20482</v>
      </c>
      <c r="B368" t="s">
        <v>7</v>
      </c>
      <c r="C368" t="s">
        <v>5971</v>
      </c>
      <c r="D368" t="s">
        <v>7017</v>
      </c>
      <c r="E368" t="s">
        <v>5972</v>
      </c>
      <c r="F368" t="s">
        <v>6915</v>
      </c>
      <c r="G368" t="s">
        <v>7820</v>
      </c>
      <c r="H368">
        <v>4</v>
      </c>
      <c r="I368">
        <v>1</v>
      </c>
    </row>
    <row r="369" spans="1:9" x14ac:dyDescent="0.25">
      <c r="A369">
        <v>20486</v>
      </c>
      <c r="B369" t="s">
        <v>7</v>
      </c>
      <c r="C369" t="s">
        <v>5979</v>
      </c>
      <c r="D369" t="s">
        <v>7017</v>
      </c>
      <c r="E369" t="s">
        <v>5980</v>
      </c>
      <c r="F369" t="s">
        <v>6911</v>
      </c>
      <c r="G369" t="s">
        <v>7837</v>
      </c>
      <c r="H369">
        <v>4</v>
      </c>
      <c r="I369">
        <v>1</v>
      </c>
    </row>
    <row r="370" spans="1:9" x14ac:dyDescent="0.25">
      <c r="A370">
        <v>20590</v>
      </c>
      <c r="B370" t="s">
        <v>7</v>
      </c>
      <c r="C370" t="s">
        <v>6025</v>
      </c>
      <c r="D370" t="s">
        <v>7017</v>
      </c>
      <c r="E370" t="s">
        <v>6026</v>
      </c>
      <c r="F370" t="s">
        <v>7735</v>
      </c>
      <c r="G370" t="s">
        <v>7865</v>
      </c>
      <c r="H370">
        <v>5</v>
      </c>
      <c r="I370">
        <v>1</v>
      </c>
    </row>
    <row r="371" spans="1:9" x14ac:dyDescent="0.25">
      <c r="A371">
        <v>20627</v>
      </c>
      <c r="B371" t="s">
        <v>7</v>
      </c>
      <c r="C371" t="s">
        <v>6059</v>
      </c>
      <c r="D371" t="s">
        <v>7017</v>
      </c>
      <c r="E371" t="s">
        <v>6060</v>
      </c>
      <c r="F371" t="s">
        <v>7736</v>
      </c>
    </row>
    <row r="372" spans="1:9" x14ac:dyDescent="0.25">
      <c r="A372">
        <v>20635</v>
      </c>
      <c r="B372" t="s">
        <v>7</v>
      </c>
      <c r="C372" t="s">
        <v>6075</v>
      </c>
      <c r="D372" t="s">
        <v>7017</v>
      </c>
      <c r="E372" t="s">
        <v>6076</v>
      </c>
      <c r="F372" t="s">
        <v>7737</v>
      </c>
    </row>
    <row r="373" spans="1:9" x14ac:dyDescent="0.25">
      <c r="A373">
        <v>20754</v>
      </c>
      <c r="B373" t="s">
        <v>7</v>
      </c>
      <c r="C373" t="s">
        <v>6135</v>
      </c>
      <c r="D373" t="s">
        <v>7017</v>
      </c>
      <c r="E373" t="s">
        <v>6136</v>
      </c>
      <c r="F373" t="s">
        <v>7738</v>
      </c>
      <c r="G373" t="s">
        <v>7866</v>
      </c>
      <c r="H373">
        <v>4</v>
      </c>
      <c r="I373">
        <v>1</v>
      </c>
    </row>
    <row r="374" spans="1:9" x14ac:dyDescent="0.25">
      <c r="A374">
        <v>20768</v>
      </c>
      <c r="B374" t="s">
        <v>7</v>
      </c>
      <c r="C374" t="s">
        <v>6155</v>
      </c>
      <c r="D374" t="s">
        <v>7017</v>
      </c>
      <c r="E374" t="s">
        <v>6156</v>
      </c>
      <c r="F374" t="s">
        <v>7739</v>
      </c>
      <c r="G374" t="s">
        <v>7867</v>
      </c>
      <c r="H374">
        <v>3</v>
      </c>
      <c r="I374">
        <v>1</v>
      </c>
    </row>
    <row r="375" spans="1:9" x14ac:dyDescent="0.25">
      <c r="A375">
        <v>20798</v>
      </c>
      <c r="B375" t="s">
        <v>7</v>
      </c>
      <c r="C375" t="s">
        <v>6187</v>
      </c>
      <c r="D375" t="s">
        <v>7017</v>
      </c>
      <c r="E375" t="s">
        <v>6188</v>
      </c>
      <c r="F375" t="s">
        <v>7740</v>
      </c>
      <c r="G375" t="s">
        <v>7868</v>
      </c>
      <c r="H375">
        <v>7</v>
      </c>
      <c r="I375">
        <v>1</v>
      </c>
    </row>
    <row r="376" spans="1:9" x14ac:dyDescent="0.25">
      <c r="A376">
        <v>20821</v>
      </c>
      <c r="B376" t="s">
        <v>7</v>
      </c>
      <c r="C376" t="s">
        <v>6219</v>
      </c>
      <c r="D376" t="s">
        <v>7017</v>
      </c>
      <c r="E376" t="s">
        <v>6220</v>
      </c>
      <c r="F376" t="s">
        <v>7741</v>
      </c>
      <c r="G376" t="s">
        <v>7869</v>
      </c>
      <c r="H376">
        <v>3</v>
      </c>
      <c r="I376">
        <v>1</v>
      </c>
    </row>
    <row r="377" spans="1:9" x14ac:dyDescent="0.25">
      <c r="A377">
        <v>20831</v>
      </c>
      <c r="B377" t="s">
        <v>7</v>
      </c>
      <c r="C377" t="s">
        <v>6233</v>
      </c>
      <c r="D377" t="s">
        <v>7017</v>
      </c>
      <c r="E377" t="s">
        <v>6234</v>
      </c>
      <c r="F377" t="s">
        <v>7742</v>
      </c>
      <c r="I377">
        <v>1</v>
      </c>
    </row>
    <row r="378" spans="1:9" x14ac:dyDescent="0.25">
      <c r="A378">
        <v>20842</v>
      </c>
      <c r="B378" t="s">
        <v>7</v>
      </c>
      <c r="C378" t="s">
        <v>6249</v>
      </c>
      <c r="D378" t="s">
        <v>7017</v>
      </c>
      <c r="E378" t="s">
        <v>6250</v>
      </c>
      <c r="F378" t="s">
        <v>6999</v>
      </c>
    </row>
    <row r="379" spans="1:9" x14ac:dyDescent="0.25">
      <c r="A379">
        <v>20855</v>
      </c>
      <c r="B379" t="s">
        <v>7</v>
      </c>
      <c r="C379" t="s">
        <v>6267</v>
      </c>
      <c r="D379" t="s">
        <v>7017</v>
      </c>
      <c r="E379" t="s">
        <v>6268</v>
      </c>
      <c r="F379" t="s">
        <v>6999</v>
      </c>
    </row>
    <row r="380" spans="1:9" x14ac:dyDescent="0.25">
      <c r="A380">
        <v>20865</v>
      </c>
      <c r="B380" t="s">
        <v>7</v>
      </c>
      <c r="C380" t="s">
        <v>6277</v>
      </c>
      <c r="D380" t="s">
        <v>7017</v>
      </c>
      <c r="E380" t="s">
        <v>6278</v>
      </c>
      <c r="F380" t="s">
        <v>7743</v>
      </c>
    </row>
    <row r="381" spans="1:9" x14ac:dyDescent="0.25">
      <c r="A381">
        <v>20877</v>
      </c>
      <c r="B381" t="s">
        <v>7</v>
      </c>
      <c r="C381" t="s">
        <v>6293</v>
      </c>
      <c r="D381" t="s">
        <v>7017</v>
      </c>
      <c r="E381" t="s">
        <v>6294</v>
      </c>
      <c r="F381" t="s">
        <v>7744</v>
      </c>
    </row>
    <row r="382" spans="1:9" x14ac:dyDescent="0.25">
      <c r="A382">
        <v>20888</v>
      </c>
      <c r="B382" t="s">
        <v>7</v>
      </c>
      <c r="C382" t="s">
        <v>6309</v>
      </c>
      <c r="D382" t="s">
        <v>7017</v>
      </c>
      <c r="E382" t="s">
        <v>6310</v>
      </c>
      <c r="F382" t="s">
        <v>7745</v>
      </c>
    </row>
    <row r="383" spans="1:9" x14ac:dyDescent="0.25">
      <c r="A383">
        <v>20896</v>
      </c>
      <c r="B383" t="s">
        <v>7</v>
      </c>
      <c r="C383" t="s">
        <v>6325</v>
      </c>
      <c r="D383" t="s">
        <v>7017</v>
      </c>
      <c r="E383" t="s">
        <v>6326</v>
      </c>
      <c r="F383" t="s">
        <v>7746</v>
      </c>
    </row>
    <row r="384" spans="1:9" x14ac:dyDescent="0.25">
      <c r="A384">
        <v>20918</v>
      </c>
      <c r="B384" t="s">
        <v>7</v>
      </c>
      <c r="C384" t="s">
        <v>6343</v>
      </c>
      <c r="D384" t="s">
        <v>7017</v>
      </c>
      <c r="E384" t="s">
        <v>6344</v>
      </c>
      <c r="F384" t="s">
        <v>7747</v>
      </c>
    </row>
    <row r="385" spans="1:9" x14ac:dyDescent="0.25">
      <c r="A385">
        <v>20922</v>
      </c>
      <c r="B385" t="s">
        <v>7</v>
      </c>
      <c r="C385" t="s">
        <v>6351</v>
      </c>
      <c r="D385" t="s">
        <v>7017</v>
      </c>
      <c r="E385" t="s">
        <v>6352</v>
      </c>
      <c r="F385" t="s">
        <v>7748</v>
      </c>
    </row>
    <row r="386" spans="1:9" x14ac:dyDescent="0.25">
      <c r="A386">
        <v>20926</v>
      </c>
      <c r="B386" t="s">
        <v>7</v>
      </c>
      <c r="C386" t="s">
        <v>6359</v>
      </c>
      <c r="D386" t="s">
        <v>7017</v>
      </c>
      <c r="E386" t="s">
        <v>6360</v>
      </c>
      <c r="F386" t="s">
        <v>6926</v>
      </c>
      <c r="I386">
        <v>1</v>
      </c>
    </row>
    <row r="387" spans="1:9" x14ac:dyDescent="0.25">
      <c r="A387">
        <v>20939</v>
      </c>
      <c r="B387" t="s">
        <v>7</v>
      </c>
      <c r="C387" t="s">
        <v>6377</v>
      </c>
      <c r="D387" t="s">
        <v>7017</v>
      </c>
      <c r="E387" t="s">
        <v>6378</v>
      </c>
      <c r="F387" t="s">
        <v>7749</v>
      </c>
      <c r="G387" t="s">
        <v>7870</v>
      </c>
      <c r="H387">
        <v>2</v>
      </c>
      <c r="I387">
        <v>1</v>
      </c>
    </row>
    <row r="388" spans="1:9" x14ac:dyDescent="0.25">
      <c r="A388">
        <v>20956</v>
      </c>
      <c r="B388" t="s">
        <v>7</v>
      </c>
      <c r="C388" t="s">
        <v>6407</v>
      </c>
      <c r="D388" t="s">
        <v>7017</v>
      </c>
      <c r="E388" t="s">
        <v>6408</v>
      </c>
      <c r="F388" t="s">
        <v>7750</v>
      </c>
      <c r="G388" t="s">
        <v>7871</v>
      </c>
      <c r="H388">
        <v>2</v>
      </c>
    </row>
    <row r="389" spans="1:9" x14ac:dyDescent="0.25">
      <c r="A389">
        <v>20967</v>
      </c>
      <c r="B389" t="s">
        <v>7</v>
      </c>
      <c r="C389" t="s">
        <v>6417</v>
      </c>
      <c r="D389" t="s">
        <v>7017</v>
      </c>
      <c r="E389" t="s">
        <v>6418</v>
      </c>
      <c r="F389" t="s">
        <v>7751</v>
      </c>
      <c r="G389" t="s">
        <v>7872</v>
      </c>
      <c r="H389">
        <v>7</v>
      </c>
    </row>
    <row r="390" spans="1:9" x14ac:dyDescent="0.25">
      <c r="A390">
        <v>20975</v>
      </c>
      <c r="B390" t="s">
        <v>7</v>
      </c>
      <c r="C390" t="s">
        <v>6433</v>
      </c>
      <c r="D390" t="s">
        <v>7017</v>
      </c>
      <c r="E390" t="s">
        <v>6434</v>
      </c>
      <c r="F390" t="s">
        <v>7752</v>
      </c>
      <c r="G390" t="s">
        <v>7873</v>
      </c>
      <c r="H390">
        <v>7</v>
      </c>
    </row>
    <row r="391" spans="1:9" x14ac:dyDescent="0.25">
      <c r="A391">
        <v>21008</v>
      </c>
      <c r="B391" t="s">
        <v>7</v>
      </c>
      <c r="C391" t="s">
        <v>6465</v>
      </c>
      <c r="D391" t="s">
        <v>7017</v>
      </c>
      <c r="E391" t="s">
        <v>6466</v>
      </c>
      <c r="F391" t="s">
        <v>6971</v>
      </c>
      <c r="I391">
        <v>1</v>
      </c>
    </row>
    <row r="392" spans="1:9" x14ac:dyDescent="0.25">
      <c r="A392">
        <v>21015</v>
      </c>
      <c r="B392" t="s">
        <v>7</v>
      </c>
      <c r="C392" t="s">
        <v>6479</v>
      </c>
      <c r="D392" t="s">
        <v>7017</v>
      </c>
      <c r="E392" t="s">
        <v>6480</v>
      </c>
      <c r="F392" t="s">
        <v>6971</v>
      </c>
      <c r="I392">
        <v>1</v>
      </c>
    </row>
    <row r="393" spans="1:9" x14ac:dyDescent="0.25">
      <c r="A393">
        <v>21019</v>
      </c>
      <c r="B393" t="s">
        <v>7</v>
      </c>
      <c r="C393" t="s">
        <v>6487</v>
      </c>
      <c r="D393" t="s">
        <v>7017</v>
      </c>
      <c r="E393" t="s">
        <v>6488</v>
      </c>
      <c r="F393" t="s">
        <v>6971</v>
      </c>
      <c r="I393">
        <v>1</v>
      </c>
    </row>
    <row r="394" spans="1:9" x14ac:dyDescent="0.25">
      <c r="A394">
        <v>21036</v>
      </c>
      <c r="B394" t="s">
        <v>7</v>
      </c>
      <c r="C394" t="s">
        <v>6499</v>
      </c>
      <c r="D394" t="s">
        <v>7017</v>
      </c>
      <c r="E394" t="s">
        <v>6500</v>
      </c>
      <c r="F394" t="s">
        <v>6985</v>
      </c>
      <c r="I394">
        <v>1</v>
      </c>
    </row>
    <row r="395" spans="1:9" x14ac:dyDescent="0.25">
      <c r="A395">
        <v>21048</v>
      </c>
      <c r="B395" t="s">
        <v>7</v>
      </c>
      <c r="C395" t="s">
        <v>6517</v>
      </c>
      <c r="D395" t="s">
        <v>7017</v>
      </c>
      <c r="E395" t="s">
        <v>6518</v>
      </c>
      <c r="F395" t="s">
        <v>7753</v>
      </c>
      <c r="I395">
        <v>1</v>
      </c>
    </row>
    <row r="396" spans="1:9" x14ac:dyDescent="0.25">
      <c r="A396">
        <v>21064</v>
      </c>
      <c r="B396" t="s">
        <v>7</v>
      </c>
      <c r="C396" t="s">
        <v>6541</v>
      </c>
      <c r="D396" t="s">
        <v>7017</v>
      </c>
      <c r="E396" t="s">
        <v>6542</v>
      </c>
      <c r="F396" t="s">
        <v>7754</v>
      </c>
      <c r="I396">
        <v>1</v>
      </c>
    </row>
    <row r="397" spans="1:9" x14ac:dyDescent="0.25">
      <c r="A397">
        <v>21093</v>
      </c>
      <c r="B397" t="s">
        <v>7</v>
      </c>
      <c r="C397" t="s">
        <v>6565</v>
      </c>
      <c r="D397" t="s">
        <v>7017</v>
      </c>
      <c r="E397" t="s">
        <v>6566</v>
      </c>
      <c r="F397" t="s">
        <v>6941</v>
      </c>
      <c r="G397" t="s">
        <v>7874</v>
      </c>
      <c r="H397">
        <v>3</v>
      </c>
      <c r="I397">
        <v>1</v>
      </c>
    </row>
    <row r="398" spans="1:9" x14ac:dyDescent="0.25">
      <c r="A398">
        <v>21102</v>
      </c>
      <c r="B398" t="s">
        <v>7</v>
      </c>
      <c r="C398" t="s">
        <v>6583</v>
      </c>
      <c r="D398" t="s">
        <v>7017</v>
      </c>
      <c r="E398" t="s">
        <v>6584</v>
      </c>
      <c r="F398" t="s">
        <v>6941</v>
      </c>
      <c r="G398" t="s">
        <v>7874</v>
      </c>
      <c r="H398">
        <v>3</v>
      </c>
      <c r="I398">
        <v>1</v>
      </c>
    </row>
    <row r="399" spans="1:9" x14ac:dyDescent="0.25">
      <c r="A399">
        <v>21106</v>
      </c>
      <c r="B399" t="s">
        <v>7</v>
      </c>
      <c r="C399" t="s">
        <v>6591</v>
      </c>
      <c r="D399" t="s">
        <v>7017</v>
      </c>
      <c r="E399" t="s">
        <v>6592</v>
      </c>
      <c r="F399" t="s">
        <v>7755</v>
      </c>
    </row>
    <row r="400" spans="1:9" x14ac:dyDescent="0.25">
      <c r="A400">
        <v>21123</v>
      </c>
      <c r="B400" t="s">
        <v>7</v>
      </c>
      <c r="C400" t="s">
        <v>6601</v>
      </c>
      <c r="D400" t="s">
        <v>7017</v>
      </c>
      <c r="E400" t="s">
        <v>6602</v>
      </c>
      <c r="F400" t="s">
        <v>7756</v>
      </c>
      <c r="G400" t="s">
        <v>7875</v>
      </c>
      <c r="H400">
        <v>3</v>
      </c>
      <c r="I400">
        <v>1</v>
      </c>
    </row>
    <row r="401" spans="1:9" x14ac:dyDescent="0.25">
      <c r="A401">
        <v>21139</v>
      </c>
      <c r="B401" t="s">
        <v>7</v>
      </c>
      <c r="C401" t="s">
        <v>6625</v>
      </c>
      <c r="D401" t="s">
        <v>7017</v>
      </c>
      <c r="E401" t="s">
        <v>6626</v>
      </c>
      <c r="F401" t="s">
        <v>7757</v>
      </c>
      <c r="G401" t="s">
        <v>7876</v>
      </c>
      <c r="H401">
        <v>7</v>
      </c>
      <c r="I401">
        <v>1</v>
      </c>
    </row>
    <row r="402" spans="1:9" x14ac:dyDescent="0.25">
      <c r="A402">
        <v>21158</v>
      </c>
      <c r="B402" t="s">
        <v>7</v>
      </c>
      <c r="C402" t="s">
        <v>6655</v>
      </c>
      <c r="D402" t="s">
        <v>7017</v>
      </c>
      <c r="E402" t="s">
        <v>6656</v>
      </c>
      <c r="F402" t="s">
        <v>6923</v>
      </c>
      <c r="I402">
        <v>1</v>
      </c>
    </row>
    <row r="403" spans="1:9" x14ac:dyDescent="0.25">
      <c r="A403">
        <v>21162</v>
      </c>
      <c r="B403" t="s">
        <v>7</v>
      </c>
      <c r="C403" t="s">
        <v>6663</v>
      </c>
      <c r="D403" t="s">
        <v>7017</v>
      </c>
      <c r="E403" t="s">
        <v>6664</v>
      </c>
      <c r="F403" t="s">
        <v>6914</v>
      </c>
      <c r="G403" t="s">
        <v>7877</v>
      </c>
      <c r="H403">
        <v>4</v>
      </c>
      <c r="I403">
        <v>1</v>
      </c>
    </row>
    <row r="404" spans="1:9" x14ac:dyDescent="0.25">
      <c r="A404">
        <v>21175</v>
      </c>
      <c r="B404" t="s">
        <v>7</v>
      </c>
      <c r="C404" t="s">
        <v>6681</v>
      </c>
      <c r="D404" t="s">
        <v>7017</v>
      </c>
      <c r="E404" t="s">
        <v>6682</v>
      </c>
      <c r="F404" t="s">
        <v>6913</v>
      </c>
      <c r="G404" t="s">
        <v>7878</v>
      </c>
      <c r="H404">
        <v>4</v>
      </c>
      <c r="I404">
        <v>1</v>
      </c>
    </row>
    <row r="405" spans="1:9" x14ac:dyDescent="0.25">
      <c r="A405">
        <v>21188</v>
      </c>
      <c r="B405" t="s">
        <v>7</v>
      </c>
      <c r="C405" t="s">
        <v>6699</v>
      </c>
      <c r="D405" t="s">
        <v>7017</v>
      </c>
      <c r="E405" t="s">
        <v>6700</v>
      </c>
      <c r="F405" t="s">
        <v>6913</v>
      </c>
      <c r="G405" t="s">
        <v>7878</v>
      </c>
      <c r="H405">
        <v>4</v>
      </c>
      <c r="I405">
        <v>1</v>
      </c>
    </row>
    <row r="406" spans="1:9" x14ac:dyDescent="0.25">
      <c r="A406">
        <v>21192</v>
      </c>
      <c r="B406" t="s">
        <v>7</v>
      </c>
      <c r="C406" t="s">
        <v>6707</v>
      </c>
      <c r="D406" t="s">
        <v>7017</v>
      </c>
      <c r="E406" t="s">
        <v>6708</v>
      </c>
      <c r="F406" t="s">
        <v>6914</v>
      </c>
      <c r="G406" t="s">
        <v>7877</v>
      </c>
      <c r="H406">
        <v>4</v>
      </c>
      <c r="I406">
        <v>1</v>
      </c>
    </row>
    <row r="407" spans="1:9" x14ac:dyDescent="0.25">
      <c r="A407">
        <v>21196</v>
      </c>
      <c r="B407" t="s">
        <v>7</v>
      </c>
      <c r="C407" t="s">
        <v>6715</v>
      </c>
      <c r="D407" t="s">
        <v>7017</v>
      </c>
      <c r="E407" t="s">
        <v>6716</v>
      </c>
      <c r="F407" t="s">
        <v>6914</v>
      </c>
      <c r="G407" t="s">
        <v>7877</v>
      </c>
      <c r="H407">
        <v>4</v>
      </c>
      <c r="I407">
        <v>1</v>
      </c>
    </row>
    <row r="408" spans="1:9" x14ac:dyDescent="0.25">
      <c r="A408">
        <v>21200</v>
      </c>
      <c r="B408" t="s">
        <v>7</v>
      </c>
      <c r="C408" t="s">
        <v>6723</v>
      </c>
      <c r="D408" t="s">
        <v>7017</v>
      </c>
      <c r="E408" t="s">
        <v>6724</v>
      </c>
      <c r="F408" t="s">
        <v>6928</v>
      </c>
      <c r="I408">
        <v>1</v>
      </c>
    </row>
    <row r="409" spans="1:9" x14ac:dyDescent="0.25">
      <c r="A409">
        <v>21213</v>
      </c>
      <c r="B409" t="s">
        <v>7</v>
      </c>
      <c r="C409" t="s">
        <v>6741</v>
      </c>
      <c r="D409" t="s">
        <v>7017</v>
      </c>
      <c r="E409" t="s">
        <v>6742</v>
      </c>
      <c r="F409" t="s">
        <v>6928</v>
      </c>
      <c r="I409">
        <v>1</v>
      </c>
    </row>
    <row r="410" spans="1:9" x14ac:dyDescent="0.25">
      <c r="A410">
        <v>21217</v>
      </c>
      <c r="B410" t="s">
        <v>7</v>
      </c>
      <c r="C410" t="s">
        <v>6749</v>
      </c>
      <c r="D410" t="s">
        <v>7017</v>
      </c>
      <c r="E410" t="s">
        <v>6750</v>
      </c>
      <c r="F410" t="s">
        <v>6928</v>
      </c>
      <c r="I410">
        <v>1</v>
      </c>
    </row>
    <row r="411" spans="1:9" x14ac:dyDescent="0.25">
      <c r="A411">
        <v>21221</v>
      </c>
      <c r="B411" t="s">
        <v>7</v>
      </c>
      <c r="C411" t="s">
        <v>6757</v>
      </c>
      <c r="D411" t="s">
        <v>7017</v>
      </c>
      <c r="E411" t="s">
        <v>6758</v>
      </c>
      <c r="F411" t="s">
        <v>6928</v>
      </c>
      <c r="I411">
        <v>1</v>
      </c>
    </row>
    <row r="412" spans="1:9" x14ac:dyDescent="0.25">
      <c r="A412">
        <v>21225</v>
      </c>
      <c r="B412" t="s">
        <v>7</v>
      </c>
      <c r="C412" t="s">
        <v>6765</v>
      </c>
      <c r="D412" t="s">
        <v>7017</v>
      </c>
      <c r="E412" t="s">
        <v>6766</v>
      </c>
      <c r="F412" t="s">
        <v>6925</v>
      </c>
      <c r="I412">
        <v>1</v>
      </c>
    </row>
    <row r="413" spans="1:9" x14ac:dyDescent="0.25">
      <c r="A413">
        <v>21238</v>
      </c>
      <c r="B413" t="s">
        <v>7</v>
      </c>
      <c r="C413" t="s">
        <v>6783</v>
      </c>
      <c r="D413" t="s">
        <v>7017</v>
      </c>
      <c r="E413" t="s">
        <v>6784</v>
      </c>
      <c r="F413" t="s">
        <v>6925</v>
      </c>
      <c r="I413">
        <v>1</v>
      </c>
    </row>
    <row r="414" spans="1:9" x14ac:dyDescent="0.25">
      <c r="A414">
        <v>21242</v>
      </c>
      <c r="B414" t="s">
        <v>7</v>
      </c>
      <c r="C414" t="s">
        <v>6791</v>
      </c>
      <c r="D414" t="s">
        <v>7017</v>
      </c>
      <c r="E414" t="s">
        <v>6792</v>
      </c>
      <c r="F414" t="s">
        <v>7758</v>
      </c>
      <c r="I414">
        <v>1</v>
      </c>
    </row>
    <row r="415" spans="1:9" x14ac:dyDescent="0.25">
      <c r="A415">
        <v>21268</v>
      </c>
      <c r="B415" t="s">
        <v>7</v>
      </c>
      <c r="C415" t="s">
        <v>6827</v>
      </c>
      <c r="D415" t="s">
        <v>7017</v>
      </c>
      <c r="E415" t="s">
        <v>6828</v>
      </c>
      <c r="F415" t="s">
        <v>7759</v>
      </c>
      <c r="I415">
        <v>1</v>
      </c>
    </row>
    <row r="416" spans="1:9" x14ac:dyDescent="0.25">
      <c r="A416">
        <v>21303</v>
      </c>
      <c r="B416" t="s">
        <v>7</v>
      </c>
      <c r="C416" t="s">
        <v>6865</v>
      </c>
      <c r="D416" t="s">
        <v>7017</v>
      </c>
      <c r="E416" t="s">
        <v>6866</v>
      </c>
      <c r="F416" t="s">
        <v>7760</v>
      </c>
    </row>
    <row r="417" spans="1:9" x14ac:dyDescent="0.25">
      <c r="A417">
        <v>21307</v>
      </c>
      <c r="B417" t="s">
        <v>7</v>
      </c>
      <c r="C417" t="s">
        <v>6873</v>
      </c>
      <c r="D417" t="s">
        <v>7017</v>
      </c>
      <c r="E417" t="s">
        <v>6874</v>
      </c>
      <c r="F417" t="s">
        <v>6946</v>
      </c>
      <c r="I417">
        <v>1</v>
      </c>
    </row>
    <row r="418" spans="1:9" x14ac:dyDescent="0.25">
      <c r="A418">
        <v>21320</v>
      </c>
      <c r="B418" t="s">
        <v>7</v>
      </c>
      <c r="C418" t="s">
        <v>6891</v>
      </c>
      <c r="D418" t="s">
        <v>7017</v>
      </c>
      <c r="E418" t="s">
        <v>6892</v>
      </c>
      <c r="F418" t="s">
        <v>6946</v>
      </c>
      <c r="I41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tabSelected="1" topLeftCell="B1" workbookViewId="0">
      <selection activeCell="J2" sqref="J2"/>
    </sheetView>
  </sheetViews>
  <sheetFormatPr baseColWidth="10" defaultRowHeight="15" x14ac:dyDescent="0.25"/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10" x14ac:dyDescent="0.25">
      <c r="A2">
        <v>14620</v>
      </c>
      <c r="B2" t="s">
        <v>7</v>
      </c>
      <c r="C2" t="s">
        <v>8</v>
      </c>
      <c r="D2" t="s">
        <v>6906</v>
      </c>
      <c r="E2" t="s">
        <v>9</v>
      </c>
      <c r="F2" t="s">
        <v>7761</v>
      </c>
      <c r="H2">
        <v>4</v>
      </c>
      <c r="J2">
        <f>COUNT($F$2:$F$206,F2)</f>
        <v>0</v>
      </c>
    </row>
    <row r="3" spans="1:10" x14ac:dyDescent="0.25">
      <c r="A3">
        <v>14621</v>
      </c>
      <c r="B3" t="s">
        <v>10</v>
      </c>
      <c r="C3" t="s">
        <v>11</v>
      </c>
      <c r="D3" t="s">
        <v>7762</v>
      </c>
      <c r="E3" t="s">
        <v>12</v>
      </c>
      <c r="F3" t="s">
        <v>7761</v>
      </c>
      <c r="G3" t="s">
        <v>7881</v>
      </c>
      <c r="H3">
        <v>1</v>
      </c>
    </row>
    <row r="4" spans="1:10" x14ac:dyDescent="0.25">
      <c r="A4">
        <v>14627</v>
      </c>
      <c r="B4" t="s">
        <v>10</v>
      </c>
      <c r="C4" t="s">
        <v>13</v>
      </c>
      <c r="D4" t="s">
        <v>7763</v>
      </c>
      <c r="E4" t="s">
        <v>14</v>
      </c>
      <c r="F4" t="s">
        <v>7761</v>
      </c>
      <c r="G4" t="s">
        <v>7882</v>
      </c>
      <c r="H4">
        <v>1</v>
      </c>
    </row>
    <row r="5" spans="1:10" x14ac:dyDescent="0.25">
      <c r="A5">
        <v>14633</v>
      </c>
      <c r="B5" t="s">
        <v>10</v>
      </c>
      <c r="C5" t="s">
        <v>15</v>
      </c>
      <c r="D5" t="s">
        <v>7764</v>
      </c>
      <c r="E5" t="s">
        <v>16</v>
      </c>
      <c r="F5" t="s">
        <v>7761</v>
      </c>
      <c r="G5" t="s">
        <v>7883</v>
      </c>
      <c r="H5">
        <v>1</v>
      </c>
    </row>
    <row r="6" spans="1:10" x14ac:dyDescent="0.25">
      <c r="A6">
        <v>14638</v>
      </c>
      <c r="B6" t="s">
        <v>10</v>
      </c>
      <c r="C6" t="s">
        <v>17</v>
      </c>
      <c r="D6" t="s">
        <v>7765</v>
      </c>
      <c r="E6" t="s">
        <v>18</v>
      </c>
      <c r="F6" t="s">
        <v>7761</v>
      </c>
      <c r="G6" t="s">
        <v>7884</v>
      </c>
      <c r="H6">
        <v>1</v>
      </c>
    </row>
    <row r="7" spans="1:10" x14ac:dyDescent="0.25">
      <c r="A7">
        <v>15846</v>
      </c>
      <c r="B7" t="s">
        <v>7</v>
      </c>
      <c r="C7" t="s">
        <v>1173</v>
      </c>
      <c r="D7" t="s">
        <v>6906</v>
      </c>
      <c r="E7" t="s">
        <v>1174</v>
      </c>
      <c r="F7" t="s">
        <v>7766</v>
      </c>
      <c r="H7">
        <v>2</v>
      </c>
      <c r="J7">
        <v>2</v>
      </c>
    </row>
    <row r="8" spans="1:10" x14ac:dyDescent="0.25">
      <c r="A8">
        <v>15847</v>
      </c>
      <c r="B8" t="s">
        <v>10</v>
      </c>
      <c r="C8" t="s">
        <v>1175</v>
      </c>
      <c r="D8" t="s">
        <v>7767</v>
      </c>
      <c r="E8" t="s">
        <v>1176</v>
      </c>
      <c r="F8" t="s">
        <v>7766</v>
      </c>
      <c r="G8" t="s">
        <v>7885</v>
      </c>
      <c r="H8">
        <v>1</v>
      </c>
    </row>
    <row r="9" spans="1:10" x14ac:dyDescent="0.25">
      <c r="A9">
        <v>15849</v>
      </c>
      <c r="B9" t="s">
        <v>10</v>
      </c>
      <c r="C9" t="s">
        <v>1177</v>
      </c>
      <c r="D9" t="s">
        <v>7764</v>
      </c>
      <c r="E9" t="s">
        <v>1178</v>
      </c>
      <c r="F9" t="s">
        <v>7766</v>
      </c>
      <c r="G9" t="s">
        <v>7886</v>
      </c>
      <c r="H9">
        <v>1</v>
      </c>
    </row>
    <row r="10" spans="1:10" x14ac:dyDescent="0.25">
      <c r="A10">
        <v>16588</v>
      </c>
      <c r="B10" t="s">
        <v>7</v>
      </c>
      <c r="C10" t="s">
        <v>1581</v>
      </c>
      <c r="D10" t="s">
        <v>6906</v>
      </c>
      <c r="E10" t="s">
        <v>1582</v>
      </c>
      <c r="F10" t="s">
        <v>7768</v>
      </c>
      <c r="H10">
        <v>3</v>
      </c>
      <c r="J10">
        <v>2</v>
      </c>
    </row>
    <row r="11" spans="1:10" x14ac:dyDescent="0.25">
      <c r="A11">
        <v>16589</v>
      </c>
      <c r="B11" t="s">
        <v>10</v>
      </c>
      <c r="C11" t="s">
        <v>1583</v>
      </c>
      <c r="D11" t="s">
        <v>7762</v>
      </c>
      <c r="E11" t="s">
        <v>1584</v>
      </c>
      <c r="F11" t="s">
        <v>7768</v>
      </c>
      <c r="G11" t="s">
        <v>7887</v>
      </c>
      <c r="H11">
        <v>1</v>
      </c>
    </row>
    <row r="12" spans="1:10" x14ac:dyDescent="0.25">
      <c r="A12">
        <v>16595</v>
      </c>
      <c r="B12" t="s">
        <v>10</v>
      </c>
      <c r="C12" t="s">
        <v>1585</v>
      </c>
      <c r="D12" t="s">
        <v>7764</v>
      </c>
      <c r="E12" t="s">
        <v>1586</v>
      </c>
      <c r="F12" t="s">
        <v>7768</v>
      </c>
      <c r="G12" t="s">
        <v>7888</v>
      </c>
      <c r="H12">
        <v>1</v>
      </c>
    </row>
    <row r="13" spans="1:10" x14ac:dyDescent="0.25">
      <c r="A13">
        <v>16596</v>
      </c>
      <c r="B13" t="s">
        <v>10</v>
      </c>
      <c r="C13" t="s">
        <v>1587</v>
      </c>
      <c r="D13" t="s">
        <v>7769</v>
      </c>
      <c r="E13" t="s">
        <v>1588</v>
      </c>
      <c r="F13" t="s">
        <v>7768</v>
      </c>
      <c r="G13" t="s">
        <v>7889</v>
      </c>
      <c r="H13">
        <v>1</v>
      </c>
    </row>
    <row r="14" spans="1:10" x14ac:dyDescent="0.25">
      <c r="A14">
        <v>16831</v>
      </c>
      <c r="B14" t="s">
        <v>7</v>
      </c>
      <c r="C14" t="s">
        <v>1757</v>
      </c>
      <c r="D14" t="s">
        <v>6906</v>
      </c>
      <c r="E14" t="s">
        <v>1758</v>
      </c>
      <c r="F14" t="s">
        <v>7770</v>
      </c>
      <c r="H14">
        <v>5</v>
      </c>
      <c r="J14">
        <v>2</v>
      </c>
    </row>
    <row r="15" spans="1:10" x14ac:dyDescent="0.25">
      <c r="A15">
        <v>16832</v>
      </c>
      <c r="B15" t="s">
        <v>10</v>
      </c>
      <c r="C15" t="s">
        <v>1759</v>
      </c>
      <c r="D15" t="s">
        <v>7762</v>
      </c>
      <c r="E15" t="s">
        <v>1760</v>
      </c>
      <c r="F15" t="s">
        <v>7770</v>
      </c>
      <c r="G15" t="s">
        <v>7890</v>
      </c>
      <c r="H15">
        <v>1</v>
      </c>
    </row>
    <row r="16" spans="1:10" x14ac:dyDescent="0.25">
      <c r="A16">
        <v>16841</v>
      </c>
      <c r="B16" t="s">
        <v>10</v>
      </c>
      <c r="C16" t="s">
        <v>1761</v>
      </c>
      <c r="D16" t="s">
        <v>7763</v>
      </c>
      <c r="E16" t="s">
        <v>1762</v>
      </c>
      <c r="F16" t="s">
        <v>7770</v>
      </c>
      <c r="G16" t="s">
        <v>7891</v>
      </c>
      <c r="H16">
        <v>1</v>
      </c>
    </row>
    <row r="17" spans="1:10" x14ac:dyDescent="0.25">
      <c r="A17">
        <v>16842</v>
      </c>
      <c r="B17" t="s">
        <v>10</v>
      </c>
      <c r="C17" t="s">
        <v>1763</v>
      </c>
      <c r="D17" t="s">
        <v>7764</v>
      </c>
      <c r="E17" t="s">
        <v>1764</v>
      </c>
      <c r="F17" t="s">
        <v>7770</v>
      </c>
      <c r="G17" t="s">
        <v>7892</v>
      </c>
      <c r="H17">
        <v>1</v>
      </c>
    </row>
    <row r="18" spans="1:10" x14ac:dyDescent="0.25">
      <c r="A18">
        <v>16843</v>
      </c>
      <c r="B18" t="s">
        <v>10</v>
      </c>
      <c r="C18" t="s">
        <v>1765</v>
      </c>
      <c r="D18" t="s">
        <v>7769</v>
      </c>
      <c r="E18" t="s">
        <v>1766</v>
      </c>
      <c r="F18" t="s">
        <v>7770</v>
      </c>
      <c r="G18" t="s">
        <v>7893</v>
      </c>
      <c r="H18">
        <v>1</v>
      </c>
    </row>
    <row r="19" spans="1:10" x14ac:dyDescent="0.25">
      <c r="A19">
        <v>16844</v>
      </c>
      <c r="B19" t="s">
        <v>10</v>
      </c>
      <c r="C19" t="s">
        <v>1767</v>
      </c>
      <c r="D19" t="s">
        <v>7767</v>
      </c>
      <c r="E19" t="s">
        <v>1768</v>
      </c>
      <c r="F19" t="s">
        <v>7770</v>
      </c>
      <c r="G19" t="s">
        <v>7894</v>
      </c>
      <c r="H19">
        <v>1</v>
      </c>
    </row>
    <row r="20" spans="1:10" x14ac:dyDescent="0.25">
      <c r="A20">
        <v>17011</v>
      </c>
      <c r="B20" t="s">
        <v>7</v>
      </c>
      <c r="C20" t="s">
        <v>1927</v>
      </c>
      <c r="D20" t="s">
        <v>6906</v>
      </c>
      <c r="E20" t="s">
        <v>1928</v>
      </c>
      <c r="F20" t="s">
        <v>7771</v>
      </c>
      <c r="H20">
        <v>3</v>
      </c>
      <c r="J20">
        <v>2</v>
      </c>
    </row>
    <row r="21" spans="1:10" x14ac:dyDescent="0.25">
      <c r="A21">
        <v>17012</v>
      </c>
      <c r="B21" t="s">
        <v>10</v>
      </c>
      <c r="C21" t="s">
        <v>1929</v>
      </c>
      <c r="D21" t="s">
        <v>7763</v>
      </c>
      <c r="E21" t="s">
        <v>1930</v>
      </c>
      <c r="F21" t="s">
        <v>7771</v>
      </c>
      <c r="G21" t="s">
        <v>7895</v>
      </c>
      <c r="H21">
        <v>1</v>
      </c>
    </row>
    <row r="22" spans="1:10" x14ac:dyDescent="0.25">
      <c r="A22">
        <v>17015</v>
      </c>
      <c r="B22" t="s">
        <v>10</v>
      </c>
      <c r="C22" t="s">
        <v>1931</v>
      </c>
      <c r="D22" t="s">
        <v>7764</v>
      </c>
      <c r="E22" t="s">
        <v>1932</v>
      </c>
      <c r="F22" t="s">
        <v>7771</v>
      </c>
      <c r="G22" t="s">
        <v>7896</v>
      </c>
      <c r="H22">
        <v>1</v>
      </c>
    </row>
    <row r="23" spans="1:10" x14ac:dyDescent="0.25">
      <c r="A23">
        <v>17019</v>
      </c>
      <c r="B23" t="s">
        <v>10</v>
      </c>
      <c r="C23" t="s">
        <v>1933</v>
      </c>
      <c r="D23" t="s">
        <v>7769</v>
      </c>
      <c r="E23" t="s">
        <v>1934</v>
      </c>
      <c r="F23" t="s">
        <v>7771</v>
      </c>
      <c r="G23" t="s">
        <v>7897</v>
      </c>
      <c r="H23">
        <v>1</v>
      </c>
    </row>
    <row r="24" spans="1:10" x14ac:dyDescent="0.25">
      <c r="A24">
        <v>17251</v>
      </c>
      <c r="B24" t="s">
        <v>7</v>
      </c>
      <c r="C24" t="s">
        <v>2090</v>
      </c>
      <c r="D24" t="s">
        <v>6906</v>
      </c>
      <c r="E24" t="s">
        <v>2091</v>
      </c>
      <c r="F24" t="s">
        <v>7772</v>
      </c>
      <c r="H24">
        <v>5</v>
      </c>
      <c r="J24">
        <v>2</v>
      </c>
    </row>
    <row r="25" spans="1:10" x14ac:dyDescent="0.25">
      <c r="A25">
        <v>17252</v>
      </c>
      <c r="B25" t="s">
        <v>10</v>
      </c>
      <c r="C25" t="s">
        <v>2092</v>
      </c>
      <c r="D25" t="s">
        <v>7762</v>
      </c>
      <c r="E25" t="s">
        <v>2093</v>
      </c>
      <c r="F25" t="s">
        <v>7772</v>
      </c>
      <c r="G25" t="s">
        <v>7898</v>
      </c>
      <c r="H25">
        <v>1</v>
      </c>
    </row>
    <row r="26" spans="1:10" x14ac:dyDescent="0.25">
      <c r="A26">
        <v>17254</v>
      </c>
      <c r="B26" t="s">
        <v>10</v>
      </c>
      <c r="C26" t="s">
        <v>2094</v>
      </c>
      <c r="D26" t="s">
        <v>7763</v>
      </c>
      <c r="E26" t="s">
        <v>2095</v>
      </c>
      <c r="F26" t="s">
        <v>7772</v>
      </c>
      <c r="G26" t="s">
        <v>7899</v>
      </c>
      <c r="H26">
        <v>1</v>
      </c>
    </row>
    <row r="27" spans="1:10" x14ac:dyDescent="0.25">
      <c r="A27">
        <v>17256</v>
      </c>
      <c r="B27" t="s">
        <v>10</v>
      </c>
      <c r="C27" t="s">
        <v>2096</v>
      </c>
      <c r="D27" t="s">
        <v>7764</v>
      </c>
      <c r="E27" t="s">
        <v>2097</v>
      </c>
      <c r="F27" t="s">
        <v>7772</v>
      </c>
      <c r="G27" t="s">
        <v>7900</v>
      </c>
      <c r="H27">
        <v>1</v>
      </c>
    </row>
    <row r="28" spans="1:10" x14ac:dyDescent="0.25">
      <c r="A28">
        <v>17265</v>
      </c>
      <c r="B28" t="s">
        <v>10</v>
      </c>
      <c r="C28" t="s">
        <v>2098</v>
      </c>
      <c r="D28" t="s">
        <v>7769</v>
      </c>
      <c r="E28" t="s">
        <v>2099</v>
      </c>
      <c r="F28" t="s">
        <v>7772</v>
      </c>
      <c r="G28" t="s">
        <v>7901</v>
      </c>
      <c r="H28">
        <v>1</v>
      </c>
    </row>
    <row r="29" spans="1:10" x14ac:dyDescent="0.25">
      <c r="A29">
        <v>17267</v>
      </c>
      <c r="B29" t="s">
        <v>10</v>
      </c>
      <c r="C29" t="s">
        <v>2100</v>
      </c>
      <c r="D29" t="s">
        <v>7767</v>
      </c>
      <c r="E29" t="s">
        <v>2101</v>
      </c>
      <c r="F29" t="s">
        <v>7772</v>
      </c>
      <c r="G29" t="s">
        <v>7902</v>
      </c>
      <c r="H29">
        <v>1</v>
      </c>
    </row>
    <row r="30" spans="1:10" x14ac:dyDescent="0.25">
      <c r="A30">
        <v>17637</v>
      </c>
      <c r="B30" t="s">
        <v>7</v>
      </c>
      <c r="C30" t="s">
        <v>2424</v>
      </c>
      <c r="D30" t="s">
        <v>6906</v>
      </c>
      <c r="E30" t="s">
        <v>2425</v>
      </c>
      <c r="F30" t="s">
        <v>7773</v>
      </c>
      <c r="H30">
        <v>5</v>
      </c>
      <c r="J30">
        <v>2</v>
      </c>
    </row>
    <row r="31" spans="1:10" x14ac:dyDescent="0.25">
      <c r="A31">
        <v>17638</v>
      </c>
      <c r="B31" t="s">
        <v>10</v>
      </c>
      <c r="C31" t="s">
        <v>2426</v>
      </c>
      <c r="D31" t="s">
        <v>7762</v>
      </c>
      <c r="E31" t="s">
        <v>2427</v>
      </c>
      <c r="F31" t="s">
        <v>7773</v>
      </c>
      <c r="G31" t="s">
        <v>7903</v>
      </c>
      <c r="H31">
        <v>1</v>
      </c>
    </row>
    <row r="32" spans="1:10" x14ac:dyDescent="0.25">
      <c r="A32">
        <v>17648</v>
      </c>
      <c r="B32" t="s">
        <v>10</v>
      </c>
      <c r="C32" t="s">
        <v>2428</v>
      </c>
      <c r="D32" t="s">
        <v>7763</v>
      </c>
      <c r="E32" t="s">
        <v>2429</v>
      </c>
      <c r="F32" t="s">
        <v>7773</v>
      </c>
      <c r="G32" t="s">
        <v>7904</v>
      </c>
      <c r="H32">
        <v>1</v>
      </c>
    </row>
    <row r="33" spans="1:10" x14ac:dyDescent="0.25">
      <c r="A33">
        <v>17649</v>
      </c>
      <c r="B33" t="s">
        <v>10</v>
      </c>
      <c r="C33" t="s">
        <v>2430</v>
      </c>
      <c r="D33" t="s">
        <v>7764</v>
      </c>
      <c r="E33" t="s">
        <v>2431</v>
      </c>
      <c r="F33" t="s">
        <v>7773</v>
      </c>
      <c r="G33" t="s">
        <v>7905</v>
      </c>
      <c r="H33">
        <v>1</v>
      </c>
    </row>
    <row r="34" spans="1:10" x14ac:dyDescent="0.25">
      <c r="A34">
        <v>17650</v>
      </c>
      <c r="B34" t="s">
        <v>10</v>
      </c>
      <c r="C34" t="s">
        <v>2432</v>
      </c>
      <c r="D34" t="s">
        <v>7769</v>
      </c>
      <c r="E34" t="s">
        <v>2433</v>
      </c>
      <c r="F34" t="s">
        <v>7773</v>
      </c>
      <c r="G34" t="s">
        <v>7906</v>
      </c>
      <c r="H34">
        <v>1</v>
      </c>
    </row>
    <row r="35" spans="1:10" x14ac:dyDescent="0.25">
      <c r="A35">
        <v>17651</v>
      </c>
      <c r="B35" t="s">
        <v>10</v>
      </c>
      <c r="C35" t="s">
        <v>2434</v>
      </c>
      <c r="D35" t="s">
        <v>7767</v>
      </c>
      <c r="E35" t="s">
        <v>2435</v>
      </c>
      <c r="F35" t="s">
        <v>7773</v>
      </c>
      <c r="G35" t="s">
        <v>7907</v>
      </c>
      <c r="H35">
        <v>1</v>
      </c>
    </row>
    <row r="36" spans="1:10" x14ac:dyDescent="0.25">
      <c r="A36">
        <v>19711</v>
      </c>
      <c r="B36" t="s">
        <v>7</v>
      </c>
      <c r="C36" t="s">
        <v>5181</v>
      </c>
      <c r="D36" t="s">
        <v>6906</v>
      </c>
      <c r="E36" t="s">
        <v>5182</v>
      </c>
      <c r="F36" t="s">
        <v>7774</v>
      </c>
      <c r="H36">
        <v>2</v>
      </c>
      <c r="J36">
        <v>2</v>
      </c>
    </row>
    <row r="37" spans="1:10" x14ac:dyDescent="0.25">
      <c r="A37">
        <v>19712</v>
      </c>
      <c r="B37" t="s">
        <v>10</v>
      </c>
      <c r="C37" t="s">
        <v>5183</v>
      </c>
      <c r="D37" t="s">
        <v>7775</v>
      </c>
      <c r="E37" t="s">
        <v>5184</v>
      </c>
      <c r="F37" t="s">
        <v>7774</v>
      </c>
      <c r="G37" t="s">
        <v>7908</v>
      </c>
      <c r="H37">
        <v>1</v>
      </c>
    </row>
    <row r="38" spans="1:10" x14ac:dyDescent="0.25">
      <c r="A38">
        <v>19716</v>
      </c>
      <c r="B38" t="s">
        <v>10</v>
      </c>
      <c r="C38" t="s">
        <v>5185</v>
      </c>
      <c r="D38" t="s">
        <v>7764</v>
      </c>
      <c r="E38" t="s">
        <v>5186</v>
      </c>
      <c r="F38" t="s">
        <v>7774</v>
      </c>
      <c r="G38" t="s">
        <v>7909</v>
      </c>
      <c r="H38">
        <v>1</v>
      </c>
    </row>
    <row r="39" spans="1:10" x14ac:dyDescent="0.25">
      <c r="A39">
        <v>19877</v>
      </c>
      <c r="B39" t="s">
        <v>7</v>
      </c>
      <c r="C39" t="s">
        <v>5367</v>
      </c>
      <c r="D39" t="s">
        <v>6906</v>
      </c>
      <c r="E39" t="s">
        <v>5368</v>
      </c>
      <c r="F39" t="s">
        <v>7776</v>
      </c>
      <c r="H39">
        <v>2</v>
      </c>
      <c r="J39">
        <v>2</v>
      </c>
    </row>
    <row r="40" spans="1:10" x14ac:dyDescent="0.25">
      <c r="A40">
        <v>19878</v>
      </c>
      <c r="B40" t="s">
        <v>10</v>
      </c>
      <c r="C40" t="s">
        <v>5369</v>
      </c>
      <c r="D40" t="s">
        <v>7763</v>
      </c>
      <c r="E40" t="s">
        <v>5370</v>
      </c>
      <c r="F40" t="s">
        <v>7776</v>
      </c>
      <c r="G40" t="s">
        <v>7910</v>
      </c>
      <c r="H40">
        <v>1</v>
      </c>
    </row>
    <row r="41" spans="1:10" x14ac:dyDescent="0.25">
      <c r="A41">
        <v>19882</v>
      </c>
      <c r="B41" t="s">
        <v>10</v>
      </c>
      <c r="C41" t="s">
        <v>5371</v>
      </c>
      <c r="D41" t="s">
        <v>7764</v>
      </c>
      <c r="E41" t="s">
        <v>5372</v>
      </c>
      <c r="F41" t="s">
        <v>7776</v>
      </c>
      <c r="G41" t="s">
        <v>7911</v>
      </c>
      <c r="H41">
        <v>1</v>
      </c>
    </row>
    <row r="42" spans="1:10" x14ac:dyDescent="0.25">
      <c r="A42">
        <v>20015</v>
      </c>
      <c r="B42" t="s">
        <v>7</v>
      </c>
      <c r="C42" t="s">
        <v>5473</v>
      </c>
      <c r="D42" t="s">
        <v>6906</v>
      </c>
      <c r="E42" t="s">
        <v>5474</v>
      </c>
      <c r="F42" t="s">
        <v>7777</v>
      </c>
      <c r="H42">
        <v>17</v>
      </c>
      <c r="J42">
        <v>2</v>
      </c>
    </row>
    <row r="43" spans="1:10" x14ac:dyDescent="0.25">
      <c r="A43">
        <v>20016</v>
      </c>
      <c r="B43" t="s">
        <v>10</v>
      </c>
      <c r="C43" t="s">
        <v>5475</v>
      </c>
      <c r="D43" t="s">
        <v>7778</v>
      </c>
      <c r="E43" t="s">
        <v>5476</v>
      </c>
      <c r="F43" t="s">
        <v>7777</v>
      </c>
      <c r="G43" t="s">
        <v>7912</v>
      </c>
      <c r="H43">
        <v>1</v>
      </c>
    </row>
    <row r="44" spans="1:10" x14ac:dyDescent="0.25">
      <c r="A44">
        <v>20018</v>
      </c>
      <c r="B44" t="s">
        <v>10</v>
      </c>
      <c r="C44" t="s">
        <v>5477</v>
      </c>
      <c r="D44" t="s">
        <v>7779</v>
      </c>
      <c r="E44" t="s">
        <v>5478</v>
      </c>
      <c r="F44" t="s">
        <v>7777</v>
      </c>
      <c r="G44" t="s">
        <v>7913</v>
      </c>
      <c r="H44">
        <v>1</v>
      </c>
    </row>
    <row r="45" spans="1:10" x14ac:dyDescent="0.25">
      <c r="A45">
        <v>20019</v>
      </c>
      <c r="B45" t="s">
        <v>10</v>
      </c>
      <c r="C45" t="s">
        <v>5479</v>
      </c>
      <c r="D45" t="s">
        <v>7775</v>
      </c>
      <c r="E45" t="s">
        <v>5480</v>
      </c>
      <c r="F45" t="s">
        <v>7777</v>
      </c>
      <c r="G45" t="s">
        <v>7914</v>
      </c>
      <c r="H45">
        <v>1</v>
      </c>
    </row>
    <row r="46" spans="1:10" x14ac:dyDescent="0.25">
      <c r="A46">
        <v>20021</v>
      </c>
      <c r="B46" t="s">
        <v>10</v>
      </c>
      <c r="C46" t="s">
        <v>5481</v>
      </c>
      <c r="D46" t="s">
        <v>7762</v>
      </c>
      <c r="E46" t="s">
        <v>5482</v>
      </c>
      <c r="F46" t="s">
        <v>7777</v>
      </c>
      <c r="G46" t="s">
        <v>7915</v>
      </c>
      <c r="H46">
        <v>1</v>
      </c>
    </row>
    <row r="47" spans="1:10" x14ac:dyDescent="0.25">
      <c r="A47">
        <v>20026</v>
      </c>
      <c r="B47" t="s">
        <v>10</v>
      </c>
      <c r="C47" t="s">
        <v>5483</v>
      </c>
      <c r="D47" t="s">
        <v>7780</v>
      </c>
      <c r="E47" t="s">
        <v>5484</v>
      </c>
      <c r="F47" t="s">
        <v>7777</v>
      </c>
      <c r="G47" t="s">
        <v>7916</v>
      </c>
      <c r="H47">
        <v>1</v>
      </c>
    </row>
    <row r="48" spans="1:10" x14ac:dyDescent="0.25">
      <c r="A48">
        <v>20030</v>
      </c>
      <c r="B48" t="s">
        <v>10</v>
      </c>
      <c r="C48" t="s">
        <v>5485</v>
      </c>
      <c r="D48" t="s">
        <v>7763</v>
      </c>
      <c r="E48" t="s">
        <v>5486</v>
      </c>
      <c r="F48" t="s">
        <v>7777</v>
      </c>
      <c r="G48" t="s">
        <v>7917</v>
      </c>
      <c r="H48">
        <v>1</v>
      </c>
    </row>
    <row r="49" spans="1:10" x14ac:dyDescent="0.25">
      <c r="A49">
        <v>20032</v>
      </c>
      <c r="B49" t="s">
        <v>10</v>
      </c>
      <c r="C49" t="s">
        <v>5487</v>
      </c>
      <c r="D49" t="s">
        <v>7781</v>
      </c>
      <c r="E49" t="s">
        <v>5488</v>
      </c>
      <c r="F49" t="s">
        <v>7777</v>
      </c>
      <c r="G49" t="s">
        <v>7918</v>
      </c>
      <c r="H49">
        <v>1</v>
      </c>
    </row>
    <row r="50" spans="1:10" x14ac:dyDescent="0.25">
      <c r="A50">
        <v>20035</v>
      </c>
      <c r="B50" t="s">
        <v>10</v>
      </c>
      <c r="C50" t="s">
        <v>5489</v>
      </c>
      <c r="D50" t="s">
        <v>7782</v>
      </c>
      <c r="E50" t="s">
        <v>5490</v>
      </c>
      <c r="F50" t="s">
        <v>7777</v>
      </c>
      <c r="G50" t="s">
        <v>7919</v>
      </c>
      <c r="H50">
        <v>1</v>
      </c>
    </row>
    <row r="51" spans="1:10" x14ac:dyDescent="0.25">
      <c r="A51">
        <v>20037</v>
      </c>
      <c r="B51" t="s">
        <v>10</v>
      </c>
      <c r="C51" t="s">
        <v>5491</v>
      </c>
      <c r="D51" t="s">
        <v>7764</v>
      </c>
      <c r="E51" t="s">
        <v>5492</v>
      </c>
      <c r="F51" t="s">
        <v>7777</v>
      </c>
      <c r="G51" t="s">
        <v>7920</v>
      </c>
      <c r="H51">
        <v>1</v>
      </c>
    </row>
    <row r="52" spans="1:10" x14ac:dyDescent="0.25">
      <c r="A52">
        <v>20039</v>
      </c>
      <c r="B52" t="s">
        <v>10</v>
      </c>
      <c r="C52" t="s">
        <v>5493</v>
      </c>
      <c r="D52" t="s">
        <v>7783</v>
      </c>
      <c r="E52" t="s">
        <v>5494</v>
      </c>
      <c r="F52" t="s">
        <v>7777</v>
      </c>
      <c r="G52" t="s">
        <v>7921</v>
      </c>
      <c r="H52">
        <v>1</v>
      </c>
    </row>
    <row r="53" spans="1:10" x14ac:dyDescent="0.25">
      <c r="A53">
        <v>20043</v>
      </c>
      <c r="B53" t="s">
        <v>10</v>
      </c>
      <c r="C53" t="s">
        <v>5495</v>
      </c>
      <c r="D53" t="s">
        <v>7784</v>
      </c>
      <c r="E53" t="s">
        <v>5496</v>
      </c>
      <c r="F53" t="s">
        <v>7777</v>
      </c>
      <c r="G53" t="s">
        <v>7922</v>
      </c>
      <c r="H53">
        <v>1</v>
      </c>
    </row>
    <row r="54" spans="1:10" x14ac:dyDescent="0.25">
      <c r="A54">
        <v>20045</v>
      </c>
      <c r="B54" t="s">
        <v>10</v>
      </c>
      <c r="C54" t="s">
        <v>5497</v>
      </c>
      <c r="D54" t="s">
        <v>7785</v>
      </c>
      <c r="E54" t="s">
        <v>5498</v>
      </c>
      <c r="F54" t="s">
        <v>7777</v>
      </c>
      <c r="G54" t="s">
        <v>7923</v>
      </c>
      <c r="H54">
        <v>1</v>
      </c>
    </row>
    <row r="55" spans="1:10" x14ac:dyDescent="0.25">
      <c r="A55">
        <v>20048</v>
      </c>
      <c r="B55" t="s">
        <v>10</v>
      </c>
      <c r="C55" t="s">
        <v>5499</v>
      </c>
      <c r="D55" t="s">
        <v>7769</v>
      </c>
      <c r="E55" t="s">
        <v>5500</v>
      </c>
      <c r="F55" t="s">
        <v>7777</v>
      </c>
      <c r="G55" t="s">
        <v>7924</v>
      </c>
      <c r="H55">
        <v>1</v>
      </c>
    </row>
    <row r="56" spans="1:10" x14ac:dyDescent="0.25">
      <c r="A56">
        <v>20050</v>
      </c>
      <c r="B56" t="s">
        <v>10</v>
      </c>
      <c r="C56" t="s">
        <v>5501</v>
      </c>
      <c r="D56" t="s">
        <v>7786</v>
      </c>
      <c r="E56" t="s">
        <v>5502</v>
      </c>
      <c r="F56" t="s">
        <v>7777</v>
      </c>
      <c r="G56" t="s">
        <v>7925</v>
      </c>
      <c r="H56">
        <v>1</v>
      </c>
    </row>
    <row r="57" spans="1:10" x14ac:dyDescent="0.25">
      <c r="A57">
        <v>20053</v>
      </c>
      <c r="B57" t="s">
        <v>10</v>
      </c>
      <c r="C57" t="s">
        <v>5503</v>
      </c>
      <c r="D57" t="s">
        <v>7787</v>
      </c>
      <c r="E57" t="s">
        <v>5504</v>
      </c>
      <c r="F57" t="s">
        <v>7777</v>
      </c>
      <c r="G57" t="s">
        <v>7926</v>
      </c>
      <c r="H57">
        <v>1</v>
      </c>
    </row>
    <row r="58" spans="1:10" x14ac:dyDescent="0.25">
      <c r="A58">
        <v>20055</v>
      </c>
      <c r="B58" t="s">
        <v>10</v>
      </c>
      <c r="C58" t="s">
        <v>5505</v>
      </c>
      <c r="D58" t="s">
        <v>7788</v>
      </c>
      <c r="E58" t="s">
        <v>5506</v>
      </c>
      <c r="F58" t="s">
        <v>7777</v>
      </c>
      <c r="G58" t="s">
        <v>7927</v>
      </c>
      <c r="H58">
        <v>1</v>
      </c>
    </row>
    <row r="59" spans="1:10" x14ac:dyDescent="0.25">
      <c r="A59">
        <v>20057</v>
      </c>
      <c r="B59" t="s">
        <v>10</v>
      </c>
      <c r="C59" t="s">
        <v>5507</v>
      </c>
      <c r="D59" t="s">
        <v>7789</v>
      </c>
      <c r="E59" t="s">
        <v>5508</v>
      </c>
      <c r="F59" t="s">
        <v>7777</v>
      </c>
      <c r="G59" t="s">
        <v>7928</v>
      </c>
      <c r="H59">
        <v>1</v>
      </c>
    </row>
    <row r="60" spans="1:10" x14ac:dyDescent="0.25">
      <c r="A60">
        <v>20164</v>
      </c>
      <c r="B60" t="s">
        <v>7</v>
      </c>
      <c r="C60" t="s">
        <v>5659</v>
      </c>
      <c r="D60" t="s">
        <v>6906</v>
      </c>
      <c r="E60" t="s">
        <v>5660</v>
      </c>
      <c r="F60" t="s">
        <v>7790</v>
      </c>
      <c r="H60">
        <v>8</v>
      </c>
      <c r="J60">
        <v>2</v>
      </c>
    </row>
    <row r="61" spans="1:10" x14ac:dyDescent="0.25">
      <c r="A61">
        <v>20165</v>
      </c>
      <c r="B61" t="s">
        <v>10</v>
      </c>
      <c r="C61" t="s">
        <v>5661</v>
      </c>
      <c r="D61" t="s">
        <v>7778</v>
      </c>
      <c r="E61" t="s">
        <v>5662</v>
      </c>
      <c r="F61" t="s">
        <v>7790</v>
      </c>
      <c r="G61" t="s">
        <v>7929</v>
      </c>
      <c r="H61">
        <v>1</v>
      </c>
    </row>
    <row r="62" spans="1:10" x14ac:dyDescent="0.25">
      <c r="A62">
        <v>20166</v>
      </c>
      <c r="B62" t="s">
        <v>10</v>
      </c>
      <c r="C62" t="s">
        <v>5663</v>
      </c>
      <c r="D62" t="s">
        <v>7775</v>
      </c>
      <c r="E62" t="s">
        <v>5664</v>
      </c>
      <c r="F62" t="s">
        <v>7790</v>
      </c>
      <c r="G62" t="s">
        <v>7930</v>
      </c>
      <c r="H62">
        <v>1</v>
      </c>
    </row>
    <row r="63" spans="1:10" x14ac:dyDescent="0.25">
      <c r="A63">
        <v>20167</v>
      </c>
      <c r="B63" t="s">
        <v>10</v>
      </c>
      <c r="C63" t="s">
        <v>5665</v>
      </c>
      <c r="D63" t="s">
        <v>7762</v>
      </c>
      <c r="E63" t="s">
        <v>5666</v>
      </c>
      <c r="F63" t="s">
        <v>7790</v>
      </c>
      <c r="G63" t="s">
        <v>7931</v>
      </c>
      <c r="H63">
        <v>1</v>
      </c>
    </row>
    <row r="64" spans="1:10" x14ac:dyDescent="0.25">
      <c r="A64">
        <v>20168</v>
      </c>
      <c r="B64" t="s">
        <v>10</v>
      </c>
      <c r="C64" t="s">
        <v>5667</v>
      </c>
      <c r="D64" t="s">
        <v>7763</v>
      </c>
      <c r="E64" t="s">
        <v>5668</v>
      </c>
      <c r="F64" t="s">
        <v>7790</v>
      </c>
      <c r="G64" t="s">
        <v>7932</v>
      </c>
      <c r="H64">
        <v>1</v>
      </c>
    </row>
    <row r="65" spans="1:10" x14ac:dyDescent="0.25">
      <c r="A65">
        <v>20169</v>
      </c>
      <c r="B65" t="s">
        <v>10</v>
      </c>
      <c r="C65" t="s">
        <v>5669</v>
      </c>
      <c r="D65" t="s">
        <v>7782</v>
      </c>
      <c r="E65" t="s">
        <v>5670</v>
      </c>
      <c r="F65" t="s">
        <v>7790</v>
      </c>
      <c r="G65" t="s">
        <v>7933</v>
      </c>
      <c r="H65">
        <v>1</v>
      </c>
    </row>
    <row r="66" spans="1:10" x14ac:dyDescent="0.25">
      <c r="A66">
        <v>20170</v>
      </c>
      <c r="B66" t="s">
        <v>10</v>
      </c>
      <c r="C66" t="s">
        <v>5671</v>
      </c>
      <c r="D66" t="s">
        <v>7764</v>
      </c>
      <c r="E66" t="s">
        <v>5672</v>
      </c>
      <c r="F66" t="s">
        <v>7790</v>
      </c>
      <c r="G66" t="s">
        <v>7934</v>
      </c>
      <c r="H66">
        <v>1</v>
      </c>
    </row>
    <row r="67" spans="1:10" x14ac:dyDescent="0.25">
      <c r="A67">
        <v>20171</v>
      </c>
      <c r="B67" t="s">
        <v>10</v>
      </c>
      <c r="C67" t="s">
        <v>5673</v>
      </c>
      <c r="D67" t="s">
        <v>7783</v>
      </c>
      <c r="E67" t="s">
        <v>5674</v>
      </c>
      <c r="F67" t="s">
        <v>7790</v>
      </c>
      <c r="G67" t="s">
        <v>7935</v>
      </c>
      <c r="H67">
        <v>1</v>
      </c>
    </row>
    <row r="68" spans="1:10" x14ac:dyDescent="0.25">
      <c r="A68">
        <v>20172</v>
      </c>
      <c r="B68" t="s">
        <v>10</v>
      </c>
      <c r="C68" t="s">
        <v>5675</v>
      </c>
      <c r="D68" t="s">
        <v>7784</v>
      </c>
      <c r="E68" t="s">
        <v>5676</v>
      </c>
      <c r="F68" t="s">
        <v>7790</v>
      </c>
      <c r="G68" t="s">
        <v>7936</v>
      </c>
      <c r="H68">
        <v>1</v>
      </c>
    </row>
    <row r="69" spans="1:10" x14ac:dyDescent="0.25">
      <c r="A69">
        <v>20198</v>
      </c>
      <c r="B69" t="s">
        <v>7</v>
      </c>
      <c r="C69" t="s">
        <v>5699</v>
      </c>
      <c r="D69" t="s">
        <v>6906</v>
      </c>
      <c r="E69" t="s">
        <v>5700</v>
      </c>
      <c r="F69" t="s">
        <v>7791</v>
      </c>
      <c r="H69">
        <v>3</v>
      </c>
      <c r="J69">
        <v>2</v>
      </c>
    </row>
    <row r="70" spans="1:10" x14ac:dyDescent="0.25">
      <c r="A70">
        <v>20199</v>
      </c>
      <c r="B70" t="s">
        <v>10</v>
      </c>
      <c r="C70" t="s">
        <v>5701</v>
      </c>
      <c r="D70" t="s">
        <v>7775</v>
      </c>
      <c r="E70" t="s">
        <v>5702</v>
      </c>
      <c r="F70" t="s">
        <v>7791</v>
      </c>
      <c r="G70" t="s">
        <v>7937</v>
      </c>
      <c r="H70">
        <v>1</v>
      </c>
    </row>
    <row r="71" spans="1:10" x14ac:dyDescent="0.25">
      <c r="A71">
        <v>20203</v>
      </c>
      <c r="B71" t="s">
        <v>10</v>
      </c>
      <c r="C71" t="s">
        <v>5703</v>
      </c>
      <c r="D71" t="s">
        <v>7764</v>
      </c>
      <c r="E71" t="s">
        <v>5704</v>
      </c>
      <c r="F71" t="s">
        <v>7791</v>
      </c>
      <c r="G71" t="s">
        <v>7938</v>
      </c>
      <c r="H71">
        <v>1</v>
      </c>
    </row>
    <row r="72" spans="1:10" x14ac:dyDescent="0.25">
      <c r="A72">
        <v>20207</v>
      </c>
      <c r="B72" t="s">
        <v>10</v>
      </c>
      <c r="C72" t="s">
        <v>5705</v>
      </c>
      <c r="D72" t="s">
        <v>7763</v>
      </c>
      <c r="E72" t="s">
        <v>5706</v>
      </c>
      <c r="F72" t="s">
        <v>7791</v>
      </c>
      <c r="G72" t="s">
        <v>7939</v>
      </c>
      <c r="H72">
        <v>1</v>
      </c>
    </row>
    <row r="73" spans="1:10" x14ac:dyDescent="0.25">
      <c r="A73">
        <v>20232</v>
      </c>
      <c r="B73" t="s">
        <v>7</v>
      </c>
      <c r="C73" t="s">
        <v>5719</v>
      </c>
      <c r="D73" t="s">
        <v>6906</v>
      </c>
      <c r="E73" t="s">
        <v>5720</v>
      </c>
      <c r="F73" t="s">
        <v>7792</v>
      </c>
      <c r="H73">
        <v>11</v>
      </c>
      <c r="J73">
        <v>2</v>
      </c>
    </row>
    <row r="74" spans="1:10" x14ac:dyDescent="0.25">
      <c r="A74">
        <v>20233</v>
      </c>
      <c r="B74" t="s">
        <v>10</v>
      </c>
      <c r="C74" t="s">
        <v>5721</v>
      </c>
      <c r="D74" t="s">
        <v>7775</v>
      </c>
      <c r="E74" t="s">
        <v>5722</v>
      </c>
      <c r="F74" t="s">
        <v>7792</v>
      </c>
      <c r="G74" t="s">
        <v>7940</v>
      </c>
      <c r="H74">
        <v>1</v>
      </c>
    </row>
    <row r="75" spans="1:10" x14ac:dyDescent="0.25">
      <c r="A75">
        <v>20237</v>
      </c>
      <c r="B75" t="s">
        <v>10</v>
      </c>
      <c r="C75" t="s">
        <v>5723</v>
      </c>
      <c r="D75" t="s">
        <v>7780</v>
      </c>
      <c r="E75" t="s">
        <v>5724</v>
      </c>
      <c r="F75" t="s">
        <v>7792</v>
      </c>
      <c r="G75" t="s">
        <v>7941</v>
      </c>
      <c r="H75">
        <v>1</v>
      </c>
    </row>
    <row r="76" spans="1:10" x14ac:dyDescent="0.25">
      <c r="A76">
        <v>20239</v>
      </c>
      <c r="B76" t="s">
        <v>10</v>
      </c>
      <c r="C76" t="s">
        <v>5725</v>
      </c>
      <c r="D76" t="s">
        <v>7763</v>
      </c>
      <c r="E76" t="s">
        <v>5726</v>
      </c>
      <c r="F76" t="s">
        <v>7792</v>
      </c>
      <c r="G76" t="s">
        <v>7942</v>
      </c>
      <c r="H76">
        <v>1</v>
      </c>
    </row>
    <row r="77" spans="1:10" x14ac:dyDescent="0.25">
      <c r="A77">
        <v>20241</v>
      </c>
      <c r="B77" t="s">
        <v>10</v>
      </c>
      <c r="C77" t="s">
        <v>5727</v>
      </c>
      <c r="D77" t="s">
        <v>7781</v>
      </c>
      <c r="E77" t="s">
        <v>5728</v>
      </c>
      <c r="F77" t="s">
        <v>7792</v>
      </c>
      <c r="G77" t="s">
        <v>7943</v>
      </c>
      <c r="H77">
        <v>1</v>
      </c>
    </row>
    <row r="78" spans="1:10" x14ac:dyDescent="0.25">
      <c r="A78">
        <v>20243</v>
      </c>
      <c r="B78" t="s">
        <v>10</v>
      </c>
      <c r="C78" t="s">
        <v>5729</v>
      </c>
      <c r="D78" t="s">
        <v>7782</v>
      </c>
      <c r="E78" t="s">
        <v>5730</v>
      </c>
      <c r="F78" t="s">
        <v>7792</v>
      </c>
      <c r="G78" t="s">
        <v>7944</v>
      </c>
      <c r="H78">
        <v>1</v>
      </c>
    </row>
    <row r="79" spans="1:10" x14ac:dyDescent="0.25">
      <c r="A79">
        <v>20245</v>
      </c>
      <c r="B79" t="s">
        <v>10</v>
      </c>
      <c r="C79" t="s">
        <v>5731</v>
      </c>
      <c r="D79" t="s">
        <v>7764</v>
      </c>
      <c r="E79" t="s">
        <v>5732</v>
      </c>
      <c r="F79" t="s">
        <v>7792</v>
      </c>
      <c r="G79" t="s">
        <v>7945</v>
      </c>
      <c r="H79">
        <v>1</v>
      </c>
    </row>
    <row r="80" spans="1:10" x14ac:dyDescent="0.25">
      <c r="A80">
        <v>20247</v>
      </c>
      <c r="B80" t="s">
        <v>10</v>
      </c>
      <c r="C80" t="s">
        <v>5733</v>
      </c>
      <c r="D80" t="s">
        <v>7783</v>
      </c>
      <c r="E80" t="s">
        <v>5734</v>
      </c>
      <c r="F80" t="s">
        <v>7792</v>
      </c>
      <c r="G80" t="s">
        <v>7946</v>
      </c>
      <c r="H80">
        <v>1</v>
      </c>
    </row>
    <row r="81" spans="1:10" x14ac:dyDescent="0.25">
      <c r="A81">
        <v>20249</v>
      </c>
      <c r="B81" t="s">
        <v>10</v>
      </c>
      <c r="C81" t="s">
        <v>5735</v>
      </c>
      <c r="D81" t="s">
        <v>7784</v>
      </c>
      <c r="E81" t="s">
        <v>5736</v>
      </c>
      <c r="F81" t="s">
        <v>7792</v>
      </c>
      <c r="G81" t="s">
        <v>7947</v>
      </c>
      <c r="H81">
        <v>1</v>
      </c>
    </row>
    <row r="82" spans="1:10" x14ac:dyDescent="0.25">
      <c r="A82">
        <v>20251</v>
      </c>
      <c r="B82" t="s">
        <v>10</v>
      </c>
      <c r="C82" t="s">
        <v>5737</v>
      </c>
      <c r="D82" t="s">
        <v>7787</v>
      </c>
      <c r="E82" t="s">
        <v>5738</v>
      </c>
      <c r="F82" t="s">
        <v>7792</v>
      </c>
      <c r="G82" t="s">
        <v>7948</v>
      </c>
      <c r="H82">
        <v>1</v>
      </c>
    </row>
    <row r="83" spans="1:10" x14ac:dyDescent="0.25">
      <c r="A83">
        <v>20253</v>
      </c>
      <c r="B83" t="s">
        <v>10</v>
      </c>
      <c r="C83" t="s">
        <v>5739</v>
      </c>
      <c r="D83" t="s">
        <v>7788</v>
      </c>
      <c r="E83" t="s">
        <v>5740</v>
      </c>
      <c r="F83" t="s">
        <v>7792</v>
      </c>
      <c r="G83" t="s">
        <v>7949</v>
      </c>
      <c r="H83">
        <v>1</v>
      </c>
    </row>
    <row r="84" spans="1:10" x14ac:dyDescent="0.25">
      <c r="A84">
        <v>20254</v>
      </c>
      <c r="B84" t="s">
        <v>10</v>
      </c>
      <c r="C84" t="s">
        <v>5741</v>
      </c>
      <c r="D84" t="s">
        <v>7789</v>
      </c>
      <c r="E84" t="s">
        <v>5742</v>
      </c>
      <c r="F84" t="s">
        <v>7792</v>
      </c>
      <c r="G84" t="s">
        <v>7950</v>
      </c>
      <c r="H84">
        <v>1</v>
      </c>
    </row>
    <row r="85" spans="1:10" x14ac:dyDescent="0.25">
      <c r="A85">
        <v>20255</v>
      </c>
      <c r="B85" t="s">
        <v>7</v>
      </c>
      <c r="C85" t="s">
        <v>5743</v>
      </c>
      <c r="D85" t="s">
        <v>6906</v>
      </c>
      <c r="E85" t="s">
        <v>5744</v>
      </c>
      <c r="F85" t="s">
        <v>7793</v>
      </c>
      <c r="H85">
        <v>10</v>
      </c>
      <c r="J85">
        <v>2</v>
      </c>
    </row>
    <row r="86" spans="1:10" x14ac:dyDescent="0.25">
      <c r="A86">
        <v>20256</v>
      </c>
      <c r="B86" t="s">
        <v>10</v>
      </c>
      <c r="C86" t="s">
        <v>5745</v>
      </c>
      <c r="D86" t="s">
        <v>7778</v>
      </c>
      <c r="E86" t="s">
        <v>5746</v>
      </c>
      <c r="F86" t="s">
        <v>7793</v>
      </c>
      <c r="G86" t="s">
        <v>7951</v>
      </c>
      <c r="H86">
        <v>1</v>
      </c>
    </row>
    <row r="87" spans="1:10" x14ac:dyDescent="0.25">
      <c r="A87">
        <v>20258</v>
      </c>
      <c r="B87" t="s">
        <v>10</v>
      </c>
      <c r="C87" t="s">
        <v>5747</v>
      </c>
      <c r="D87" t="s">
        <v>7775</v>
      </c>
      <c r="E87" t="s">
        <v>5748</v>
      </c>
      <c r="F87" t="s">
        <v>7793</v>
      </c>
      <c r="G87" t="s">
        <v>7952</v>
      </c>
      <c r="H87">
        <v>1</v>
      </c>
    </row>
    <row r="88" spans="1:10" x14ac:dyDescent="0.25">
      <c r="A88">
        <v>20263</v>
      </c>
      <c r="B88" t="s">
        <v>10</v>
      </c>
      <c r="C88" t="s">
        <v>5749</v>
      </c>
      <c r="D88" t="s">
        <v>7762</v>
      </c>
      <c r="E88" t="s">
        <v>5750</v>
      </c>
      <c r="F88" t="s">
        <v>7793</v>
      </c>
      <c r="G88" t="s">
        <v>7953</v>
      </c>
      <c r="H88">
        <v>1</v>
      </c>
    </row>
    <row r="89" spans="1:10" x14ac:dyDescent="0.25">
      <c r="A89">
        <v>20265</v>
      </c>
      <c r="B89" t="s">
        <v>10</v>
      </c>
      <c r="C89" t="s">
        <v>5751</v>
      </c>
      <c r="D89" t="s">
        <v>7780</v>
      </c>
      <c r="E89" t="s">
        <v>5752</v>
      </c>
      <c r="F89" t="s">
        <v>7793</v>
      </c>
      <c r="G89" t="s">
        <v>7954</v>
      </c>
      <c r="H89">
        <v>1</v>
      </c>
    </row>
    <row r="90" spans="1:10" x14ac:dyDescent="0.25">
      <c r="A90">
        <v>20267</v>
      </c>
      <c r="B90" t="s">
        <v>10</v>
      </c>
      <c r="C90" t="s">
        <v>5753</v>
      </c>
      <c r="D90" t="s">
        <v>7763</v>
      </c>
      <c r="E90" t="s">
        <v>5754</v>
      </c>
      <c r="F90" t="s">
        <v>7793</v>
      </c>
      <c r="G90" t="s">
        <v>7955</v>
      </c>
      <c r="H90">
        <v>1</v>
      </c>
    </row>
    <row r="91" spans="1:10" x14ac:dyDescent="0.25">
      <c r="A91">
        <v>20272</v>
      </c>
      <c r="B91" t="s">
        <v>10</v>
      </c>
      <c r="C91" t="s">
        <v>5755</v>
      </c>
      <c r="D91" t="s">
        <v>7781</v>
      </c>
      <c r="E91" t="s">
        <v>5756</v>
      </c>
      <c r="F91" t="s">
        <v>7793</v>
      </c>
      <c r="G91" t="s">
        <v>7956</v>
      </c>
      <c r="H91">
        <v>1</v>
      </c>
    </row>
    <row r="92" spans="1:10" x14ac:dyDescent="0.25">
      <c r="A92">
        <v>20277</v>
      </c>
      <c r="B92" t="s">
        <v>10</v>
      </c>
      <c r="C92" t="s">
        <v>5757</v>
      </c>
      <c r="D92" t="s">
        <v>7782</v>
      </c>
      <c r="E92" t="s">
        <v>5758</v>
      </c>
      <c r="F92" t="s">
        <v>7793</v>
      </c>
      <c r="G92" t="s">
        <v>7957</v>
      </c>
      <c r="H92">
        <v>1</v>
      </c>
    </row>
    <row r="93" spans="1:10" x14ac:dyDescent="0.25">
      <c r="A93">
        <v>20282</v>
      </c>
      <c r="B93" t="s">
        <v>10</v>
      </c>
      <c r="C93" t="s">
        <v>5759</v>
      </c>
      <c r="D93" t="s">
        <v>7764</v>
      </c>
      <c r="E93" t="s">
        <v>5760</v>
      </c>
      <c r="F93" t="s">
        <v>7793</v>
      </c>
      <c r="G93" t="s">
        <v>7958</v>
      </c>
      <c r="H93">
        <v>1</v>
      </c>
    </row>
    <row r="94" spans="1:10" x14ac:dyDescent="0.25">
      <c r="A94">
        <v>20287</v>
      </c>
      <c r="B94" t="s">
        <v>10</v>
      </c>
      <c r="C94" t="s">
        <v>5761</v>
      </c>
      <c r="D94" t="s">
        <v>7783</v>
      </c>
      <c r="E94" t="s">
        <v>5762</v>
      </c>
      <c r="F94" t="s">
        <v>7793</v>
      </c>
      <c r="G94" t="s">
        <v>7959</v>
      </c>
      <c r="H94">
        <v>1</v>
      </c>
    </row>
    <row r="95" spans="1:10" x14ac:dyDescent="0.25">
      <c r="A95">
        <v>20289</v>
      </c>
      <c r="B95" t="s">
        <v>10</v>
      </c>
      <c r="C95" t="s">
        <v>5763</v>
      </c>
      <c r="D95" t="s">
        <v>7784</v>
      </c>
      <c r="E95" t="s">
        <v>5764</v>
      </c>
      <c r="F95" t="s">
        <v>7793</v>
      </c>
      <c r="G95" t="s">
        <v>7960</v>
      </c>
      <c r="H95">
        <v>1</v>
      </c>
    </row>
    <row r="96" spans="1:10" x14ac:dyDescent="0.25">
      <c r="A96">
        <v>20291</v>
      </c>
      <c r="B96" t="s">
        <v>7</v>
      </c>
      <c r="C96" t="s">
        <v>5765</v>
      </c>
      <c r="D96" t="s">
        <v>6906</v>
      </c>
      <c r="E96" t="s">
        <v>5766</v>
      </c>
      <c r="F96" t="s">
        <v>7794</v>
      </c>
      <c r="H96">
        <v>14</v>
      </c>
      <c r="J96">
        <v>2</v>
      </c>
    </row>
    <row r="97" spans="1:10" x14ac:dyDescent="0.25">
      <c r="A97">
        <v>20292</v>
      </c>
      <c r="B97" t="s">
        <v>10</v>
      </c>
      <c r="C97" t="s">
        <v>5767</v>
      </c>
      <c r="D97" t="s">
        <v>7778</v>
      </c>
      <c r="E97" t="s">
        <v>5768</v>
      </c>
      <c r="F97" t="s">
        <v>7794</v>
      </c>
      <c r="G97" t="s">
        <v>7961</v>
      </c>
      <c r="H97">
        <v>1</v>
      </c>
    </row>
    <row r="98" spans="1:10" x14ac:dyDescent="0.25">
      <c r="A98">
        <v>20297</v>
      </c>
      <c r="B98" t="s">
        <v>10</v>
      </c>
      <c r="C98" t="s">
        <v>5769</v>
      </c>
      <c r="D98" t="s">
        <v>7779</v>
      </c>
      <c r="E98" t="s">
        <v>5770</v>
      </c>
      <c r="F98" t="s">
        <v>7794</v>
      </c>
      <c r="G98" t="s">
        <v>7962</v>
      </c>
      <c r="H98">
        <v>1</v>
      </c>
    </row>
    <row r="99" spans="1:10" x14ac:dyDescent="0.25">
      <c r="A99">
        <v>20298</v>
      </c>
      <c r="B99" t="s">
        <v>10</v>
      </c>
      <c r="C99" t="s">
        <v>5771</v>
      </c>
      <c r="D99" t="s">
        <v>7775</v>
      </c>
      <c r="E99" t="s">
        <v>5772</v>
      </c>
      <c r="F99" t="s">
        <v>7794</v>
      </c>
      <c r="G99" t="s">
        <v>7963</v>
      </c>
      <c r="H99">
        <v>1</v>
      </c>
    </row>
    <row r="100" spans="1:10" x14ac:dyDescent="0.25">
      <c r="A100">
        <v>20300</v>
      </c>
      <c r="B100" t="s">
        <v>10</v>
      </c>
      <c r="C100" t="s">
        <v>5773</v>
      </c>
      <c r="D100" t="s">
        <v>7762</v>
      </c>
      <c r="E100" t="s">
        <v>5774</v>
      </c>
      <c r="F100" t="s">
        <v>7794</v>
      </c>
      <c r="G100" t="s">
        <v>7964</v>
      </c>
      <c r="H100">
        <v>1</v>
      </c>
    </row>
    <row r="101" spans="1:10" x14ac:dyDescent="0.25">
      <c r="A101">
        <v>20303</v>
      </c>
      <c r="B101" t="s">
        <v>10</v>
      </c>
      <c r="C101" t="s">
        <v>5775</v>
      </c>
      <c r="D101" t="s">
        <v>7780</v>
      </c>
      <c r="E101" t="s">
        <v>5776</v>
      </c>
      <c r="F101" t="s">
        <v>7794</v>
      </c>
      <c r="G101" t="s">
        <v>7965</v>
      </c>
      <c r="H101">
        <v>1</v>
      </c>
    </row>
    <row r="102" spans="1:10" x14ac:dyDescent="0.25">
      <c r="A102">
        <v>20305</v>
      </c>
      <c r="B102" t="s">
        <v>10</v>
      </c>
      <c r="C102" t="s">
        <v>5777</v>
      </c>
      <c r="D102" t="s">
        <v>7763</v>
      </c>
      <c r="E102" t="s">
        <v>5778</v>
      </c>
      <c r="F102" t="s">
        <v>7794</v>
      </c>
      <c r="G102" t="s">
        <v>7966</v>
      </c>
      <c r="H102">
        <v>1</v>
      </c>
    </row>
    <row r="103" spans="1:10" x14ac:dyDescent="0.25">
      <c r="A103">
        <v>20307</v>
      </c>
      <c r="B103" t="s">
        <v>10</v>
      </c>
      <c r="C103" t="s">
        <v>5779</v>
      </c>
      <c r="D103" t="s">
        <v>7781</v>
      </c>
      <c r="E103" t="s">
        <v>5780</v>
      </c>
      <c r="F103" t="s">
        <v>7794</v>
      </c>
      <c r="G103" t="s">
        <v>7967</v>
      </c>
      <c r="H103">
        <v>1</v>
      </c>
    </row>
    <row r="104" spans="1:10" x14ac:dyDescent="0.25">
      <c r="A104">
        <v>20312</v>
      </c>
      <c r="B104" t="s">
        <v>10</v>
      </c>
      <c r="C104" t="s">
        <v>5781</v>
      </c>
      <c r="D104" t="s">
        <v>7782</v>
      </c>
      <c r="E104" t="s">
        <v>5782</v>
      </c>
      <c r="F104" t="s">
        <v>7794</v>
      </c>
      <c r="G104" t="s">
        <v>7968</v>
      </c>
      <c r="H104">
        <v>1</v>
      </c>
    </row>
    <row r="105" spans="1:10" x14ac:dyDescent="0.25">
      <c r="A105">
        <v>20314</v>
      </c>
      <c r="B105" t="s">
        <v>10</v>
      </c>
      <c r="C105" t="s">
        <v>5783</v>
      </c>
      <c r="D105" t="s">
        <v>7764</v>
      </c>
      <c r="E105" t="s">
        <v>5784</v>
      </c>
      <c r="F105" t="s">
        <v>7794</v>
      </c>
      <c r="G105" t="s">
        <v>7969</v>
      </c>
      <c r="H105">
        <v>1</v>
      </c>
    </row>
    <row r="106" spans="1:10" x14ac:dyDescent="0.25">
      <c r="A106">
        <v>20315</v>
      </c>
      <c r="B106" t="s">
        <v>10</v>
      </c>
      <c r="C106" t="s">
        <v>5785</v>
      </c>
      <c r="D106" t="s">
        <v>7783</v>
      </c>
      <c r="E106" t="s">
        <v>5786</v>
      </c>
      <c r="F106" t="s">
        <v>7794</v>
      </c>
      <c r="G106" t="s">
        <v>7970</v>
      </c>
      <c r="H106">
        <v>1</v>
      </c>
    </row>
    <row r="107" spans="1:10" x14ac:dyDescent="0.25">
      <c r="A107">
        <v>20316</v>
      </c>
      <c r="B107" t="s">
        <v>10</v>
      </c>
      <c r="C107" t="s">
        <v>5787</v>
      </c>
      <c r="D107" t="s">
        <v>7784</v>
      </c>
      <c r="E107" t="s">
        <v>5788</v>
      </c>
      <c r="F107" t="s">
        <v>7794</v>
      </c>
      <c r="G107" t="s">
        <v>7971</v>
      </c>
      <c r="H107">
        <v>1</v>
      </c>
    </row>
    <row r="108" spans="1:10" x14ac:dyDescent="0.25">
      <c r="A108">
        <v>20317</v>
      </c>
      <c r="B108" t="s">
        <v>10</v>
      </c>
      <c r="C108" t="s">
        <v>5789</v>
      </c>
      <c r="D108" t="s">
        <v>7785</v>
      </c>
      <c r="E108" t="s">
        <v>5790</v>
      </c>
      <c r="F108" t="s">
        <v>7794</v>
      </c>
      <c r="G108" t="s">
        <v>7972</v>
      </c>
      <c r="H108">
        <v>1</v>
      </c>
    </row>
    <row r="109" spans="1:10" x14ac:dyDescent="0.25">
      <c r="A109">
        <v>20318</v>
      </c>
      <c r="B109" t="s">
        <v>10</v>
      </c>
      <c r="C109" t="s">
        <v>5791</v>
      </c>
      <c r="D109" t="s">
        <v>7786</v>
      </c>
      <c r="E109" t="s">
        <v>5792</v>
      </c>
      <c r="F109" t="s">
        <v>7794</v>
      </c>
      <c r="G109" t="s">
        <v>7973</v>
      </c>
      <c r="H109">
        <v>1</v>
      </c>
    </row>
    <row r="110" spans="1:10" x14ac:dyDescent="0.25">
      <c r="A110">
        <v>20319</v>
      </c>
      <c r="B110" t="s">
        <v>10</v>
      </c>
      <c r="C110" t="s">
        <v>5793</v>
      </c>
      <c r="D110" t="s">
        <v>7787</v>
      </c>
      <c r="E110" t="s">
        <v>5794</v>
      </c>
      <c r="F110" t="s">
        <v>7794</v>
      </c>
      <c r="G110" t="s">
        <v>7974</v>
      </c>
      <c r="H110">
        <v>1</v>
      </c>
    </row>
    <row r="111" spans="1:10" x14ac:dyDescent="0.25">
      <c r="A111">
        <v>20320</v>
      </c>
      <c r="B111" t="s">
        <v>7</v>
      </c>
      <c r="C111" t="s">
        <v>5795</v>
      </c>
      <c r="D111" t="s">
        <v>6906</v>
      </c>
      <c r="E111" t="s">
        <v>5796</v>
      </c>
      <c r="F111" t="s">
        <v>7795</v>
      </c>
      <c r="H111">
        <v>6</v>
      </c>
      <c r="J111">
        <v>2</v>
      </c>
    </row>
    <row r="112" spans="1:10" x14ac:dyDescent="0.25">
      <c r="A112">
        <v>20321</v>
      </c>
      <c r="B112" t="s">
        <v>10</v>
      </c>
      <c r="C112" t="s">
        <v>5797</v>
      </c>
      <c r="D112" t="s">
        <v>7775</v>
      </c>
      <c r="E112" t="s">
        <v>5798</v>
      </c>
      <c r="F112" t="s">
        <v>7795</v>
      </c>
      <c r="G112" t="s">
        <v>7975</v>
      </c>
      <c r="H112">
        <v>1</v>
      </c>
    </row>
    <row r="113" spans="1:10" x14ac:dyDescent="0.25">
      <c r="A113">
        <v>20323</v>
      </c>
      <c r="B113" t="s">
        <v>10</v>
      </c>
      <c r="C113" t="s">
        <v>5799</v>
      </c>
      <c r="D113" t="s">
        <v>7780</v>
      </c>
      <c r="E113" t="s">
        <v>5800</v>
      </c>
      <c r="F113" t="s">
        <v>7795</v>
      </c>
      <c r="G113" t="s">
        <v>7976</v>
      </c>
      <c r="H113">
        <v>1</v>
      </c>
    </row>
    <row r="114" spans="1:10" x14ac:dyDescent="0.25">
      <c r="A114">
        <v>20324</v>
      </c>
      <c r="B114" t="s">
        <v>10</v>
      </c>
      <c r="C114" t="s">
        <v>5801</v>
      </c>
      <c r="D114" t="s">
        <v>7781</v>
      </c>
      <c r="E114" t="s">
        <v>5802</v>
      </c>
      <c r="F114" t="s">
        <v>7795</v>
      </c>
      <c r="G114" t="s">
        <v>7977</v>
      </c>
      <c r="H114">
        <v>1</v>
      </c>
    </row>
    <row r="115" spans="1:10" x14ac:dyDescent="0.25">
      <c r="A115">
        <v>20326</v>
      </c>
      <c r="B115" t="s">
        <v>10</v>
      </c>
      <c r="C115" t="s">
        <v>5803</v>
      </c>
      <c r="D115" t="s">
        <v>7782</v>
      </c>
      <c r="E115" t="s">
        <v>5804</v>
      </c>
      <c r="F115" t="s">
        <v>7795</v>
      </c>
      <c r="G115" t="s">
        <v>7978</v>
      </c>
      <c r="H115">
        <v>1</v>
      </c>
    </row>
    <row r="116" spans="1:10" x14ac:dyDescent="0.25">
      <c r="A116">
        <v>20328</v>
      </c>
      <c r="B116" t="s">
        <v>10</v>
      </c>
      <c r="C116" t="s">
        <v>5805</v>
      </c>
      <c r="D116" t="s">
        <v>7764</v>
      </c>
      <c r="E116" t="s">
        <v>5806</v>
      </c>
      <c r="F116" t="s">
        <v>7795</v>
      </c>
      <c r="G116" t="s">
        <v>7979</v>
      </c>
      <c r="H116">
        <v>1</v>
      </c>
    </row>
    <row r="117" spans="1:10" x14ac:dyDescent="0.25">
      <c r="A117">
        <v>20330</v>
      </c>
      <c r="B117" t="s">
        <v>10</v>
      </c>
      <c r="C117" t="s">
        <v>5807</v>
      </c>
      <c r="D117" t="s">
        <v>7784</v>
      </c>
      <c r="E117" t="s">
        <v>5808</v>
      </c>
      <c r="F117" t="s">
        <v>7795</v>
      </c>
      <c r="G117" t="s">
        <v>7980</v>
      </c>
      <c r="H117">
        <v>1</v>
      </c>
    </row>
    <row r="118" spans="1:10" x14ac:dyDescent="0.25">
      <c r="A118">
        <v>20332</v>
      </c>
      <c r="B118" t="s">
        <v>7</v>
      </c>
      <c r="C118" t="s">
        <v>5809</v>
      </c>
      <c r="D118" t="s">
        <v>6906</v>
      </c>
      <c r="E118" t="s">
        <v>5810</v>
      </c>
      <c r="F118" t="s">
        <v>7796</v>
      </c>
      <c r="H118">
        <v>9</v>
      </c>
      <c r="J118">
        <v>2</v>
      </c>
    </row>
    <row r="119" spans="1:10" x14ac:dyDescent="0.25">
      <c r="A119">
        <v>20333</v>
      </c>
      <c r="B119" t="s">
        <v>10</v>
      </c>
      <c r="C119" t="s">
        <v>5811</v>
      </c>
      <c r="D119" t="s">
        <v>7775</v>
      </c>
      <c r="E119" t="s">
        <v>5812</v>
      </c>
      <c r="F119" t="s">
        <v>7796</v>
      </c>
      <c r="G119" t="s">
        <v>7981</v>
      </c>
      <c r="H119">
        <v>1</v>
      </c>
    </row>
    <row r="120" spans="1:10" x14ac:dyDescent="0.25">
      <c r="A120">
        <v>20334</v>
      </c>
      <c r="B120" t="s">
        <v>10</v>
      </c>
      <c r="C120" t="s">
        <v>5813</v>
      </c>
      <c r="D120" t="s">
        <v>7762</v>
      </c>
      <c r="E120" t="s">
        <v>5814</v>
      </c>
      <c r="F120" t="s">
        <v>7796</v>
      </c>
      <c r="G120" t="s">
        <v>7982</v>
      </c>
      <c r="H120">
        <v>1</v>
      </c>
    </row>
    <row r="121" spans="1:10" x14ac:dyDescent="0.25">
      <c r="A121">
        <v>20335</v>
      </c>
      <c r="B121" t="s">
        <v>10</v>
      </c>
      <c r="C121" t="s">
        <v>5815</v>
      </c>
      <c r="D121" t="s">
        <v>7780</v>
      </c>
      <c r="E121" t="s">
        <v>5816</v>
      </c>
      <c r="F121" t="s">
        <v>7796</v>
      </c>
      <c r="G121" t="s">
        <v>7983</v>
      </c>
      <c r="H121">
        <v>1</v>
      </c>
    </row>
    <row r="122" spans="1:10" x14ac:dyDescent="0.25">
      <c r="A122">
        <v>20337</v>
      </c>
      <c r="B122" t="s">
        <v>10</v>
      </c>
      <c r="C122" t="s">
        <v>5817</v>
      </c>
      <c r="D122" t="s">
        <v>7763</v>
      </c>
      <c r="E122" t="s">
        <v>5818</v>
      </c>
      <c r="F122" t="s">
        <v>7796</v>
      </c>
      <c r="G122" t="s">
        <v>7984</v>
      </c>
      <c r="H122">
        <v>1</v>
      </c>
    </row>
    <row r="123" spans="1:10" x14ac:dyDescent="0.25">
      <c r="A123">
        <v>20339</v>
      </c>
      <c r="B123" t="s">
        <v>10</v>
      </c>
      <c r="C123" t="s">
        <v>5819</v>
      </c>
      <c r="D123" t="s">
        <v>7781</v>
      </c>
      <c r="E123" t="s">
        <v>5820</v>
      </c>
      <c r="F123" t="s">
        <v>7796</v>
      </c>
      <c r="G123" t="s">
        <v>7985</v>
      </c>
      <c r="H123">
        <v>1</v>
      </c>
    </row>
    <row r="124" spans="1:10" x14ac:dyDescent="0.25">
      <c r="A124">
        <v>20341</v>
      </c>
      <c r="B124" t="s">
        <v>10</v>
      </c>
      <c r="C124" t="s">
        <v>5821</v>
      </c>
      <c r="D124" t="s">
        <v>7782</v>
      </c>
      <c r="E124" t="s">
        <v>5822</v>
      </c>
      <c r="F124" t="s">
        <v>7796</v>
      </c>
      <c r="G124" t="s">
        <v>7986</v>
      </c>
      <c r="H124">
        <v>1</v>
      </c>
    </row>
    <row r="125" spans="1:10" x14ac:dyDescent="0.25">
      <c r="A125">
        <v>20342</v>
      </c>
      <c r="B125" t="s">
        <v>10</v>
      </c>
      <c r="C125" t="s">
        <v>5823</v>
      </c>
      <c r="D125" t="s">
        <v>7764</v>
      </c>
      <c r="E125" t="s">
        <v>5824</v>
      </c>
      <c r="F125" t="s">
        <v>7796</v>
      </c>
      <c r="G125" t="s">
        <v>7987</v>
      </c>
      <c r="H125">
        <v>1</v>
      </c>
    </row>
    <row r="126" spans="1:10" x14ac:dyDescent="0.25">
      <c r="A126">
        <v>20345</v>
      </c>
      <c r="B126" t="s">
        <v>10</v>
      </c>
      <c r="C126" t="s">
        <v>5825</v>
      </c>
      <c r="D126" t="s">
        <v>7783</v>
      </c>
      <c r="E126" t="s">
        <v>5826</v>
      </c>
      <c r="F126" t="s">
        <v>7796</v>
      </c>
      <c r="G126" t="s">
        <v>7988</v>
      </c>
      <c r="H126">
        <v>1</v>
      </c>
    </row>
    <row r="127" spans="1:10" x14ac:dyDescent="0.25">
      <c r="A127">
        <v>20347</v>
      </c>
      <c r="B127" t="s">
        <v>10</v>
      </c>
      <c r="C127" t="s">
        <v>5827</v>
      </c>
      <c r="D127" t="s">
        <v>7784</v>
      </c>
      <c r="E127" t="s">
        <v>5828</v>
      </c>
      <c r="F127" t="s">
        <v>7796</v>
      </c>
      <c r="G127" t="s">
        <v>7989</v>
      </c>
      <c r="H127">
        <v>1</v>
      </c>
    </row>
    <row r="128" spans="1:10" x14ac:dyDescent="0.25">
      <c r="A128">
        <v>20349</v>
      </c>
      <c r="B128" t="s">
        <v>7</v>
      </c>
      <c r="C128" t="s">
        <v>5829</v>
      </c>
      <c r="D128" t="s">
        <v>6906</v>
      </c>
      <c r="E128" t="s">
        <v>5830</v>
      </c>
      <c r="F128" t="s">
        <v>7797</v>
      </c>
      <c r="H128">
        <v>9</v>
      </c>
      <c r="J128">
        <v>2</v>
      </c>
    </row>
    <row r="129" spans="1:10" x14ac:dyDescent="0.25">
      <c r="A129">
        <v>20350</v>
      </c>
      <c r="B129" t="s">
        <v>10</v>
      </c>
      <c r="C129" t="s">
        <v>5831</v>
      </c>
      <c r="D129" t="s">
        <v>7775</v>
      </c>
      <c r="E129" t="s">
        <v>5832</v>
      </c>
      <c r="F129" t="s">
        <v>7797</v>
      </c>
      <c r="G129" t="s">
        <v>7990</v>
      </c>
      <c r="H129">
        <v>1</v>
      </c>
    </row>
    <row r="130" spans="1:10" x14ac:dyDescent="0.25">
      <c r="A130">
        <v>20351</v>
      </c>
      <c r="B130" t="s">
        <v>10</v>
      </c>
      <c r="C130" t="s">
        <v>5833</v>
      </c>
      <c r="D130" t="s">
        <v>7762</v>
      </c>
      <c r="E130" t="s">
        <v>5834</v>
      </c>
      <c r="F130" t="s">
        <v>7797</v>
      </c>
      <c r="G130" t="s">
        <v>7991</v>
      </c>
      <c r="H130">
        <v>1</v>
      </c>
    </row>
    <row r="131" spans="1:10" x14ac:dyDescent="0.25">
      <c r="A131">
        <v>20353</v>
      </c>
      <c r="B131" t="s">
        <v>10</v>
      </c>
      <c r="C131" t="s">
        <v>5835</v>
      </c>
      <c r="D131" t="s">
        <v>7780</v>
      </c>
      <c r="E131" t="s">
        <v>5836</v>
      </c>
      <c r="F131" t="s">
        <v>7797</v>
      </c>
      <c r="G131" t="s">
        <v>7992</v>
      </c>
      <c r="H131">
        <v>1</v>
      </c>
    </row>
    <row r="132" spans="1:10" x14ac:dyDescent="0.25">
      <c r="A132">
        <v>20354</v>
      </c>
      <c r="B132" t="s">
        <v>10</v>
      </c>
      <c r="C132" t="s">
        <v>5837</v>
      </c>
      <c r="D132" t="s">
        <v>7763</v>
      </c>
      <c r="E132" t="s">
        <v>5838</v>
      </c>
      <c r="F132" t="s">
        <v>7797</v>
      </c>
      <c r="G132" t="s">
        <v>7993</v>
      </c>
      <c r="H132">
        <v>1</v>
      </c>
    </row>
    <row r="133" spans="1:10" x14ac:dyDescent="0.25">
      <c r="A133">
        <v>20355</v>
      </c>
      <c r="B133" t="s">
        <v>10</v>
      </c>
      <c r="C133" t="s">
        <v>5839</v>
      </c>
      <c r="D133" t="s">
        <v>7781</v>
      </c>
      <c r="E133" t="s">
        <v>5840</v>
      </c>
      <c r="F133" t="s">
        <v>7797</v>
      </c>
      <c r="G133" t="s">
        <v>7994</v>
      </c>
      <c r="H133">
        <v>1</v>
      </c>
    </row>
    <row r="134" spans="1:10" x14ac:dyDescent="0.25">
      <c r="A134">
        <v>20356</v>
      </c>
      <c r="B134" t="s">
        <v>10</v>
      </c>
      <c r="C134" t="s">
        <v>5841</v>
      </c>
      <c r="D134" t="s">
        <v>7782</v>
      </c>
      <c r="E134" t="s">
        <v>5842</v>
      </c>
      <c r="F134" t="s">
        <v>7797</v>
      </c>
      <c r="G134" t="s">
        <v>7995</v>
      </c>
      <c r="H134">
        <v>1</v>
      </c>
    </row>
    <row r="135" spans="1:10" x14ac:dyDescent="0.25">
      <c r="A135">
        <v>20357</v>
      </c>
      <c r="B135" t="s">
        <v>10</v>
      </c>
      <c r="C135" t="s">
        <v>5843</v>
      </c>
      <c r="D135" t="s">
        <v>7764</v>
      </c>
      <c r="E135" t="s">
        <v>5844</v>
      </c>
      <c r="F135" t="s">
        <v>7797</v>
      </c>
      <c r="G135" t="s">
        <v>7996</v>
      </c>
      <c r="H135">
        <v>1</v>
      </c>
    </row>
    <row r="136" spans="1:10" x14ac:dyDescent="0.25">
      <c r="A136">
        <v>20358</v>
      </c>
      <c r="B136" t="s">
        <v>10</v>
      </c>
      <c r="C136" t="s">
        <v>5845</v>
      </c>
      <c r="D136" t="s">
        <v>7784</v>
      </c>
      <c r="E136" t="s">
        <v>5846</v>
      </c>
      <c r="F136" t="s">
        <v>7797</v>
      </c>
      <c r="G136" t="s">
        <v>7997</v>
      </c>
      <c r="H136">
        <v>1</v>
      </c>
    </row>
    <row r="137" spans="1:10" x14ac:dyDescent="0.25">
      <c r="A137">
        <v>20359</v>
      </c>
      <c r="B137" t="s">
        <v>10</v>
      </c>
      <c r="C137" t="s">
        <v>5847</v>
      </c>
      <c r="D137" t="s">
        <v>7783</v>
      </c>
      <c r="E137" t="s">
        <v>5848</v>
      </c>
      <c r="F137" t="s">
        <v>7797</v>
      </c>
      <c r="G137" t="s">
        <v>7998</v>
      </c>
      <c r="H137">
        <v>1</v>
      </c>
    </row>
    <row r="138" spans="1:10" x14ac:dyDescent="0.25">
      <c r="A138">
        <v>20360</v>
      </c>
      <c r="B138" t="s">
        <v>7</v>
      </c>
      <c r="C138" t="s">
        <v>5849</v>
      </c>
      <c r="D138" t="s">
        <v>6906</v>
      </c>
      <c r="E138" t="s">
        <v>5850</v>
      </c>
      <c r="F138" t="s">
        <v>7798</v>
      </c>
      <c r="H138">
        <v>9</v>
      </c>
      <c r="J138">
        <v>2</v>
      </c>
    </row>
    <row r="139" spans="1:10" x14ac:dyDescent="0.25">
      <c r="A139">
        <v>20361</v>
      </c>
      <c r="B139" t="s">
        <v>10</v>
      </c>
      <c r="C139" t="s">
        <v>5851</v>
      </c>
      <c r="D139" t="s">
        <v>7775</v>
      </c>
      <c r="E139" t="s">
        <v>5852</v>
      </c>
      <c r="F139" t="s">
        <v>7798</v>
      </c>
      <c r="G139" t="s">
        <v>7999</v>
      </c>
      <c r="H139">
        <v>1</v>
      </c>
    </row>
    <row r="140" spans="1:10" x14ac:dyDescent="0.25">
      <c r="A140">
        <v>20363</v>
      </c>
      <c r="B140" t="s">
        <v>10</v>
      </c>
      <c r="C140" t="s">
        <v>5853</v>
      </c>
      <c r="D140" t="s">
        <v>7762</v>
      </c>
      <c r="E140" t="s">
        <v>5854</v>
      </c>
      <c r="F140" t="s">
        <v>7798</v>
      </c>
      <c r="G140" t="s">
        <v>8000</v>
      </c>
      <c r="H140">
        <v>1</v>
      </c>
    </row>
    <row r="141" spans="1:10" x14ac:dyDescent="0.25">
      <c r="A141">
        <v>20365</v>
      </c>
      <c r="B141" t="s">
        <v>10</v>
      </c>
      <c r="C141" t="s">
        <v>5855</v>
      </c>
      <c r="D141" t="s">
        <v>7780</v>
      </c>
      <c r="E141" t="s">
        <v>5856</v>
      </c>
      <c r="F141" t="s">
        <v>7798</v>
      </c>
      <c r="G141" t="s">
        <v>8001</v>
      </c>
      <c r="H141">
        <v>1</v>
      </c>
    </row>
    <row r="142" spans="1:10" x14ac:dyDescent="0.25">
      <c r="A142">
        <v>20367</v>
      </c>
      <c r="B142" t="s">
        <v>10</v>
      </c>
      <c r="C142" t="s">
        <v>5857</v>
      </c>
      <c r="D142" t="s">
        <v>7763</v>
      </c>
      <c r="E142" t="s">
        <v>5858</v>
      </c>
      <c r="F142" t="s">
        <v>7798</v>
      </c>
      <c r="G142" t="s">
        <v>8002</v>
      </c>
      <c r="H142">
        <v>1</v>
      </c>
    </row>
    <row r="143" spans="1:10" x14ac:dyDescent="0.25">
      <c r="A143">
        <v>20369</v>
      </c>
      <c r="B143" t="s">
        <v>10</v>
      </c>
      <c r="C143" t="s">
        <v>5859</v>
      </c>
      <c r="D143" t="s">
        <v>7781</v>
      </c>
      <c r="E143" t="s">
        <v>5860</v>
      </c>
      <c r="F143" t="s">
        <v>7798</v>
      </c>
      <c r="G143" t="s">
        <v>8003</v>
      </c>
      <c r="H143">
        <v>1</v>
      </c>
    </row>
    <row r="144" spans="1:10" x14ac:dyDescent="0.25">
      <c r="A144">
        <v>20371</v>
      </c>
      <c r="B144" t="s">
        <v>10</v>
      </c>
      <c r="C144" t="s">
        <v>5861</v>
      </c>
      <c r="D144" t="s">
        <v>7782</v>
      </c>
      <c r="E144" t="s">
        <v>5862</v>
      </c>
      <c r="F144" t="s">
        <v>7798</v>
      </c>
      <c r="G144" t="s">
        <v>8004</v>
      </c>
      <c r="H144">
        <v>1</v>
      </c>
    </row>
    <row r="145" spans="1:10" x14ac:dyDescent="0.25">
      <c r="A145">
        <v>20373</v>
      </c>
      <c r="B145" t="s">
        <v>10</v>
      </c>
      <c r="C145" t="s">
        <v>5863</v>
      </c>
      <c r="D145" t="s">
        <v>7764</v>
      </c>
      <c r="E145" t="s">
        <v>5864</v>
      </c>
      <c r="F145" t="s">
        <v>7798</v>
      </c>
      <c r="G145" t="s">
        <v>8005</v>
      </c>
      <c r="H145">
        <v>1</v>
      </c>
    </row>
    <row r="146" spans="1:10" x14ac:dyDescent="0.25">
      <c r="A146">
        <v>20375</v>
      </c>
      <c r="B146" t="s">
        <v>10</v>
      </c>
      <c r="C146" t="s">
        <v>5865</v>
      </c>
      <c r="D146" t="s">
        <v>7783</v>
      </c>
      <c r="E146" t="s">
        <v>5866</v>
      </c>
      <c r="F146" t="s">
        <v>7798</v>
      </c>
      <c r="G146" t="s">
        <v>8006</v>
      </c>
      <c r="H146">
        <v>1</v>
      </c>
    </row>
    <row r="147" spans="1:10" x14ac:dyDescent="0.25">
      <c r="A147">
        <v>20377</v>
      </c>
      <c r="B147" t="s">
        <v>10</v>
      </c>
      <c r="C147" t="s">
        <v>5867</v>
      </c>
      <c r="D147" t="s">
        <v>7784</v>
      </c>
      <c r="E147" t="s">
        <v>5868</v>
      </c>
      <c r="F147" t="s">
        <v>7798</v>
      </c>
      <c r="G147" t="s">
        <v>8007</v>
      </c>
      <c r="H147">
        <v>1</v>
      </c>
    </row>
    <row r="148" spans="1:10" x14ac:dyDescent="0.25">
      <c r="A148">
        <v>20383</v>
      </c>
      <c r="B148" t="s">
        <v>7</v>
      </c>
      <c r="C148" t="s">
        <v>5869</v>
      </c>
      <c r="D148" t="s">
        <v>6906</v>
      </c>
      <c r="E148" t="s">
        <v>5870</v>
      </c>
      <c r="F148" t="s">
        <v>7799</v>
      </c>
      <c r="H148">
        <v>5</v>
      </c>
      <c r="J148">
        <v>2</v>
      </c>
    </row>
    <row r="149" spans="1:10" x14ac:dyDescent="0.25">
      <c r="A149">
        <v>20384</v>
      </c>
      <c r="B149" t="s">
        <v>10</v>
      </c>
      <c r="C149" t="s">
        <v>5871</v>
      </c>
      <c r="D149" t="s">
        <v>7775</v>
      </c>
      <c r="E149" t="s">
        <v>5872</v>
      </c>
      <c r="F149" t="s">
        <v>7799</v>
      </c>
      <c r="G149" t="s">
        <v>8008</v>
      </c>
      <c r="H149">
        <v>1</v>
      </c>
    </row>
    <row r="150" spans="1:10" x14ac:dyDescent="0.25">
      <c r="A150">
        <v>20386</v>
      </c>
      <c r="B150" t="s">
        <v>10</v>
      </c>
      <c r="C150" t="s">
        <v>5873</v>
      </c>
      <c r="D150" t="s">
        <v>7763</v>
      </c>
      <c r="E150" t="s">
        <v>5874</v>
      </c>
      <c r="F150" t="s">
        <v>7799</v>
      </c>
      <c r="G150" t="s">
        <v>8009</v>
      </c>
      <c r="H150">
        <v>1</v>
      </c>
    </row>
    <row r="151" spans="1:10" x14ac:dyDescent="0.25">
      <c r="A151">
        <v>20387</v>
      </c>
      <c r="B151" t="s">
        <v>10</v>
      </c>
      <c r="C151" t="s">
        <v>5875</v>
      </c>
      <c r="D151" t="s">
        <v>7781</v>
      </c>
      <c r="E151" t="s">
        <v>5876</v>
      </c>
      <c r="F151" t="s">
        <v>7799</v>
      </c>
      <c r="G151" t="s">
        <v>8010</v>
      </c>
      <c r="H151">
        <v>1</v>
      </c>
    </row>
    <row r="152" spans="1:10" x14ac:dyDescent="0.25">
      <c r="A152">
        <v>20389</v>
      </c>
      <c r="B152" t="s">
        <v>10</v>
      </c>
      <c r="C152" t="s">
        <v>5877</v>
      </c>
      <c r="D152" t="s">
        <v>7782</v>
      </c>
      <c r="E152" t="s">
        <v>5878</v>
      </c>
      <c r="F152" t="s">
        <v>7799</v>
      </c>
      <c r="G152" t="s">
        <v>8011</v>
      </c>
      <c r="H152">
        <v>1</v>
      </c>
    </row>
    <row r="153" spans="1:10" x14ac:dyDescent="0.25">
      <c r="A153">
        <v>20395</v>
      </c>
      <c r="B153" t="s">
        <v>10</v>
      </c>
      <c r="C153" t="s">
        <v>5879</v>
      </c>
      <c r="D153" t="s">
        <v>7764</v>
      </c>
      <c r="E153" t="s">
        <v>5880</v>
      </c>
      <c r="F153" t="s">
        <v>7799</v>
      </c>
      <c r="G153" t="s">
        <v>8012</v>
      </c>
      <c r="H153">
        <v>1</v>
      </c>
    </row>
    <row r="154" spans="1:10" x14ac:dyDescent="0.25">
      <c r="A154">
        <v>20397</v>
      </c>
      <c r="B154" t="s">
        <v>7</v>
      </c>
      <c r="C154" t="s">
        <v>5881</v>
      </c>
      <c r="D154" t="s">
        <v>6906</v>
      </c>
      <c r="E154" t="s">
        <v>5882</v>
      </c>
      <c r="F154" t="s">
        <v>7800</v>
      </c>
      <c r="H154">
        <v>2</v>
      </c>
      <c r="J154">
        <v>2</v>
      </c>
    </row>
    <row r="155" spans="1:10" x14ac:dyDescent="0.25">
      <c r="A155">
        <v>20398</v>
      </c>
      <c r="B155" t="s">
        <v>10</v>
      </c>
      <c r="C155" t="s">
        <v>5883</v>
      </c>
      <c r="D155" t="s">
        <v>7763</v>
      </c>
      <c r="E155" t="s">
        <v>5884</v>
      </c>
      <c r="F155" t="s">
        <v>7800</v>
      </c>
      <c r="G155" t="s">
        <v>8013</v>
      </c>
      <c r="H155">
        <v>1</v>
      </c>
    </row>
    <row r="156" spans="1:10" x14ac:dyDescent="0.25">
      <c r="A156">
        <v>20400</v>
      </c>
      <c r="B156" t="s">
        <v>10</v>
      </c>
      <c r="C156" t="s">
        <v>5885</v>
      </c>
      <c r="D156" t="s">
        <v>7781</v>
      </c>
      <c r="E156" t="s">
        <v>5886</v>
      </c>
      <c r="F156" t="s">
        <v>7800</v>
      </c>
      <c r="G156" t="s">
        <v>8014</v>
      </c>
      <c r="H156">
        <v>1</v>
      </c>
    </row>
    <row r="157" spans="1:10" x14ac:dyDescent="0.25">
      <c r="A157">
        <v>20412</v>
      </c>
      <c r="B157" t="s">
        <v>7</v>
      </c>
      <c r="C157" t="s">
        <v>5889</v>
      </c>
      <c r="D157" t="s">
        <v>6906</v>
      </c>
      <c r="E157" t="s">
        <v>5890</v>
      </c>
      <c r="F157" t="s">
        <v>7801</v>
      </c>
      <c r="H157">
        <v>2</v>
      </c>
      <c r="J157">
        <v>2</v>
      </c>
    </row>
    <row r="158" spans="1:10" x14ac:dyDescent="0.25">
      <c r="A158">
        <v>20413</v>
      </c>
      <c r="B158" t="s">
        <v>10</v>
      </c>
      <c r="C158" t="s">
        <v>5891</v>
      </c>
      <c r="D158" t="s">
        <v>7775</v>
      </c>
      <c r="E158" t="s">
        <v>5892</v>
      </c>
      <c r="F158" t="s">
        <v>7801</v>
      </c>
      <c r="G158" t="s">
        <v>8015</v>
      </c>
      <c r="H158">
        <v>1</v>
      </c>
    </row>
    <row r="159" spans="1:10" x14ac:dyDescent="0.25">
      <c r="A159">
        <v>20415</v>
      </c>
      <c r="B159" t="s">
        <v>10</v>
      </c>
      <c r="C159" t="s">
        <v>5893</v>
      </c>
      <c r="D159" t="s">
        <v>7764</v>
      </c>
      <c r="E159" t="s">
        <v>5894</v>
      </c>
      <c r="F159" t="s">
        <v>7801</v>
      </c>
      <c r="G159" t="s">
        <v>8016</v>
      </c>
      <c r="H159">
        <v>1</v>
      </c>
    </row>
    <row r="160" spans="1:10" x14ac:dyDescent="0.25">
      <c r="A160">
        <v>20431</v>
      </c>
      <c r="B160" t="s">
        <v>7</v>
      </c>
      <c r="C160" t="s">
        <v>5899</v>
      </c>
      <c r="D160" t="s">
        <v>6906</v>
      </c>
      <c r="E160" t="s">
        <v>5900</v>
      </c>
      <c r="F160" t="s">
        <v>7802</v>
      </c>
      <c r="H160">
        <v>4</v>
      </c>
      <c r="J160">
        <v>2</v>
      </c>
    </row>
    <row r="161" spans="1:10" x14ac:dyDescent="0.25">
      <c r="A161">
        <v>20432</v>
      </c>
      <c r="B161" t="s">
        <v>10</v>
      </c>
      <c r="C161" t="s">
        <v>5901</v>
      </c>
      <c r="D161" t="s">
        <v>7775</v>
      </c>
      <c r="E161" t="s">
        <v>5902</v>
      </c>
      <c r="F161" t="s">
        <v>7802</v>
      </c>
      <c r="G161" t="s">
        <v>8017</v>
      </c>
      <c r="H161">
        <v>1</v>
      </c>
    </row>
    <row r="162" spans="1:10" x14ac:dyDescent="0.25">
      <c r="A162">
        <v>20433</v>
      </c>
      <c r="B162" t="s">
        <v>10</v>
      </c>
      <c r="C162" t="s">
        <v>5903</v>
      </c>
      <c r="D162" t="s">
        <v>7763</v>
      </c>
      <c r="E162" t="s">
        <v>5904</v>
      </c>
      <c r="F162" t="s">
        <v>7802</v>
      </c>
      <c r="G162" t="s">
        <v>8018</v>
      </c>
      <c r="H162">
        <v>1</v>
      </c>
    </row>
    <row r="163" spans="1:10" x14ac:dyDescent="0.25">
      <c r="A163">
        <v>20434</v>
      </c>
      <c r="B163" t="s">
        <v>10</v>
      </c>
      <c r="C163" t="s">
        <v>5905</v>
      </c>
      <c r="D163" t="s">
        <v>7781</v>
      </c>
      <c r="E163" t="s">
        <v>5906</v>
      </c>
      <c r="F163" t="s">
        <v>7802</v>
      </c>
      <c r="G163" t="s">
        <v>8019</v>
      </c>
      <c r="H163">
        <v>1</v>
      </c>
    </row>
    <row r="164" spans="1:10" x14ac:dyDescent="0.25">
      <c r="A164">
        <v>20436</v>
      </c>
      <c r="B164" t="s">
        <v>10</v>
      </c>
      <c r="C164" t="s">
        <v>5907</v>
      </c>
      <c r="D164" t="s">
        <v>7764</v>
      </c>
      <c r="E164" t="s">
        <v>5908</v>
      </c>
      <c r="F164" t="s">
        <v>7802</v>
      </c>
      <c r="G164" t="s">
        <v>8020</v>
      </c>
      <c r="H164">
        <v>1</v>
      </c>
    </row>
    <row r="165" spans="1:10" x14ac:dyDescent="0.25">
      <c r="A165">
        <v>20437</v>
      </c>
      <c r="B165" t="s">
        <v>7</v>
      </c>
      <c r="C165" t="s">
        <v>5909</v>
      </c>
      <c r="D165" t="s">
        <v>6906</v>
      </c>
      <c r="E165" t="s">
        <v>5910</v>
      </c>
      <c r="F165" t="s">
        <v>7803</v>
      </c>
      <c r="H165">
        <v>13</v>
      </c>
      <c r="J165">
        <v>2</v>
      </c>
    </row>
    <row r="166" spans="1:10" x14ac:dyDescent="0.25">
      <c r="A166">
        <v>20438</v>
      </c>
      <c r="B166" t="s">
        <v>10</v>
      </c>
      <c r="C166" t="s">
        <v>5911</v>
      </c>
      <c r="D166" t="s">
        <v>7775</v>
      </c>
      <c r="E166" t="s">
        <v>5912</v>
      </c>
      <c r="F166" t="s">
        <v>7803</v>
      </c>
      <c r="G166" t="s">
        <v>8021</v>
      </c>
      <c r="H166">
        <v>1</v>
      </c>
    </row>
    <row r="167" spans="1:10" x14ac:dyDescent="0.25">
      <c r="A167">
        <v>20440</v>
      </c>
      <c r="B167" t="s">
        <v>10</v>
      </c>
      <c r="C167" t="s">
        <v>5913</v>
      </c>
      <c r="D167" t="s">
        <v>7762</v>
      </c>
      <c r="E167" t="s">
        <v>5914</v>
      </c>
      <c r="F167" t="s">
        <v>7803</v>
      </c>
      <c r="G167" t="s">
        <v>8022</v>
      </c>
      <c r="H167">
        <v>1</v>
      </c>
    </row>
    <row r="168" spans="1:10" x14ac:dyDescent="0.25">
      <c r="A168">
        <v>20442</v>
      </c>
      <c r="B168" t="s">
        <v>10</v>
      </c>
      <c r="C168" t="s">
        <v>5915</v>
      </c>
      <c r="D168" t="s">
        <v>7763</v>
      </c>
      <c r="E168" t="s">
        <v>5916</v>
      </c>
      <c r="F168" t="s">
        <v>7803</v>
      </c>
      <c r="G168" t="s">
        <v>8023</v>
      </c>
      <c r="H168">
        <v>1</v>
      </c>
    </row>
    <row r="169" spans="1:10" x14ac:dyDescent="0.25">
      <c r="A169">
        <v>20444</v>
      </c>
      <c r="B169" t="s">
        <v>10</v>
      </c>
      <c r="C169" t="s">
        <v>5917</v>
      </c>
      <c r="D169" t="s">
        <v>7781</v>
      </c>
      <c r="E169" t="s">
        <v>5918</v>
      </c>
      <c r="F169" t="s">
        <v>7803</v>
      </c>
      <c r="G169" t="s">
        <v>8024</v>
      </c>
      <c r="H169">
        <v>1</v>
      </c>
    </row>
    <row r="170" spans="1:10" x14ac:dyDescent="0.25">
      <c r="A170">
        <v>20446</v>
      </c>
      <c r="B170" t="s">
        <v>10</v>
      </c>
      <c r="C170" t="s">
        <v>5919</v>
      </c>
      <c r="D170" t="s">
        <v>7782</v>
      </c>
      <c r="E170" t="s">
        <v>5920</v>
      </c>
      <c r="F170" t="s">
        <v>7803</v>
      </c>
      <c r="G170" t="s">
        <v>8025</v>
      </c>
      <c r="H170">
        <v>1</v>
      </c>
    </row>
    <row r="171" spans="1:10" x14ac:dyDescent="0.25">
      <c r="A171">
        <v>20448</v>
      </c>
      <c r="B171" t="s">
        <v>10</v>
      </c>
      <c r="C171" t="s">
        <v>5921</v>
      </c>
      <c r="D171" t="s">
        <v>7764</v>
      </c>
      <c r="E171" t="s">
        <v>5922</v>
      </c>
      <c r="F171" t="s">
        <v>7803</v>
      </c>
      <c r="G171" t="s">
        <v>8026</v>
      </c>
      <c r="H171">
        <v>1</v>
      </c>
    </row>
    <row r="172" spans="1:10" x14ac:dyDescent="0.25">
      <c r="A172">
        <v>20450</v>
      </c>
      <c r="B172" t="s">
        <v>10</v>
      </c>
      <c r="C172" t="s">
        <v>5923</v>
      </c>
      <c r="D172" t="s">
        <v>7783</v>
      </c>
      <c r="E172" t="s">
        <v>5924</v>
      </c>
      <c r="F172" t="s">
        <v>7803</v>
      </c>
      <c r="G172" t="s">
        <v>8027</v>
      </c>
      <c r="H172">
        <v>1</v>
      </c>
    </row>
    <row r="173" spans="1:10" x14ac:dyDescent="0.25">
      <c r="A173">
        <v>20451</v>
      </c>
      <c r="B173" t="s">
        <v>7</v>
      </c>
      <c r="C173" t="s">
        <v>5925</v>
      </c>
      <c r="D173" t="s">
        <v>6906</v>
      </c>
      <c r="E173" t="s">
        <v>5926</v>
      </c>
      <c r="F173" t="s">
        <v>7804</v>
      </c>
      <c r="H173">
        <v>3</v>
      </c>
      <c r="J173">
        <v>2</v>
      </c>
    </row>
    <row r="174" spans="1:10" x14ac:dyDescent="0.25">
      <c r="A174">
        <v>20452</v>
      </c>
      <c r="B174" t="s">
        <v>10</v>
      </c>
      <c r="C174" t="s">
        <v>5927</v>
      </c>
      <c r="D174" t="s">
        <v>7775</v>
      </c>
      <c r="E174" t="s">
        <v>5928</v>
      </c>
      <c r="F174" t="s">
        <v>7804</v>
      </c>
      <c r="G174" t="s">
        <v>8028</v>
      </c>
      <c r="H174">
        <v>1</v>
      </c>
    </row>
    <row r="175" spans="1:10" x14ac:dyDescent="0.25">
      <c r="A175">
        <v>20457</v>
      </c>
      <c r="B175" t="s">
        <v>10</v>
      </c>
      <c r="C175" t="s">
        <v>5929</v>
      </c>
      <c r="D175" t="s">
        <v>7763</v>
      </c>
      <c r="E175" t="s">
        <v>5930</v>
      </c>
      <c r="F175" t="s">
        <v>7804</v>
      </c>
      <c r="G175" t="s">
        <v>8029</v>
      </c>
      <c r="H175">
        <v>1</v>
      </c>
    </row>
    <row r="176" spans="1:10" x14ac:dyDescent="0.25">
      <c r="A176">
        <v>20458</v>
      </c>
      <c r="B176" t="s">
        <v>10</v>
      </c>
      <c r="C176" t="s">
        <v>5931</v>
      </c>
      <c r="D176" t="s">
        <v>7764</v>
      </c>
      <c r="E176" t="s">
        <v>5932</v>
      </c>
      <c r="F176" t="s">
        <v>7804</v>
      </c>
      <c r="G176" t="s">
        <v>8030</v>
      </c>
      <c r="H176">
        <v>1</v>
      </c>
    </row>
    <row r="177" spans="1:10" x14ac:dyDescent="0.25">
      <c r="A177">
        <v>20459</v>
      </c>
      <c r="B177" t="s">
        <v>7</v>
      </c>
      <c r="C177" t="s">
        <v>5933</v>
      </c>
      <c r="D177" t="s">
        <v>6906</v>
      </c>
      <c r="E177" t="s">
        <v>5934</v>
      </c>
      <c r="F177" t="s">
        <v>7805</v>
      </c>
      <c r="H177">
        <v>10</v>
      </c>
      <c r="J177">
        <v>2</v>
      </c>
    </row>
    <row r="178" spans="1:10" x14ac:dyDescent="0.25">
      <c r="A178">
        <v>20460</v>
      </c>
      <c r="B178" t="s">
        <v>10</v>
      </c>
      <c r="C178" t="s">
        <v>5935</v>
      </c>
      <c r="D178" t="s">
        <v>7778</v>
      </c>
      <c r="E178" t="s">
        <v>5936</v>
      </c>
      <c r="F178" t="s">
        <v>7805</v>
      </c>
      <c r="G178" t="s">
        <v>8031</v>
      </c>
      <c r="H178">
        <v>1</v>
      </c>
    </row>
    <row r="179" spans="1:10" x14ac:dyDescent="0.25">
      <c r="A179">
        <v>20462</v>
      </c>
      <c r="B179" t="s">
        <v>10</v>
      </c>
      <c r="C179" t="s">
        <v>5937</v>
      </c>
      <c r="D179" t="s">
        <v>7779</v>
      </c>
      <c r="E179" t="s">
        <v>5938</v>
      </c>
      <c r="F179" t="s">
        <v>7805</v>
      </c>
      <c r="G179" t="s">
        <v>8032</v>
      </c>
      <c r="H179">
        <v>1</v>
      </c>
    </row>
    <row r="180" spans="1:10" x14ac:dyDescent="0.25">
      <c r="A180">
        <v>20464</v>
      </c>
      <c r="B180" t="s">
        <v>10</v>
      </c>
      <c r="C180" t="s">
        <v>5939</v>
      </c>
      <c r="D180" t="s">
        <v>7775</v>
      </c>
      <c r="E180" t="s">
        <v>5940</v>
      </c>
      <c r="F180" t="s">
        <v>7805</v>
      </c>
      <c r="G180" t="s">
        <v>8033</v>
      </c>
      <c r="H180">
        <v>1</v>
      </c>
    </row>
    <row r="181" spans="1:10" x14ac:dyDescent="0.25">
      <c r="A181">
        <v>20465</v>
      </c>
      <c r="B181" t="s">
        <v>10</v>
      </c>
      <c r="C181" t="s">
        <v>5941</v>
      </c>
      <c r="D181" t="s">
        <v>7762</v>
      </c>
      <c r="E181" t="s">
        <v>5942</v>
      </c>
      <c r="F181" t="s">
        <v>7805</v>
      </c>
      <c r="G181" t="s">
        <v>8034</v>
      </c>
      <c r="H181">
        <v>1</v>
      </c>
    </row>
    <row r="182" spans="1:10" x14ac:dyDescent="0.25">
      <c r="A182">
        <v>20466</v>
      </c>
      <c r="B182" t="s">
        <v>10</v>
      </c>
      <c r="C182" t="s">
        <v>5943</v>
      </c>
      <c r="D182" t="s">
        <v>7780</v>
      </c>
      <c r="E182" t="s">
        <v>5944</v>
      </c>
      <c r="F182" t="s">
        <v>7805</v>
      </c>
      <c r="G182" t="s">
        <v>8035</v>
      </c>
      <c r="H182">
        <v>1</v>
      </c>
    </row>
    <row r="183" spans="1:10" x14ac:dyDescent="0.25">
      <c r="A183">
        <v>20468</v>
      </c>
      <c r="B183" t="s">
        <v>10</v>
      </c>
      <c r="C183" t="s">
        <v>5945</v>
      </c>
      <c r="D183" t="s">
        <v>7763</v>
      </c>
      <c r="E183" t="s">
        <v>5946</v>
      </c>
      <c r="F183" t="s">
        <v>7805</v>
      </c>
      <c r="G183" t="s">
        <v>8036</v>
      </c>
      <c r="H183">
        <v>1</v>
      </c>
    </row>
    <row r="184" spans="1:10" x14ac:dyDescent="0.25">
      <c r="A184">
        <v>20469</v>
      </c>
      <c r="B184" t="s">
        <v>10</v>
      </c>
      <c r="C184" t="s">
        <v>5947</v>
      </c>
      <c r="D184" t="s">
        <v>7781</v>
      </c>
      <c r="E184" t="s">
        <v>5948</v>
      </c>
      <c r="F184" t="s">
        <v>7805</v>
      </c>
      <c r="G184" t="s">
        <v>8037</v>
      </c>
      <c r="H184">
        <v>1</v>
      </c>
    </row>
    <row r="185" spans="1:10" x14ac:dyDescent="0.25">
      <c r="A185">
        <v>20470</v>
      </c>
      <c r="B185" t="s">
        <v>10</v>
      </c>
      <c r="C185" t="s">
        <v>5949</v>
      </c>
      <c r="D185" t="s">
        <v>7782</v>
      </c>
      <c r="E185" t="s">
        <v>5950</v>
      </c>
      <c r="F185" t="s">
        <v>7805</v>
      </c>
      <c r="G185" t="s">
        <v>8038</v>
      </c>
      <c r="H185">
        <v>1</v>
      </c>
    </row>
    <row r="186" spans="1:10" x14ac:dyDescent="0.25">
      <c r="A186">
        <v>20471</v>
      </c>
      <c r="B186" t="s">
        <v>10</v>
      </c>
      <c r="C186" t="s">
        <v>5951</v>
      </c>
      <c r="D186" t="s">
        <v>7764</v>
      </c>
      <c r="E186" t="s">
        <v>5952</v>
      </c>
      <c r="F186" t="s">
        <v>7805</v>
      </c>
      <c r="G186" t="s">
        <v>8039</v>
      </c>
      <c r="H186">
        <v>1</v>
      </c>
    </row>
    <row r="187" spans="1:10" x14ac:dyDescent="0.25">
      <c r="A187">
        <v>20472</v>
      </c>
      <c r="B187" t="s">
        <v>10</v>
      </c>
      <c r="C187" t="s">
        <v>5953</v>
      </c>
      <c r="D187" t="s">
        <v>7784</v>
      </c>
      <c r="E187" t="s">
        <v>5954</v>
      </c>
      <c r="F187" t="s">
        <v>7805</v>
      </c>
      <c r="G187" t="s">
        <v>8040</v>
      </c>
      <c r="H187">
        <v>1</v>
      </c>
    </row>
    <row r="188" spans="1:10" x14ac:dyDescent="0.25">
      <c r="A188">
        <v>20508</v>
      </c>
      <c r="B188" t="s">
        <v>7</v>
      </c>
      <c r="C188" t="s">
        <v>5995</v>
      </c>
      <c r="D188" t="s">
        <v>6906</v>
      </c>
      <c r="E188" t="s">
        <v>5996</v>
      </c>
      <c r="F188" t="s">
        <v>7806</v>
      </c>
      <c r="H188">
        <v>3</v>
      </c>
      <c r="J188">
        <v>2</v>
      </c>
    </row>
    <row r="189" spans="1:10" x14ac:dyDescent="0.25">
      <c r="A189">
        <v>20509</v>
      </c>
      <c r="B189" t="s">
        <v>10</v>
      </c>
      <c r="C189" t="s">
        <v>5997</v>
      </c>
      <c r="D189" t="s">
        <v>7775</v>
      </c>
      <c r="E189" t="s">
        <v>5998</v>
      </c>
      <c r="F189" t="s">
        <v>7806</v>
      </c>
      <c r="G189" t="s">
        <v>8041</v>
      </c>
      <c r="H189">
        <v>1</v>
      </c>
    </row>
    <row r="190" spans="1:10" x14ac:dyDescent="0.25">
      <c r="A190">
        <v>20510</v>
      </c>
      <c r="B190" t="s">
        <v>10</v>
      </c>
      <c r="C190" t="s">
        <v>5999</v>
      </c>
      <c r="D190" t="s">
        <v>7764</v>
      </c>
      <c r="E190" t="s">
        <v>6000</v>
      </c>
      <c r="F190" t="s">
        <v>7806</v>
      </c>
      <c r="G190" t="s">
        <v>8042</v>
      </c>
      <c r="H190">
        <v>1</v>
      </c>
    </row>
    <row r="191" spans="1:10" x14ac:dyDescent="0.25">
      <c r="A191">
        <v>20512</v>
      </c>
      <c r="B191" t="s">
        <v>10</v>
      </c>
      <c r="C191" t="s">
        <v>6001</v>
      </c>
      <c r="D191" t="s">
        <v>7763</v>
      </c>
      <c r="E191" t="s">
        <v>6002</v>
      </c>
      <c r="F191" t="s">
        <v>7806</v>
      </c>
      <c r="G191" t="s">
        <v>8043</v>
      </c>
      <c r="H191">
        <v>1</v>
      </c>
    </row>
    <row r="192" spans="1:10" x14ac:dyDescent="0.25">
      <c r="A192">
        <v>20733</v>
      </c>
      <c r="B192" t="s">
        <v>7</v>
      </c>
      <c r="C192" t="s">
        <v>6119</v>
      </c>
      <c r="D192" t="s">
        <v>6906</v>
      </c>
      <c r="E192" t="s">
        <v>6120</v>
      </c>
      <c r="F192" t="s">
        <v>7807</v>
      </c>
      <c r="H192">
        <v>3</v>
      </c>
      <c r="J192">
        <v>2</v>
      </c>
    </row>
    <row r="193" spans="1:10" x14ac:dyDescent="0.25">
      <c r="A193">
        <v>20734</v>
      </c>
      <c r="B193" t="s">
        <v>10</v>
      </c>
      <c r="C193" t="s">
        <v>6121</v>
      </c>
      <c r="D193" t="s">
        <v>7775</v>
      </c>
      <c r="E193" t="s">
        <v>6122</v>
      </c>
      <c r="F193" t="s">
        <v>7807</v>
      </c>
      <c r="G193" t="s">
        <v>8044</v>
      </c>
      <c r="H193">
        <v>1</v>
      </c>
    </row>
    <row r="194" spans="1:10" x14ac:dyDescent="0.25">
      <c r="A194">
        <v>20738</v>
      </c>
      <c r="B194" t="s">
        <v>10</v>
      </c>
      <c r="C194" t="s">
        <v>6123</v>
      </c>
      <c r="D194" t="s">
        <v>7763</v>
      </c>
      <c r="E194" t="s">
        <v>6124</v>
      </c>
      <c r="F194" t="s">
        <v>7807</v>
      </c>
      <c r="G194" t="s">
        <v>8045</v>
      </c>
      <c r="H194">
        <v>1</v>
      </c>
    </row>
    <row r="195" spans="1:10" x14ac:dyDescent="0.25">
      <c r="A195">
        <v>20739</v>
      </c>
      <c r="B195" t="s">
        <v>10</v>
      </c>
      <c r="C195" t="s">
        <v>6125</v>
      </c>
      <c r="D195" t="s">
        <v>7764</v>
      </c>
      <c r="E195" t="s">
        <v>6126</v>
      </c>
      <c r="F195" t="s">
        <v>7807</v>
      </c>
      <c r="G195" t="s">
        <v>8046</v>
      </c>
      <c r="H195">
        <v>1</v>
      </c>
    </row>
    <row r="196" spans="1:10" x14ac:dyDescent="0.25">
      <c r="A196">
        <v>20740</v>
      </c>
      <c r="B196" t="s">
        <v>7</v>
      </c>
      <c r="C196" t="s">
        <v>6127</v>
      </c>
      <c r="D196" t="s">
        <v>6906</v>
      </c>
      <c r="E196" t="s">
        <v>6128</v>
      </c>
      <c r="F196" t="s">
        <v>7808</v>
      </c>
      <c r="H196">
        <v>3</v>
      </c>
      <c r="J196">
        <v>2</v>
      </c>
    </row>
    <row r="197" spans="1:10" x14ac:dyDescent="0.25">
      <c r="A197">
        <v>20741</v>
      </c>
      <c r="B197" t="s">
        <v>10</v>
      </c>
      <c r="C197" t="s">
        <v>6129</v>
      </c>
      <c r="D197" t="s">
        <v>7775</v>
      </c>
      <c r="E197" t="s">
        <v>6130</v>
      </c>
      <c r="F197" t="s">
        <v>7808</v>
      </c>
      <c r="G197" t="s">
        <v>8047</v>
      </c>
      <c r="H197">
        <v>1</v>
      </c>
    </row>
    <row r="198" spans="1:10" x14ac:dyDescent="0.25">
      <c r="A198">
        <v>20749</v>
      </c>
      <c r="B198" t="s">
        <v>10</v>
      </c>
      <c r="C198" t="s">
        <v>6131</v>
      </c>
      <c r="D198" t="s">
        <v>7763</v>
      </c>
      <c r="E198" t="s">
        <v>6132</v>
      </c>
      <c r="F198" t="s">
        <v>7808</v>
      </c>
      <c r="G198" t="s">
        <v>8048</v>
      </c>
      <c r="H198">
        <v>1</v>
      </c>
    </row>
    <row r="199" spans="1:10" x14ac:dyDescent="0.25">
      <c r="A199">
        <v>20753</v>
      </c>
      <c r="B199" t="s">
        <v>10</v>
      </c>
      <c r="C199" t="s">
        <v>6133</v>
      </c>
      <c r="D199" t="s">
        <v>7764</v>
      </c>
      <c r="E199" t="s">
        <v>6134</v>
      </c>
      <c r="F199" t="s">
        <v>7808</v>
      </c>
      <c r="G199" t="s">
        <v>8049</v>
      </c>
      <c r="H199">
        <v>1</v>
      </c>
    </row>
    <row r="200" spans="1:10" x14ac:dyDescent="0.25">
      <c r="A200">
        <v>21280</v>
      </c>
      <c r="B200" t="s">
        <v>7</v>
      </c>
      <c r="C200" t="s">
        <v>6851</v>
      </c>
      <c r="D200" t="s">
        <v>6906</v>
      </c>
      <c r="E200" t="s">
        <v>6852</v>
      </c>
      <c r="F200" t="s">
        <v>7809</v>
      </c>
      <c r="H200">
        <v>6</v>
      </c>
      <c r="J200">
        <v>2</v>
      </c>
    </row>
    <row r="201" spans="1:10" x14ac:dyDescent="0.25">
      <c r="A201">
        <v>21281</v>
      </c>
      <c r="B201" t="s">
        <v>10</v>
      </c>
      <c r="C201" t="s">
        <v>6853</v>
      </c>
      <c r="D201" t="s">
        <v>7762</v>
      </c>
      <c r="E201" t="s">
        <v>6854</v>
      </c>
      <c r="F201" t="s">
        <v>7809</v>
      </c>
      <c r="G201" t="s">
        <v>8050</v>
      </c>
      <c r="H201">
        <v>1</v>
      </c>
    </row>
    <row r="202" spans="1:10" x14ac:dyDescent="0.25">
      <c r="A202">
        <v>21285</v>
      </c>
      <c r="B202" t="s">
        <v>10</v>
      </c>
      <c r="C202" t="s">
        <v>6855</v>
      </c>
      <c r="D202" t="s">
        <v>7763</v>
      </c>
      <c r="E202" t="s">
        <v>6856</v>
      </c>
      <c r="F202" t="s">
        <v>7809</v>
      </c>
      <c r="G202" t="s">
        <v>8051</v>
      </c>
      <c r="H202">
        <v>1</v>
      </c>
    </row>
    <row r="203" spans="1:10" x14ac:dyDescent="0.25">
      <c r="A203">
        <v>21288</v>
      </c>
      <c r="B203" t="s">
        <v>10</v>
      </c>
      <c r="C203" t="s">
        <v>6857</v>
      </c>
      <c r="D203" t="s">
        <v>7782</v>
      </c>
      <c r="E203" t="s">
        <v>6858</v>
      </c>
      <c r="F203" t="s">
        <v>7809</v>
      </c>
      <c r="G203" t="s">
        <v>8052</v>
      </c>
      <c r="H203">
        <v>1</v>
      </c>
    </row>
    <row r="204" spans="1:10" x14ac:dyDescent="0.25">
      <c r="A204">
        <v>21292</v>
      </c>
      <c r="B204" t="s">
        <v>10</v>
      </c>
      <c r="C204" t="s">
        <v>6859</v>
      </c>
      <c r="D204" t="s">
        <v>7764</v>
      </c>
      <c r="E204" t="s">
        <v>6860</v>
      </c>
      <c r="F204" t="s">
        <v>7809</v>
      </c>
      <c r="G204" t="s">
        <v>8053</v>
      </c>
      <c r="H204">
        <v>1</v>
      </c>
    </row>
    <row r="205" spans="1:10" x14ac:dyDescent="0.25">
      <c r="A205">
        <v>21295</v>
      </c>
      <c r="B205" t="s">
        <v>10</v>
      </c>
      <c r="C205" t="s">
        <v>6861</v>
      </c>
      <c r="D205" t="s">
        <v>7769</v>
      </c>
      <c r="E205" t="s">
        <v>6862</v>
      </c>
      <c r="F205" t="s">
        <v>7809</v>
      </c>
      <c r="G205" t="s">
        <v>8054</v>
      </c>
      <c r="H205">
        <v>1</v>
      </c>
    </row>
    <row r="206" spans="1:10" x14ac:dyDescent="0.25">
      <c r="A206">
        <v>21299</v>
      </c>
      <c r="B206" t="s">
        <v>10</v>
      </c>
      <c r="C206" t="s">
        <v>6863</v>
      </c>
      <c r="D206" t="s">
        <v>7765</v>
      </c>
      <c r="E206" t="s">
        <v>6864</v>
      </c>
      <c r="F206" t="s">
        <v>7809</v>
      </c>
      <c r="G206" t="s">
        <v>8055</v>
      </c>
      <c r="H206">
        <v>1</v>
      </c>
    </row>
  </sheetData>
  <autoFilter ref="A1:I1">
    <sortState ref="A2:I206">
      <sortCondition descending="1" ref="A1"/>
    </sortState>
  </autoFilter>
  <sortState ref="A2:J206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585"/>
  <sheetViews>
    <sheetView workbookViewId="0">
      <selection activeCell="C26" sqref="C26"/>
    </sheetView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14616</v>
      </c>
      <c r="B2" t="s">
        <v>4</v>
      </c>
      <c r="C2" t="s">
        <v>5</v>
      </c>
      <c r="D2" t="s">
        <v>7017</v>
      </c>
      <c r="E2" t="s">
        <v>6</v>
      </c>
      <c r="F2" t="s">
        <v>7018</v>
      </c>
    </row>
    <row r="3" spans="1:9" x14ac:dyDescent="0.25">
      <c r="A3">
        <v>14642</v>
      </c>
      <c r="B3" t="s">
        <v>4</v>
      </c>
      <c r="C3" t="s">
        <v>19</v>
      </c>
      <c r="D3" t="s">
        <v>7017</v>
      </c>
      <c r="E3" t="s">
        <v>20</v>
      </c>
      <c r="F3" t="s">
        <v>7019</v>
      </c>
    </row>
    <row r="4" spans="1:9" x14ac:dyDescent="0.25">
      <c r="A4">
        <v>14646</v>
      </c>
      <c r="B4" t="s">
        <v>4</v>
      </c>
      <c r="C4" t="s">
        <v>21</v>
      </c>
      <c r="D4" t="s">
        <v>7017</v>
      </c>
      <c r="E4" t="s">
        <v>22</v>
      </c>
      <c r="F4" t="s">
        <v>7020</v>
      </c>
      <c r="G4" t="s">
        <v>7879</v>
      </c>
      <c r="H4">
        <v>12</v>
      </c>
    </row>
    <row r="5" spans="1:9" x14ac:dyDescent="0.25">
      <c r="A5">
        <v>14650</v>
      </c>
      <c r="B5" t="s">
        <v>4</v>
      </c>
      <c r="C5" t="s">
        <v>23</v>
      </c>
      <c r="D5" t="s">
        <v>7017</v>
      </c>
      <c r="E5" t="s">
        <v>24</v>
      </c>
      <c r="F5" t="s">
        <v>7021</v>
      </c>
    </row>
    <row r="6" spans="1:9" x14ac:dyDescent="0.25">
      <c r="A6">
        <v>15158</v>
      </c>
      <c r="B6" t="s">
        <v>4</v>
      </c>
      <c r="C6" t="s">
        <v>603</v>
      </c>
      <c r="D6" t="s">
        <v>7017</v>
      </c>
      <c r="E6" t="s">
        <v>604</v>
      </c>
      <c r="F6" t="s">
        <v>7022</v>
      </c>
    </row>
    <row r="7" spans="1:9" x14ac:dyDescent="0.25">
      <c r="A7">
        <v>15161</v>
      </c>
      <c r="B7" t="s">
        <v>4</v>
      </c>
      <c r="C7" t="s">
        <v>605</v>
      </c>
      <c r="D7" t="s">
        <v>7017</v>
      </c>
      <c r="E7" t="s">
        <v>606</v>
      </c>
      <c r="F7" t="s">
        <v>7023</v>
      </c>
    </row>
    <row r="8" spans="1:9" x14ac:dyDescent="0.25">
      <c r="A8">
        <v>15165</v>
      </c>
      <c r="B8" t="s">
        <v>4</v>
      </c>
      <c r="C8" t="s">
        <v>607</v>
      </c>
      <c r="D8" t="s">
        <v>7017</v>
      </c>
      <c r="E8" t="s">
        <v>608</v>
      </c>
      <c r="F8" t="s">
        <v>7024</v>
      </c>
    </row>
    <row r="9" spans="1:9" x14ac:dyDescent="0.25">
      <c r="A9">
        <v>15169</v>
      </c>
      <c r="B9" t="s">
        <v>4</v>
      </c>
      <c r="C9" t="s">
        <v>609</v>
      </c>
      <c r="D9" t="s">
        <v>7017</v>
      </c>
      <c r="E9" t="s">
        <v>610</v>
      </c>
      <c r="F9" t="s">
        <v>7025</v>
      </c>
    </row>
    <row r="10" spans="1:9" x14ac:dyDescent="0.25">
      <c r="A10">
        <v>15206</v>
      </c>
      <c r="B10" t="s">
        <v>4</v>
      </c>
      <c r="C10" t="s">
        <v>657</v>
      </c>
      <c r="D10" t="s">
        <v>7017</v>
      </c>
      <c r="E10" t="s">
        <v>658</v>
      </c>
      <c r="F10" t="s">
        <v>7026</v>
      </c>
    </row>
    <row r="11" spans="1:9" x14ac:dyDescent="0.25">
      <c r="A11">
        <v>15245</v>
      </c>
      <c r="B11" t="s">
        <v>4</v>
      </c>
      <c r="C11" t="s">
        <v>711</v>
      </c>
      <c r="D11" t="s">
        <v>7017</v>
      </c>
      <c r="E11" t="s">
        <v>712</v>
      </c>
      <c r="F11" t="s">
        <v>7027</v>
      </c>
    </row>
    <row r="12" spans="1:9" x14ac:dyDescent="0.25">
      <c r="A12">
        <v>15248</v>
      </c>
      <c r="B12" t="s">
        <v>4</v>
      </c>
      <c r="C12" t="s">
        <v>713</v>
      </c>
      <c r="D12" t="s">
        <v>7017</v>
      </c>
      <c r="E12" t="s">
        <v>714</v>
      </c>
      <c r="F12" t="s">
        <v>7028</v>
      </c>
    </row>
    <row r="13" spans="1:9" x14ac:dyDescent="0.25">
      <c r="A13">
        <v>15252</v>
      </c>
      <c r="B13" t="s">
        <v>4</v>
      </c>
      <c r="C13" t="s">
        <v>715</v>
      </c>
      <c r="D13" t="s">
        <v>7017</v>
      </c>
      <c r="E13" t="s">
        <v>716</v>
      </c>
      <c r="F13" t="s">
        <v>7029</v>
      </c>
    </row>
    <row r="14" spans="1:9" x14ac:dyDescent="0.25">
      <c r="A14">
        <v>15255</v>
      </c>
      <c r="B14" t="s">
        <v>4</v>
      </c>
      <c r="C14" t="s">
        <v>717</v>
      </c>
      <c r="D14" t="s">
        <v>7017</v>
      </c>
      <c r="E14" t="s">
        <v>718</v>
      </c>
      <c r="F14" t="s">
        <v>7030</v>
      </c>
    </row>
    <row r="15" spans="1:9" x14ac:dyDescent="0.25">
      <c r="A15">
        <v>15259</v>
      </c>
      <c r="B15" t="s">
        <v>4</v>
      </c>
      <c r="C15" t="s">
        <v>719</v>
      </c>
      <c r="D15" t="s">
        <v>7017</v>
      </c>
      <c r="E15" t="s">
        <v>720</v>
      </c>
      <c r="F15" t="s">
        <v>7031</v>
      </c>
    </row>
    <row r="16" spans="1:9" x14ac:dyDescent="0.25">
      <c r="A16">
        <v>15263</v>
      </c>
      <c r="B16" t="s">
        <v>4</v>
      </c>
      <c r="C16" t="s">
        <v>721</v>
      </c>
      <c r="D16" t="s">
        <v>7017</v>
      </c>
      <c r="E16" t="s">
        <v>722</v>
      </c>
      <c r="F16" t="s">
        <v>7032</v>
      </c>
      <c r="G16" t="s">
        <v>7880</v>
      </c>
      <c r="H16">
        <v>5</v>
      </c>
    </row>
    <row r="17" spans="1:6" x14ac:dyDescent="0.25">
      <c r="A17">
        <v>15266</v>
      </c>
      <c r="B17" t="s">
        <v>4</v>
      </c>
      <c r="C17" t="s">
        <v>723</v>
      </c>
      <c r="D17" t="s">
        <v>7017</v>
      </c>
      <c r="E17" t="s">
        <v>724</v>
      </c>
      <c r="F17" t="s">
        <v>7033</v>
      </c>
    </row>
    <row r="18" spans="1:6" x14ac:dyDescent="0.25">
      <c r="A18">
        <v>15269</v>
      </c>
      <c r="B18" t="s">
        <v>4</v>
      </c>
      <c r="C18" t="s">
        <v>725</v>
      </c>
      <c r="D18" t="s">
        <v>7017</v>
      </c>
      <c r="E18" t="s">
        <v>726</v>
      </c>
      <c r="F18" t="s">
        <v>7034</v>
      </c>
    </row>
    <row r="19" spans="1:6" x14ac:dyDescent="0.25">
      <c r="A19">
        <v>15272</v>
      </c>
      <c r="B19" t="s">
        <v>4</v>
      </c>
      <c r="C19" t="s">
        <v>727</v>
      </c>
      <c r="D19" t="s">
        <v>7017</v>
      </c>
      <c r="E19" t="s">
        <v>728</v>
      </c>
      <c r="F19" t="s">
        <v>7035</v>
      </c>
    </row>
    <row r="20" spans="1:6" x14ac:dyDescent="0.25">
      <c r="A20">
        <v>15275</v>
      </c>
      <c r="B20" t="s">
        <v>4</v>
      </c>
      <c r="C20" t="s">
        <v>729</v>
      </c>
      <c r="D20" t="s">
        <v>7017</v>
      </c>
      <c r="E20" t="s">
        <v>730</v>
      </c>
      <c r="F20" t="s">
        <v>7036</v>
      </c>
    </row>
    <row r="21" spans="1:6" x14ac:dyDescent="0.25">
      <c r="A21">
        <v>15279</v>
      </c>
      <c r="B21" t="s">
        <v>4</v>
      </c>
      <c r="C21" t="s">
        <v>731</v>
      </c>
      <c r="D21" t="s">
        <v>7017</v>
      </c>
      <c r="E21" t="s">
        <v>732</v>
      </c>
      <c r="F21" t="s">
        <v>7037</v>
      </c>
    </row>
    <row r="22" spans="1:6" x14ac:dyDescent="0.25">
      <c r="A22">
        <v>15282</v>
      </c>
      <c r="B22" t="s">
        <v>4</v>
      </c>
      <c r="C22" t="s">
        <v>733</v>
      </c>
      <c r="D22" t="s">
        <v>7017</v>
      </c>
      <c r="E22" t="s">
        <v>734</v>
      </c>
      <c r="F22" t="s">
        <v>7038</v>
      </c>
    </row>
    <row r="23" spans="1:6" x14ac:dyDescent="0.25">
      <c r="A23">
        <v>15286</v>
      </c>
      <c r="B23" t="s">
        <v>4</v>
      </c>
      <c r="C23" t="s">
        <v>735</v>
      </c>
      <c r="D23" t="s">
        <v>7017</v>
      </c>
      <c r="E23" t="s">
        <v>736</v>
      </c>
      <c r="F23" t="s">
        <v>7039</v>
      </c>
    </row>
    <row r="24" spans="1:6" x14ac:dyDescent="0.25">
      <c r="A24">
        <v>15289</v>
      </c>
      <c r="B24" t="s">
        <v>4</v>
      </c>
      <c r="C24" t="s">
        <v>737</v>
      </c>
      <c r="D24" t="s">
        <v>7017</v>
      </c>
      <c r="E24" t="s">
        <v>738</v>
      </c>
      <c r="F24" t="s">
        <v>7040</v>
      </c>
    </row>
    <row r="25" spans="1:6" x14ac:dyDescent="0.25">
      <c r="A25">
        <v>15294</v>
      </c>
      <c r="B25" t="s">
        <v>4</v>
      </c>
      <c r="C25" t="s">
        <v>739</v>
      </c>
      <c r="D25" t="s">
        <v>7017</v>
      </c>
      <c r="E25" t="s">
        <v>740</v>
      </c>
      <c r="F25" t="s">
        <v>7041</v>
      </c>
    </row>
    <row r="26" spans="1:6" x14ac:dyDescent="0.25">
      <c r="A26">
        <v>15298</v>
      </c>
      <c r="B26" t="s">
        <v>4</v>
      </c>
      <c r="C26" t="s">
        <v>741</v>
      </c>
      <c r="D26" t="s">
        <v>7017</v>
      </c>
      <c r="E26" t="s">
        <v>742</v>
      </c>
      <c r="F26" t="s">
        <v>7042</v>
      </c>
    </row>
    <row r="27" spans="1:6" x14ac:dyDescent="0.25">
      <c r="A27">
        <v>15305</v>
      </c>
      <c r="B27" t="s">
        <v>4</v>
      </c>
      <c r="C27" t="s">
        <v>743</v>
      </c>
      <c r="D27" t="s">
        <v>7017</v>
      </c>
      <c r="E27" t="s">
        <v>744</v>
      </c>
      <c r="F27" t="s">
        <v>7043</v>
      </c>
    </row>
    <row r="28" spans="1:6" x14ac:dyDescent="0.25">
      <c r="A28">
        <v>15310</v>
      </c>
      <c r="B28" t="s">
        <v>4</v>
      </c>
      <c r="C28" t="s">
        <v>745</v>
      </c>
      <c r="D28" t="s">
        <v>7017</v>
      </c>
      <c r="E28" t="s">
        <v>746</v>
      </c>
      <c r="F28" t="s">
        <v>7044</v>
      </c>
    </row>
    <row r="29" spans="1:6" x14ac:dyDescent="0.25">
      <c r="A29">
        <v>15314</v>
      </c>
      <c r="B29" t="s">
        <v>4</v>
      </c>
      <c r="C29" t="s">
        <v>747</v>
      </c>
      <c r="D29" t="s">
        <v>7017</v>
      </c>
      <c r="E29" t="s">
        <v>748</v>
      </c>
      <c r="F29" t="s">
        <v>7045</v>
      </c>
    </row>
    <row r="30" spans="1:6" x14ac:dyDescent="0.25">
      <c r="A30">
        <v>15319</v>
      </c>
      <c r="B30" t="s">
        <v>4</v>
      </c>
      <c r="C30" t="s">
        <v>749</v>
      </c>
      <c r="D30" t="s">
        <v>7017</v>
      </c>
      <c r="E30" t="s">
        <v>750</v>
      </c>
      <c r="F30" t="s">
        <v>7046</v>
      </c>
    </row>
    <row r="31" spans="1:6" x14ac:dyDescent="0.25">
      <c r="A31">
        <v>15323</v>
      </c>
      <c r="B31" t="s">
        <v>4</v>
      </c>
      <c r="C31" t="s">
        <v>751</v>
      </c>
      <c r="D31" t="s">
        <v>7017</v>
      </c>
      <c r="E31" t="s">
        <v>752</v>
      </c>
      <c r="F31" t="s">
        <v>7047</v>
      </c>
    </row>
    <row r="32" spans="1:6" x14ac:dyDescent="0.25">
      <c r="A32">
        <v>15328</v>
      </c>
      <c r="B32" t="s">
        <v>4</v>
      </c>
      <c r="C32" t="s">
        <v>753</v>
      </c>
      <c r="D32" t="s">
        <v>7017</v>
      </c>
      <c r="E32" t="s">
        <v>754</v>
      </c>
      <c r="F32" t="s">
        <v>7048</v>
      </c>
    </row>
    <row r="33" spans="1:6" x14ac:dyDescent="0.25">
      <c r="A33">
        <v>15333</v>
      </c>
      <c r="B33" t="s">
        <v>4</v>
      </c>
      <c r="C33" t="s">
        <v>755</v>
      </c>
      <c r="D33" t="s">
        <v>7017</v>
      </c>
      <c r="E33" t="s">
        <v>756</v>
      </c>
      <c r="F33" t="s">
        <v>7049</v>
      </c>
    </row>
    <row r="34" spans="1:6" x14ac:dyDescent="0.25">
      <c r="A34">
        <v>15337</v>
      </c>
      <c r="B34" t="s">
        <v>4</v>
      </c>
      <c r="C34" t="s">
        <v>757</v>
      </c>
      <c r="D34" t="s">
        <v>7017</v>
      </c>
      <c r="E34" t="s">
        <v>758</v>
      </c>
      <c r="F34" t="s">
        <v>7050</v>
      </c>
    </row>
    <row r="35" spans="1:6" x14ac:dyDescent="0.25">
      <c r="A35">
        <v>15340</v>
      </c>
      <c r="B35" t="s">
        <v>4</v>
      </c>
      <c r="C35" t="s">
        <v>759</v>
      </c>
      <c r="D35" t="s">
        <v>7017</v>
      </c>
      <c r="E35" t="s">
        <v>760</v>
      </c>
      <c r="F35" t="s">
        <v>7051</v>
      </c>
    </row>
    <row r="36" spans="1:6" x14ac:dyDescent="0.25">
      <c r="A36">
        <v>15343</v>
      </c>
      <c r="B36" t="s">
        <v>4</v>
      </c>
      <c r="C36" t="s">
        <v>761</v>
      </c>
      <c r="D36" t="s">
        <v>7017</v>
      </c>
      <c r="E36" t="s">
        <v>762</v>
      </c>
      <c r="F36" t="s">
        <v>7052</v>
      </c>
    </row>
    <row r="37" spans="1:6" x14ac:dyDescent="0.25">
      <c r="A37">
        <v>15346</v>
      </c>
      <c r="B37" t="s">
        <v>4</v>
      </c>
      <c r="C37" t="s">
        <v>763</v>
      </c>
      <c r="D37" t="s">
        <v>7017</v>
      </c>
      <c r="E37" t="s">
        <v>764</v>
      </c>
      <c r="F37" t="s">
        <v>7053</v>
      </c>
    </row>
    <row r="38" spans="1:6" x14ac:dyDescent="0.25">
      <c r="A38">
        <v>15349</v>
      </c>
      <c r="B38" t="s">
        <v>4</v>
      </c>
      <c r="C38" t="s">
        <v>765</v>
      </c>
      <c r="D38" t="s">
        <v>7017</v>
      </c>
      <c r="E38" t="s">
        <v>766</v>
      </c>
      <c r="F38" t="s">
        <v>7054</v>
      </c>
    </row>
    <row r="39" spans="1:6" x14ac:dyDescent="0.25">
      <c r="A39">
        <v>15352</v>
      </c>
      <c r="B39" t="s">
        <v>4</v>
      </c>
      <c r="C39" t="s">
        <v>767</v>
      </c>
      <c r="D39" t="s">
        <v>7017</v>
      </c>
      <c r="E39" t="s">
        <v>768</v>
      </c>
      <c r="F39" t="s">
        <v>7055</v>
      </c>
    </row>
    <row r="40" spans="1:6" x14ac:dyDescent="0.25">
      <c r="A40">
        <v>15357</v>
      </c>
      <c r="B40" t="s">
        <v>4</v>
      </c>
      <c r="C40" t="s">
        <v>769</v>
      </c>
      <c r="D40" t="s">
        <v>7017</v>
      </c>
      <c r="E40" t="s">
        <v>770</v>
      </c>
      <c r="F40" t="s">
        <v>7056</v>
      </c>
    </row>
    <row r="41" spans="1:6" x14ac:dyDescent="0.25">
      <c r="A41">
        <v>15362</v>
      </c>
      <c r="B41" t="s">
        <v>4</v>
      </c>
      <c r="C41" t="s">
        <v>771</v>
      </c>
      <c r="D41" t="s">
        <v>7017</v>
      </c>
      <c r="E41" t="s">
        <v>772</v>
      </c>
      <c r="F41" t="s">
        <v>7057</v>
      </c>
    </row>
    <row r="42" spans="1:6" x14ac:dyDescent="0.25">
      <c r="A42">
        <v>15367</v>
      </c>
      <c r="B42" t="s">
        <v>4</v>
      </c>
      <c r="C42" t="s">
        <v>773</v>
      </c>
      <c r="D42" t="s">
        <v>7017</v>
      </c>
      <c r="E42" t="s">
        <v>774</v>
      </c>
      <c r="F42" t="s">
        <v>7058</v>
      </c>
    </row>
    <row r="43" spans="1:6" x14ac:dyDescent="0.25">
      <c r="A43">
        <v>15408</v>
      </c>
      <c r="B43" t="s">
        <v>4</v>
      </c>
      <c r="C43" t="s">
        <v>833</v>
      </c>
      <c r="D43" t="s">
        <v>7017</v>
      </c>
      <c r="E43" t="s">
        <v>834</v>
      </c>
      <c r="F43" t="s">
        <v>7059</v>
      </c>
    </row>
    <row r="44" spans="1:6" x14ac:dyDescent="0.25">
      <c r="A44">
        <v>15413</v>
      </c>
      <c r="B44" t="s">
        <v>4</v>
      </c>
      <c r="C44" t="s">
        <v>835</v>
      </c>
      <c r="D44" t="s">
        <v>7017</v>
      </c>
      <c r="E44" t="s">
        <v>836</v>
      </c>
      <c r="F44" t="s">
        <v>7060</v>
      </c>
    </row>
    <row r="45" spans="1:6" x14ac:dyDescent="0.25">
      <c r="A45">
        <v>15418</v>
      </c>
      <c r="B45" t="s">
        <v>4</v>
      </c>
      <c r="C45" t="s">
        <v>837</v>
      </c>
      <c r="D45" t="s">
        <v>7017</v>
      </c>
      <c r="E45" t="s">
        <v>838</v>
      </c>
      <c r="F45" t="s">
        <v>7061</v>
      </c>
    </row>
    <row r="46" spans="1:6" x14ac:dyDescent="0.25">
      <c r="A46">
        <v>15426</v>
      </c>
      <c r="B46" t="s">
        <v>4</v>
      </c>
      <c r="C46" t="s">
        <v>839</v>
      </c>
      <c r="D46" t="s">
        <v>7017</v>
      </c>
      <c r="E46" t="s">
        <v>840</v>
      </c>
      <c r="F46" t="s">
        <v>7062</v>
      </c>
    </row>
    <row r="47" spans="1:6" x14ac:dyDescent="0.25">
      <c r="A47">
        <v>15431</v>
      </c>
      <c r="B47" t="s">
        <v>4</v>
      </c>
      <c r="C47" t="s">
        <v>841</v>
      </c>
      <c r="D47" t="s">
        <v>7017</v>
      </c>
      <c r="E47" t="s">
        <v>842</v>
      </c>
      <c r="F47" t="s">
        <v>7063</v>
      </c>
    </row>
    <row r="48" spans="1:6" x14ac:dyDescent="0.25">
      <c r="A48">
        <v>15457</v>
      </c>
      <c r="B48" t="s">
        <v>4</v>
      </c>
      <c r="C48" t="s">
        <v>869</v>
      </c>
      <c r="D48" t="s">
        <v>7017</v>
      </c>
      <c r="E48" t="s">
        <v>870</v>
      </c>
      <c r="F48" t="s">
        <v>7064</v>
      </c>
    </row>
    <row r="49" spans="1:6" x14ac:dyDescent="0.25">
      <c r="A49">
        <v>15460</v>
      </c>
      <c r="B49" t="s">
        <v>4</v>
      </c>
      <c r="C49" t="s">
        <v>871</v>
      </c>
      <c r="D49" t="s">
        <v>7017</v>
      </c>
      <c r="E49" t="s">
        <v>872</v>
      </c>
      <c r="F49" t="s">
        <v>7065</v>
      </c>
    </row>
    <row r="50" spans="1:6" x14ac:dyDescent="0.25">
      <c r="A50">
        <v>15463</v>
      </c>
      <c r="B50" t="s">
        <v>4</v>
      </c>
      <c r="C50" t="s">
        <v>873</v>
      </c>
      <c r="D50" t="s">
        <v>7017</v>
      </c>
      <c r="E50" t="s">
        <v>874</v>
      </c>
      <c r="F50" t="s">
        <v>7066</v>
      </c>
    </row>
    <row r="51" spans="1:6" x14ac:dyDescent="0.25">
      <c r="A51">
        <v>15466</v>
      </c>
      <c r="B51" t="s">
        <v>4</v>
      </c>
      <c r="C51" t="s">
        <v>875</v>
      </c>
      <c r="D51" t="s">
        <v>7017</v>
      </c>
      <c r="E51" t="s">
        <v>876</v>
      </c>
      <c r="F51" t="s">
        <v>7067</v>
      </c>
    </row>
    <row r="52" spans="1:6" x14ac:dyDescent="0.25">
      <c r="A52">
        <v>15469</v>
      </c>
      <c r="B52" t="s">
        <v>4</v>
      </c>
      <c r="C52" t="s">
        <v>877</v>
      </c>
      <c r="D52" t="s">
        <v>7017</v>
      </c>
      <c r="E52" t="s">
        <v>878</v>
      </c>
      <c r="F52" t="s">
        <v>7068</v>
      </c>
    </row>
    <row r="53" spans="1:6" x14ac:dyDescent="0.25">
      <c r="A53">
        <v>15472</v>
      </c>
      <c r="B53" t="s">
        <v>4</v>
      </c>
      <c r="C53" t="s">
        <v>879</v>
      </c>
      <c r="D53" t="s">
        <v>7017</v>
      </c>
      <c r="E53" t="s">
        <v>880</v>
      </c>
      <c r="F53" t="s">
        <v>7069</v>
      </c>
    </row>
    <row r="54" spans="1:6" x14ac:dyDescent="0.25">
      <c r="A54">
        <v>15475</v>
      </c>
      <c r="B54" t="s">
        <v>4</v>
      </c>
      <c r="C54" t="s">
        <v>881</v>
      </c>
      <c r="D54" t="s">
        <v>7017</v>
      </c>
      <c r="E54" t="s">
        <v>882</v>
      </c>
      <c r="F54" t="s">
        <v>7070</v>
      </c>
    </row>
    <row r="55" spans="1:6" x14ac:dyDescent="0.25">
      <c r="A55">
        <v>15478</v>
      </c>
      <c r="B55" t="s">
        <v>4</v>
      </c>
      <c r="C55" t="s">
        <v>883</v>
      </c>
      <c r="D55" t="s">
        <v>7017</v>
      </c>
      <c r="E55" t="s">
        <v>884</v>
      </c>
      <c r="F55" t="s">
        <v>7071</v>
      </c>
    </row>
    <row r="56" spans="1:6" x14ac:dyDescent="0.25">
      <c r="A56">
        <v>15482</v>
      </c>
      <c r="B56" t="s">
        <v>4</v>
      </c>
      <c r="C56" t="s">
        <v>885</v>
      </c>
      <c r="D56" t="s">
        <v>7017</v>
      </c>
      <c r="E56" t="s">
        <v>886</v>
      </c>
      <c r="F56" t="s">
        <v>7072</v>
      </c>
    </row>
    <row r="57" spans="1:6" x14ac:dyDescent="0.25">
      <c r="A57">
        <v>15485</v>
      </c>
      <c r="B57" t="s">
        <v>4</v>
      </c>
      <c r="C57" t="s">
        <v>887</v>
      </c>
      <c r="D57" t="s">
        <v>7017</v>
      </c>
      <c r="E57" t="s">
        <v>888</v>
      </c>
      <c r="F57" t="s">
        <v>7073</v>
      </c>
    </row>
    <row r="58" spans="1:6" x14ac:dyDescent="0.25">
      <c r="A58">
        <v>15488</v>
      </c>
      <c r="B58" t="s">
        <v>4</v>
      </c>
      <c r="C58" t="s">
        <v>889</v>
      </c>
      <c r="D58" t="s">
        <v>7017</v>
      </c>
      <c r="E58" t="s">
        <v>890</v>
      </c>
      <c r="F58" t="s">
        <v>7074</v>
      </c>
    </row>
    <row r="59" spans="1:6" x14ac:dyDescent="0.25">
      <c r="A59">
        <v>15491</v>
      </c>
      <c r="B59" t="s">
        <v>4</v>
      </c>
      <c r="C59" t="s">
        <v>891</v>
      </c>
      <c r="D59" t="s">
        <v>7017</v>
      </c>
      <c r="E59" t="s">
        <v>892</v>
      </c>
      <c r="F59" t="s">
        <v>7075</v>
      </c>
    </row>
    <row r="60" spans="1:6" x14ac:dyDescent="0.25">
      <c r="A60">
        <v>15494</v>
      </c>
      <c r="B60" t="s">
        <v>4</v>
      </c>
      <c r="C60" t="s">
        <v>893</v>
      </c>
      <c r="D60" t="s">
        <v>7017</v>
      </c>
      <c r="E60" t="s">
        <v>894</v>
      </c>
      <c r="F60" t="s">
        <v>7076</v>
      </c>
    </row>
    <row r="61" spans="1:6" x14ac:dyDescent="0.25">
      <c r="A61">
        <v>15497</v>
      </c>
      <c r="B61" t="s">
        <v>4</v>
      </c>
      <c r="C61" t="s">
        <v>895</v>
      </c>
      <c r="D61" t="s">
        <v>7017</v>
      </c>
      <c r="E61" t="s">
        <v>896</v>
      </c>
      <c r="F61" t="s">
        <v>7077</v>
      </c>
    </row>
    <row r="62" spans="1:6" x14ac:dyDescent="0.25">
      <c r="A62">
        <v>15500</v>
      </c>
      <c r="B62" t="s">
        <v>4</v>
      </c>
      <c r="C62" t="s">
        <v>897</v>
      </c>
      <c r="D62" t="s">
        <v>7017</v>
      </c>
      <c r="E62" t="s">
        <v>898</v>
      </c>
      <c r="F62" t="s">
        <v>7078</v>
      </c>
    </row>
    <row r="63" spans="1:6" x14ac:dyDescent="0.25">
      <c r="A63">
        <v>15504</v>
      </c>
      <c r="B63" t="s">
        <v>4</v>
      </c>
      <c r="C63" t="s">
        <v>899</v>
      </c>
      <c r="D63" t="s">
        <v>7017</v>
      </c>
      <c r="E63" t="s">
        <v>900</v>
      </c>
      <c r="F63" t="s">
        <v>7079</v>
      </c>
    </row>
    <row r="64" spans="1:6" x14ac:dyDescent="0.25">
      <c r="A64">
        <v>15507</v>
      </c>
      <c r="B64" t="s">
        <v>4</v>
      </c>
      <c r="C64" t="s">
        <v>901</v>
      </c>
      <c r="D64" t="s">
        <v>7017</v>
      </c>
      <c r="E64" t="s">
        <v>902</v>
      </c>
      <c r="F64" t="s">
        <v>7080</v>
      </c>
    </row>
    <row r="65" spans="1:6" x14ac:dyDescent="0.25">
      <c r="A65">
        <v>15510</v>
      </c>
      <c r="B65" t="s">
        <v>4</v>
      </c>
      <c r="C65" t="s">
        <v>903</v>
      </c>
      <c r="D65" t="s">
        <v>7017</v>
      </c>
      <c r="E65" t="s">
        <v>904</v>
      </c>
      <c r="F65" t="s">
        <v>7081</v>
      </c>
    </row>
    <row r="66" spans="1:6" x14ac:dyDescent="0.25">
      <c r="A66">
        <v>15513</v>
      </c>
      <c r="B66" t="s">
        <v>4</v>
      </c>
      <c r="C66" t="s">
        <v>905</v>
      </c>
      <c r="D66" t="s">
        <v>7017</v>
      </c>
      <c r="E66" t="s">
        <v>906</v>
      </c>
      <c r="F66" t="s">
        <v>7082</v>
      </c>
    </row>
    <row r="67" spans="1:6" x14ac:dyDescent="0.25">
      <c r="A67">
        <v>15516</v>
      </c>
      <c r="B67" t="s">
        <v>4</v>
      </c>
      <c r="C67" t="s">
        <v>907</v>
      </c>
      <c r="D67" t="s">
        <v>7017</v>
      </c>
      <c r="E67" t="s">
        <v>908</v>
      </c>
      <c r="F67" t="s">
        <v>7083</v>
      </c>
    </row>
    <row r="68" spans="1:6" x14ac:dyDescent="0.25">
      <c r="A68">
        <v>15519</v>
      </c>
      <c r="B68" t="s">
        <v>4</v>
      </c>
      <c r="C68" t="s">
        <v>909</v>
      </c>
      <c r="D68" t="s">
        <v>7017</v>
      </c>
      <c r="E68" t="s">
        <v>910</v>
      </c>
      <c r="F68" t="s">
        <v>7084</v>
      </c>
    </row>
    <row r="69" spans="1:6" x14ac:dyDescent="0.25">
      <c r="A69">
        <v>15522</v>
      </c>
      <c r="B69" t="s">
        <v>4</v>
      </c>
      <c r="C69" t="s">
        <v>911</v>
      </c>
      <c r="D69" t="s">
        <v>7017</v>
      </c>
      <c r="E69" t="s">
        <v>912</v>
      </c>
      <c r="F69" t="s">
        <v>7085</v>
      </c>
    </row>
    <row r="70" spans="1:6" x14ac:dyDescent="0.25">
      <c r="A70">
        <v>15525</v>
      </c>
      <c r="B70" t="s">
        <v>4</v>
      </c>
      <c r="C70" t="s">
        <v>913</v>
      </c>
      <c r="D70" t="s">
        <v>7017</v>
      </c>
      <c r="E70" t="s">
        <v>914</v>
      </c>
      <c r="F70" t="s">
        <v>7086</v>
      </c>
    </row>
    <row r="71" spans="1:6" x14ac:dyDescent="0.25">
      <c r="A71">
        <v>15529</v>
      </c>
      <c r="B71" t="s">
        <v>4</v>
      </c>
      <c r="C71" t="s">
        <v>915</v>
      </c>
      <c r="D71" t="s">
        <v>7017</v>
      </c>
      <c r="E71" t="s">
        <v>916</v>
      </c>
      <c r="F71" t="s">
        <v>7087</v>
      </c>
    </row>
    <row r="72" spans="1:6" x14ac:dyDescent="0.25">
      <c r="A72">
        <v>15532</v>
      </c>
      <c r="B72" t="s">
        <v>4</v>
      </c>
      <c r="C72" t="s">
        <v>917</v>
      </c>
      <c r="D72" t="s">
        <v>7017</v>
      </c>
      <c r="E72" t="s">
        <v>918</v>
      </c>
      <c r="F72" t="s">
        <v>7088</v>
      </c>
    </row>
    <row r="73" spans="1:6" x14ac:dyDescent="0.25">
      <c r="A73">
        <v>15536</v>
      </c>
      <c r="B73" t="s">
        <v>4</v>
      </c>
      <c r="C73" t="s">
        <v>919</v>
      </c>
      <c r="D73" t="s">
        <v>7017</v>
      </c>
      <c r="E73" t="s">
        <v>920</v>
      </c>
      <c r="F73" t="s">
        <v>7089</v>
      </c>
    </row>
    <row r="74" spans="1:6" x14ac:dyDescent="0.25">
      <c r="A74">
        <v>15540</v>
      </c>
      <c r="B74" t="s">
        <v>4</v>
      </c>
      <c r="C74" t="s">
        <v>921</v>
      </c>
      <c r="D74" t="s">
        <v>7017</v>
      </c>
      <c r="E74" t="s">
        <v>922</v>
      </c>
      <c r="F74" t="s">
        <v>7090</v>
      </c>
    </row>
    <row r="75" spans="1:6" x14ac:dyDescent="0.25">
      <c r="A75">
        <v>15543</v>
      </c>
      <c r="B75" t="s">
        <v>4</v>
      </c>
      <c r="C75" t="s">
        <v>923</v>
      </c>
      <c r="D75" t="s">
        <v>7017</v>
      </c>
      <c r="E75" t="s">
        <v>924</v>
      </c>
      <c r="F75" t="s">
        <v>7091</v>
      </c>
    </row>
    <row r="76" spans="1:6" x14ac:dyDescent="0.25">
      <c r="A76">
        <v>15546</v>
      </c>
      <c r="B76" t="s">
        <v>4</v>
      </c>
      <c r="C76" t="s">
        <v>925</v>
      </c>
      <c r="D76" t="s">
        <v>7017</v>
      </c>
      <c r="E76" t="s">
        <v>926</v>
      </c>
      <c r="F76" t="s">
        <v>7092</v>
      </c>
    </row>
    <row r="77" spans="1:6" x14ac:dyDescent="0.25">
      <c r="A77">
        <v>15549</v>
      </c>
      <c r="B77" t="s">
        <v>4</v>
      </c>
      <c r="C77" t="s">
        <v>927</v>
      </c>
      <c r="D77" t="s">
        <v>7017</v>
      </c>
      <c r="E77" t="s">
        <v>928</v>
      </c>
      <c r="F77" t="s">
        <v>7093</v>
      </c>
    </row>
    <row r="78" spans="1:6" x14ac:dyDescent="0.25">
      <c r="A78">
        <v>15552</v>
      </c>
      <c r="B78" t="s">
        <v>4</v>
      </c>
      <c r="C78" t="s">
        <v>929</v>
      </c>
      <c r="D78" t="s">
        <v>7017</v>
      </c>
      <c r="E78" t="s">
        <v>930</v>
      </c>
      <c r="F78" t="s">
        <v>7094</v>
      </c>
    </row>
    <row r="79" spans="1:6" x14ac:dyDescent="0.25">
      <c r="A79">
        <v>15555</v>
      </c>
      <c r="B79" t="s">
        <v>4</v>
      </c>
      <c r="C79" t="s">
        <v>931</v>
      </c>
      <c r="D79" t="s">
        <v>7017</v>
      </c>
      <c r="E79" t="s">
        <v>932</v>
      </c>
      <c r="F79" t="s">
        <v>7095</v>
      </c>
    </row>
    <row r="80" spans="1:6" x14ac:dyDescent="0.25">
      <c r="A80">
        <v>15558</v>
      </c>
      <c r="B80" t="s">
        <v>4</v>
      </c>
      <c r="C80" t="s">
        <v>933</v>
      </c>
      <c r="D80" t="s">
        <v>7017</v>
      </c>
      <c r="E80" t="s">
        <v>934</v>
      </c>
      <c r="F80" t="s">
        <v>7096</v>
      </c>
    </row>
    <row r="81" spans="1:6" x14ac:dyDescent="0.25">
      <c r="A81">
        <v>15561</v>
      </c>
      <c r="B81" t="s">
        <v>4</v>
      </c>
      <c r="C81" t="s">
        <v>935</v>
      </c>
      <c r="D81" t="s">
        <v>7017</v>
      </c>
      <c r="E81" t="s">
        <v>936</v>
      </c>
      <c r="F81" t="s">
        <v>7097</v>
      </c>
    </row>
    <row r="82" spans="1:6" x14ac:dyDescent="0.25">
      <c r="A82">
        <v>15564</v>
      </c>
      <c r="B82" t="s">
        <v>4</v>
      </c>
      <c r="C82" t="s">
        <v>937</v>
      </c>
      <c r="D82" t="s">
        <v>7017</v>
      </c>
      <c r="E82" t="s">
        <v>938</v>
      </c>
      <c r="F82" t="s">
        <v>7098</v>
      </c>
    </row>
    <row r="83" spans="1:6" x14ac:dyDescent="0.25">
      <c r="A83">
        <v>15567</v>
      </c>
      <c r="B83" t="s">
        <v>4</v>
      </c>
      <c r="C83" t="s">
        <v>939</v>
      </c>
      <c r="D83" t="s">
        <v>7017</v>
      </c>
      <c r="E83" t="s">
        <v>940</v>
      </c>
      <c r="F83" t="s">
        <v>7099</v>
      </c>
    </row>
    <row r="84" spans="1:6" x14ac:dyDescent="0.25">
      <c r="A84">
        <v>15570</v>
      </c>
      <c r="B84" t="s">
        <v>4</v>
      </c>
      <c r="C84" t="s">
        <v>941</v>
      </c>
      <c r="D84" t="s">
        <v>7017</v>
      </c>
      <c r="E84" t="s">
        <v>942</v>
      </c>
      <c r="F84" t="s">
        <v>7100</v>
      </c>
    </row>
    <row r="85" spans="1:6" x14ac:dyDescent="0.25">
      <c r="A85">
        <v>15573</v>
      </c>
      <c r="B85" t="s">
        <v>4</v>
      </c>
      <c r="C85" t="s">
        <v>943</v>
      </c>
      <c r="D85" t="s">
        <v>7017</v>
      </c>
      <c r="E85" t="s">
        <v>944</v>
      </c>
      <c r="F85" t="s">
        <v>7101</v>
      </c>
    </row>
    <row r="86" spans="1:6" x14ac:dyDescent="0.25">
      <c r="A86">
        <v>15576</v>
      </c>
      <c r="B86" t="s">
        <v>4</v>
      </c>
      <c r="C86" t="s">
        <v>945</v>
      </c>
      <c r="D86" t="s">
        <v>7017</v>
      </c>
      <c r="E86" t="s">
        <v>946</v>
      </c>
      <c r="F86" t="s">
        <v>7102</v>
      </c>
    </row>
    <row r="87" spans="1:6" x14ac:dyDescent="0.25">
      <c r="A87">
        <v>15579</v>
      </c>
      <c r="B87" t="s">
        <v>4</v>
      </c>
      <c r="C87" t="s">
        <v>947</v>
      </c>
      <c r="D87" t="s">
        <v>7017</v>
      </c>
      <c r="E87" t="s">
        <v>948</v>
      </c>
      <c r="F87" t="s">
        <v>7103</v>
      </c>
    </row>
    <row r="88" spans="1:6" x14ac:dyDescent="0.25">
      <c r="A88">
        <v>15582</v>
      </c>
      <c r="B88" t="s">
        <v>4</v>
      </c>
      <c r="C88" t="s">
        <v>949</v>
      </c>
      <c r="D88" t="s">
        <v>7017</v>
      </c>
      <c r="E88" t="s">
        <v>950</v>
      </c>
      <c r="F88" t="s">
        <v>7104</v>
      </c>
    </row>
    <row r="89" spans="1:6" x14ac:dyDescent="0.25">
      <c r="A89">
        <v>15585</v>
      </c>
      <c r="B89" t="s">
        <v>4</v>
      </c>
      <c r="C89" t="s">
        <v>951</v>
      </c>
      <c r="D89" t="s">
        <v>7017</v>
      </c>
      <c r="E89" t="s">
        <v>952</v>
      </c>
      <c r="F89" t="s">
        <v>7105</v>
      </c>
    </row>
    <row r="90" spans="1:6" x14ac:dyDescent="0.25">
      <c r="A90">
        <v>15588</v>
      </c>
      <c r="B90" t="s">
        <v>4</v>
      </c>
      <c r="C90" t="s">
        <v>953</v>
      </c>
      <c r="D90" t="s">
        <v>7017</v>
      </c>
      <c r="E90" t="s">
        <v>954</v>
      </c>
      <c r="F90" t="s">
        <v>7106</v>
      </c>
    </row>
    <row r="91" spans="1:6" x14ac:dyDescent="0.25">
      <c r="A91">
        <v>15591</v>
      </c>
      <c r="B91" t="s">
        <v>4</v>
      </c>
      <c r="C91" t="s">
        <v>955</v>
      </c>
      <c r="D91" t="s">
        <v>7017</v>
      </c>
      <c r="E91" t="s">
        <v>956</v>
      </c>
      <c r="F91" t="s">
        <v>7107</v>
      </c>
    </row>
    <row r="92" spans="1:6" x14ac:dyDescent="0.25">
      <c r="A92">
        <v>15625</v>
      </c>
      <c r="B92" t="s">
        <v>4</v>
      </c>
      <c r="C92" t="s">
        <v>1005</v>
      </c>
      <c r="D92" t="s">
        <v>7017</v>
      </c>
      <c r="E92" t="s">
        <v>1006</v>
      </c>
      <c r="F92" t="s">
        <v>7108</v>
      </c>
    </row>
    <row r="93" spans="1:6" x14ac:dyDescent="0.25">
      <c r="A93">
        <v>15628</v>
      </c>
      <c r="B93" t="s">
        <v>4</v>
      </c>
      <c r="C93" t="s">
        <v>1007</v>
      </c>
      <c r="D93" t="s">
        <v>7017</v>
      </c>
      <c r="E93" t="s">
        <v>1008</v>
      </c>
      <c r="F93" t="s">
        <v>7109</v>
      </c>
    </row>
    <row r="94" spans="1:6" x14ac:dyDescent="0.25">
      <c r="A94">
        <v>15631</v>
      </c>
      <c r="B94" t="s">
        <v>4</v>
      </c>
      <c r="C94" t="s">
        <v>1009</v>
      </c>
      <c r="D94" t="s">
        <v>7017</v>
      </c>
      <c r="E94" t="s">
        <v>1010</v>
      </c>
      <c r="F94" t="s">
        <v>7110</v>
      </c>
    </row>
    <row r="95" spans="1:6" x14ac:dyDescent="0.25">
      <c r="A95">
        <v>15634</v>
      </c>
      <c r="B95" t="s">
        <v>4</v>
      </c>
      <c r="C95" t="s">
        <v>1011</v>
      </c>
      <c r="D95" t="s">
        <v>7017</v>
      </c>
      <c r="E95" t="s">
        <v>1012</v>
      </c>
      <c r="F95" t="s">
        <v>7111</v>
      </c>
    </row>
    <row r="96" spans="1:6" x14ac:dyDescent="0.25">
      <c r="A96">
        <v>15637</v>
      </c>
      <c r="B96" t="s">
        <v>4</v>
      </c>
      <c r="C96" t="s">
        <v>1013</v>
      </c>
      <c r="D96" t="s">
        <v>7017</v>
      </c>
      <c r="E96" t="s">
        <v>1014</v>
      </c>
      <c r="F96" t="s">
        <v>7112</v>
      </c>
    </row>
    <row r="97" spans="1:6" x14ac:dyDescent="0.25">
      <c r="A97">
        <v>15640</v>
      </c>
      <c r="B97" t="s">
        <v>4</v>
      </c>
      <c r="C97" t="s">
        <v>1015</v>
      </c>
      <c r="D97" t="s">
        <v>7017</v>
      </c>
      <c r="E97" t="s">
        <v>1016</v>
      </c>
      <c r="F97" t="s">
        <v>7113</v>
      </c>
    </row>
    <row r="98" spans="1:6" x14ac:dyDescent="0.25">
      <c r="A98">
        <v>15643</v>
      </c>
      <c r="B98" t="s">
        <v>4</v>
      </c>
      <c r="C98" t="s">
        <v>1017</v>
      </c>
      <c r="D98" t="s">
        <v>7017</v>
      </c>
      <c r="E98" t="s">
        <v>1018</v>
      </c>
      <c r="F98" t="s">
        <v>7114</v>
      </c>
    </row>
    <row r="99" spans="1:6" x14ac:dyDescent="0.25">
      <c r="A99">
        <v>15646</v>
      </c>
      <c r="B99" t="s">
        <v>4</v>
      </c>
      <c r="C99" t="s">
        <v>1019</v>
      </c>
      <c r="D99" t="s">
        <v>7017</v>
      </c>
      <c r="E99" t="s">
        <v>1020</v>
      </c>
      <c r="F99" t="s">
        <v>7115</v>
      </c>
    </row>
    <row r="100" spans="1:6" x14ac:dyDescent="0.25">
      <c r="A100">
        <v>15649</v>
      </c>
      <c r="B100" t="s">
        <v>4</v>
      </c>
      <c r="C100" t="s">
        <v>1021</v>
      </c>
      <c r="D100" t="s">
        <v>7017</v>
      </c>
      <c r="E100" t="s">
        <v>1022</v>
      </c>
      <c r="F100" t="s">
        <v>7116</v>
      </c>
    </row>
    <row r="101" spans="1:6" x14ac:dyDescent="0.25">
      <c r="A101">
        <v>15652</v>
      </c>
      <c r="B101" t="s">
        <v>4</v>
      </c>
      <c r="C101" t="s">
        <v>1023</v>
      </c>
      <c r="D101" t="s">
        <v>7017</v>
      </c>
      <c r="E101" t="s">
        <v>1024</v>
      </c>
      <c r="F101" t="s">
        <v>7117</v>
      </c>
    </row>
    <row r="102" spans="1:6" x14ac:dyDescent="0.25">
      <c r="A102">
        <v>15655</v>
      </c>
      <c r="B102" t="s">
        <v>4</v>
      </c>
      <c r="C102" t="s">
        <v>1025</v>
      </c>
      <c r="D102" t="s">
        <v>7017</v>
      </c>
      <c r="E102" t="s">
        <v>1026</v>
      </c>
      <c r="F102" t="s">
        <v>7118</v>
      </c>
    </row>
    <row r="103" spans="1:6" x14ac:dyDescent="0.25">
      <c r="A103">
        <v>15676</v>
      </c>
      <c r="B103" t="s">
        <v>4</v>
      </c>
      <c r="C103" t="s">
        <v>1045</v>
      </c>
      <c r="D103" t="s">
        <v>7017</v>
      </c>
      <c r="E103" t="s">
        <v>1046</v>
      </c>
      <c r="F103" t="s">
        <v>7119</v>
      </c>
    </row>
    <row r="104" spans="1:6" x14ac:dyDescent="0.25">
      <c r="A104">
        <v>15679</v>
      </c>
      <c r="B104" t="s">
        <v>4</v>
      </c>
      <c r="C104" t="s">
        <v>1047</v>
      </c>
      <c r="D104" t="s">
        <v>7017</v>
      </c>
      <c r="E104" t="s">
        <v>1048</v>
      </c>
      <c r="F104" t="s">
        <v>7120</v>
      </c>
    </row>
    <row r="105" spans="1:6" x14ac:dyDescent="0.25">
      <c r="A105">
        <v>15735</v>
      </c>
      <c r="B105" t="s">
        <v>4</v>
      </c>
      <c r="C105" t="s">
        <v>1103</v>
      </c>
      <c r="D105" t="s">
        <v>7017</v>
      </c>
      <c r="E105" t="s">
        <v>1104</v>
      </c>
      <c r="F105" t="s">
        <v>7121</v>
      </c>
    </row>
    <row r="106" spans="1:6" x14ac:dyDescent="0.25">
      <c r="A106">
        <v>15738</v>
      </c>
      <c r="B106" t="s">
        <v>4</v>
      </c>
      <c r="C106" t="s">
        <v>1105</v>
      </c>
      <c r="D106" t="s">
        <v>7017</v>
      </c>
      <c r="E106" t="s">
        <v>1106</v>
      </c>
      <c r="F106" t="s">
        <v>7122</v>
      </c>
    </row>
    <row r="107" spans="1:6" x14ac:dyDescent="0.25">
      <c r="A107">
        <v>15741</v>
      </c>
      <c r="B107" t="s">
        <v>4</v>
      </c>
      <c r="C107" t="s">
        <v>1107</v>
      </c>
      <c r="D107" t="s">
        <v>7017</v>
      </c>
      <c r="E107" t="s">
        <v>1108</v>
      </c>
      <c r="F107" t="s">
        <v>7123</v>
      </c>
    </row>
    <row r="108" spans="1:6" x14ac:dyDescent="0.25">
      <c r="A108">
        <v>15747</v>
      </c>
      <c r="B108" t="s">
        <v>4</v>
      </c>
      <c r="C108" t="s">
        <v>1109</v>
      </c>
      <c r="D108" t="s">
        <v>7017</v>
      </c>
      <c r="E108" t="s">
        <v>1110</v>
      </c>
      <c r="F108" t="s">
        <v>7124</v>
      </c>
    </row>
    <row r="109" spans="1:6" x14ac:dyDescent="0.25">
      <c r="A109">
        <v>15750</v>
      </c>
      <c r="B109" t="s">
        <v>4</v>
      </c>
      <c r="C109" t="s">
        <v>1111</v>
      </c>
      <c r="D109" t="s">
        <v>7017</v>
      </c>
      <c r="E109" t="s">
        <v>1112</v>
      </c>
      <c r="F109" t="s">
        <v>7125</v>
      </c>
    </row>
    <row r="110" spans="1:6" x14ac:dyDescent="0.25">
      <c r="A110">
        <v>15753</v>
      </c>
      <c r="B110" t="s">
        <v>4</v>
      </c>
      <c r="C110" t="s">
        <v>1113</v>
      </c>
      <c r="D110" t="s">
        <v>7017</v>
      </c>
      <c r="E110" t="s">
        <v>1114</v>
      </c>
      <c r="F110" t="s">
        <v>7126</v>
      </c>
    </row>
    <row r="111" spans="1:6" x14ac:dyDescent="0.25">
      <c r="A111">
        <v>15756</v>
      </c>
      <c r="B111" t="s">
        <v>4</v>
      </c>
      <c r="C111" t="s">
        <v>1115</v>
      </c>
      <c r="D111" t="s">
        <v>7017</v>
      </c>
      <c r="E111" t="s">
        <v>1116</v>
      </c>
      <c r="F111" t="s">
        <v>7127</v>
      </c>
    </row>
    <row r="112" spans="1:6" x14ac:dyDescent="0.25">
      <c r="A112">
        <v>15759</v>
      </c>
      <c r="B112" t="s">
        <v>4</v>
      </c>
      <c r="C112" t="s">
        <v>1117</v>
      </c>
      <c r="D112" t="s">
        <v>7017</v>
      </c>
      <c r="E112" t="s">
        <v>1118</v>
      </c>
      <c r="F112" t="s">
        <v>7128</v>
      </c>
    </row>
    <row r="113" spans="1:6" x14ac:dyDescent="0.25">
      <c r="A113">
        <v>15762</v>
      </c>
      <c r="B113" t="s">
        <v>4</v>
      </c>
      <c r="C113" t="s">
        <v>1119</v>
      </c>
      <c r="D113" t="s">
        <v>7017</v>
      </c>
      <c r="E113" t="s">
        <v>1120</v>
      </c>
      <c r="F113" t="s">
        <v>7129</v>
      </c>
    </row>
    <row r="114" spans="1:6" x14ac:dyDescent="0.25">
      <c r="A114">
        <v>15765</v>
      </c>
      <c r="B114" t="s">
        <v>4</v>
      </c>
      <c r="C114" t="s">
        <v>1121</v>
      </c>
      <c r="D114" t="s">
        <v>7017</v>
      </c>
      <c r="E114" t="s">
        <v>1122</v>
      </c>
      <c r="F114" t="s">
        <v>7130</v>
      </c>
    </row>
    <row r="115" spans="1:6" x14ac:dyDescent="0.25">
      <c r="A115">
        <v>15768</v>
      </c>
      <c r="B115" t="s">
        <v>4</v>
      </c>
      <c r="C115" t="s">
        <v>1123</v>
      </c>
      <c r="D115" t="s">
        <v>7017</v>
      </c>
      <c r="E115" t="s">
        <v>1124</v>
      </c>
      <c r="F115" t="s">
        <v>7131</v>
      </c>
    </row>
    <row r="116" spans="1:6" x14ac:dyDescent="0.25">
      <c r="A116">
        <v>15771</v>
      </c>
      <c r="B116" t="s">
        <v>4</v>
      </c>
      <c r="C116" t="s">
        <v>1125</v>
      </c>
      <c r="D116" t="s">
        <v>7017</v>
      </c>
      <c r="E116" t="s">
        <v>1126</v>
      </c>
      <c r="F116" t="s">
        <v>7132</v>
      </c>
    </row>
    <row r="117" spans="1:6" x14ac:dyDescent="0.25">
      <c r="A117">
        <v>15774</v>
      </c>
      <c r="B117" t="s">
        <v>4</v>
      </c>
      <c r="C117" t="s">
        <v>1127</v>
      </c>
      <c r="D117" t="s">
        <v>7017</v>
      </c>
      <c r="E117" t="s">
        <v>1128</v>
      </c>
      <c r="F117" t="s">
        <v>7133</v>
      </c>
    </row>
    <row r="118" spans="1:6" x14ac:dyDescent="0.25">
      <c r="A118">
        <v>15791</v>
      </c>
      <c r="B118" t="s">
        <v>4</v>
      </c>
      <c r="C118" t="s">
        <v>1143</v>
      </c>
      <c r="D118" t="s">
        <v>7017</v>
      </c>
      <c r="E118" t="s">
        <v>1144</v>
      </c>
      <c r="F118" t="s">
        <v>7134</v>
      </c>
    </row>
    <row r="119" spans="1:6" x14ac:dyDescent="0.25">
      <c r="A119">
        <v>15794</v>
      </c>
      <c r="B119" t="s">
        <v>4</v>
      </c>
      <c r="C119" t="s">
        <v>1145</v>
      </c>
      <c r="D119" t="s">
        <v>7017</v>
      </c>
      <c r="E119" t="s">
        <v>1146</v>
      </c>
      <c r="F119" t="s">
        <v>7135</v>
      </c>
    </row>
    <row r="120" spans="1:6" x14ac:dyDescent="0.25">
      <c r="A120">
        <v>15797</v>
      </c>
      <c r="B120" t="s">
        <v>4</v>
      </c>
      <c r="C120" t="s">
        <v>1147</v>
      </c>
      <c r="D120" t="s">
        <v>7017</v>
      </c>
      <c r="E120" t="s">
        <v>1148</v>
      </c>
      <c r="F120" t="s">
        <v>7136</v>
      </c>
    </row>
    <row r="121" spans="1:6" x14ac:dyDescent="0.25">
      <c r="A121">
        <v>15803</v>
      </c>
      <c r="B121" t="s">
        <v>4</v>
      </c>
      <c r="C121" t="s">
        <v>1149</v>
      </c>
      <c r="D121" t="s">
        <v>7017</v>
      </c>
      <c r="E121" t="s">
        <v>1150</v>
      </c>
      <c r="F121" t="s">
        <v>7137</v>
      </c>
    </row>
    <row r="122" spans="1:6" x14ac:dyDescent="0.25">
      <c r="A122">
        <v>15806</v>
      </c>
      <c r="B122" t="s">
        <v>4</v>
      </c>
      <c r="C122" t="s">
        <v>1151</v>
      </c>
      <c r="D122" t="s">
        <v>7017</v>
      </c>
      <c r="E122" t="s">
        <v>1152</v>
      </c>
      <c r="F122" t="s">
        <v>7138</v>
      </c>
    </row>
    <row r="123" spans="1:6" x14ac:dyDescent="0.25">
      <c r="A123">
        <v>15809</v>
      </c>
      <c r="B123" t="s">
        <v>4</v>
      </c>
      <c r="C123" t="s">
        <v>1153</v>
      </c>
      <c r="D123" t="s">
        <v>7017</v>
      </c>
      <c r="E123" t="s">
        <v>1154</v>
      </c>
      <c r="F123" t="s">
        <v>7139</v>
      </c>
    </row>
    <row r="124" spans="1:6" x14ac:dyDescent="0.25">
      <c r="A124">
        <v>15813</v>
      </c>
      <c r="B124" t="s">
        <v>4</v>
      </c>
      <c r="C124" t="s">
        <v>1155</v>
      </c>
      <c r="D124" t="s">
        <v>7017</v>
      </c>
      <c r="E124" t="s">
        <v>1156</v>
      </c>
      <c r="F124" t="s">
        <v>7140</v>
      </c>
    </row>
    <row r="125" spans="1:6" x14ac:dyDescent="0.25">
      <c r="A125">
        <v>15816</v>
      </c>
      <c r="B125" t="s">
        <v>4</v>
      </c>
      <c r="C125" t="s">
        <v>1157</v>
      </c>
      <c r="D125" t="s">
        <v>7017</v>
      </c>
      <c r="E125" t="s">
        <v>1158</v>
      </c>
      <c r="F125" t="s">
        <v>7141</v>
      </c>
    </row>
    <row r="126" spans="1:6" x14ac:dyDescent="0.25">
      <c r="A126">
        <v>15819</v>
      </c>
      <c r="B126" t="s">
        <v>4</v>
      </c>
      <c r="C126" t="s">
        <v>1159</v>
      </c>
      <c r="D126" t="s">
        <v>7017</v>
      </c>
      <c r="E126" t="s">
        <v>1160</v>
      </c>
      <c r="F126" t="s">
        <v>7142</v>
      </c>
    </row>
    <row r="127" spans="1:6" x14ac:dyDescent="0.25">
      <c r="A127">
        <v>15822</v>
      </c>
      <c r="B127" t="s">
        <v>4</v>
      </c>
      <c r="C127" t="s">
        <v>1161</v>
      </c>
      <c r="D127" t="s">
        <v>7017</v>
      </c>
      <c r="E127" t="s">
        <v>1162</v>
      </c>
      <c r="F127" t="s">
        <v>7143</v>
      </c>
    </row>
    <row r="128" spans="1:6" x14ac:dyDescent="0.25">
      <c r="A128">
        <v>15825</v>
      </c>
      <c r="B128" t="s">
        <v>4</v>
      </c>
      <c r="C128" t="s">
        <v>1163</v>
      </c>
      <c r="D128" t="s">
        <v>7017</v>
      </c>
      <c r="E128" t="s">
        <v>1164</v>
      </c>
      <c r="F128" t="s">
        <v>7144</v>
      </c>
    </row>
    <row r="129" spans="1:6" x14ac:dyDescent="0.25">
      <c r="A129">
        <v>15828</v>
      </c>
      <c r="B129" t="s">
        <v>4</v>
      </c>
      <c r="C129" t="s">
        <v>1165</v>
      </c>
      <c r="D129" t="s">
        <v>7017</v>
      </c>
      <c r="E129" t="s">
        <v>1166</v>
      </c>
      <c r="F129" t="s">
        <v>7145</v>
      </c>
    </row>
    <row r="130" spans="1:6" x14ac:dyDescent="0.25">
      <c r="A130">
        <v>15832</v>
      </c>
      <c r="B130" t="s">
        <v>4</v>
      </c>
      <c r="C130" t="s">
        <v>1167</v>
      </c>
      <c r="D130" t="s">
        <v>7017</v>
      </c>
      <c r="E130" t="s">
        <v>1168</v>
      </c>
      <c r="F130" t="s">
        <v>7146</v>
      </c>
    </row>
    <row r="131" spans="1:6" x14ac:dyDescent="0.25">
      <c r="A131">
        <v>15840</v>
      </c>
      <c r="B131" t="s">
        <v>4</v>
      </c>
      <c r="C131" t="s">
        <v>1169</v>
      </c>
      <c r="D131" t="s">
        <v>7017</v>
      </c>
      <c r="E131" t="s">
        <v>1170</v>
      </c>
      <c r="F131" t="s">
        <v>7147</v>
      </c>
    </row>
    <row r="132" spans="1:6" x14ac:dyDescent="0.25">
      <c r="A132">
        <v>15843</v>
      </c>
      <c r="B132" t="s">
        <v>4</v>
      </c>
      <c r="C132" t="s">
        <v>1171</v>
      </c>
      <c r="D132" t="s">
        <v>7017</v>
      </c>
      <c r="E132" t="s">
        <v>1172</v>
      </c>
      <c r="F132" t="s">
        <v>7148</v>
      </c>
    </row>
    <row r="133" spans="1:6" x14ac:dyDescent="0.25">
      <c r="A133">
        <v>15851</v>
      </c>
      <c r="B133" t="s">
        <v>4</v>
      </c>
      <c r="C133" t="s">
        <v>1179</v>
      </c>
      <c r="D133" t="s">
        <v>7017</v>
      </c>
      <c r="E133" t="s">
        <v>1180</v>
      </c>
      <c r="F133" t="s">
        <v>7149</v>
      </c>
    </row>
    <row r="134" spans="1:6" x14ac:dyDescent="0.25">
      <c r="A134">
        <v>15855</v>
      </c>
      <c r="B134" t="s">
        <v>4</v>
      </c>
      <c r="C134" t="s">
        <v>1181</v>
      </c>
      <c r="D134" t="s">
        <v>7017</v>
      </c>
      <c r="E134" t="s">
        <v>1182</v>
      </c>
      <c r="F134" t="s">
        <v>7150</v>
      </c>
    </row>
    <row r="135" spans="1:6" x14ac:dyDescent="0.25">
      <c r="A135">
        <v>15858</v>
      </c>
      <c r="B135" t="s">
        <v>4</v>
      </c>
      <c r="C135" t="s">
        <v>1183</v>
      </c>
      <c r="D135" t="s">
        <v>7017</v>
      </c>
      <c r="E135" t="s">
        <v>1184</v>
      </c>
      <c r="F135" t="s">
        <v>7151</v>
      </c>
    </row>
    <row r="136" spans="1:6" x14ac:dyDescent="0.25">
      <c r="A136">
        <v>15862</v>
      </c>
      <c r="B136" t="s">
        <v>4</v>
      </c>
      <c r="C136" t="s">
        <v>1185</v>
      </c>
      <c r="D136" t="s">
        <v>7017</v>
      </c>
      <c r="E136" t="s">
        <v>1186</v>
      </c>
      <c r="F136" t="s">
        <v>7152</v>
      </c>
    </row>
    <row r="137" spans="1:6" x14ac:dyDescent="0.25">
      <c r="A137">
        <v>15866</v>
      </c>
      <c r="B137" t="s">
        <v>4</v>
      </c>
      <c r="C137" t="s">
        <v>1187</v>
      </c>
      <c r="D137" t="s">
        <v>7017</v>
      </c>
      <c r="E137" t="s">
        <v>1188</v>
      </c>
      <c r="F137" t="s">
        <v>7153</v>
      </c>
    </row>
    <row r="138" spans="1:6" x14ac:dyDescent="0.25">
      <c r="A138">
        <v>15870</v>
      </c>
      <c r="B138" t="s">
        <v>4</v>
      </c>
      <c r="C138" t="s">
        <v>1189</v>
      </c>
      <c r="D138" t="s">
        <v>7017</v>
      </c>
      <c r="E138" t="s">
        <v>1190</v>
      </c>
      <c r="F138" t="s">
        <v>7154</v>
      </c>
    </row>
    <row r="139" spans="1:6" x14ac:dyDescent="0.25">
      <c r="A139">
        <v>15874</v>
      </c>
      <c r="B139" t="s">
        <v>4</v>
      </c>
      <c r="C139" t="s">
        <v>1191</v>
      </c>
      <c r="D139" t="s">
        <v>7017</v>
      </c>
      <c r="E139" t="s">
        <v>1192</v>
      </c>
      <c r="F139" t="s">
        <v>7155</v>
      </c>
    </row>
    <row r="140" spans="1:6" x14ac:dyDescent="0.25">
      <c r="A140">
        <v>15878</v>
      </c>
      <c r="B140" t="s">
        <v>4</v>
      </c>
      <c r="C140" t="s">
        <v>1193</v>
      </c>
      <c r="D140" t="s">
        <v>7017</v>
      </c>
      <c r="E140" t="s">
        <v>1194</v>
      </c>
      <c r="F140" t="s">
        <v>7156</v>
      </c>
    </row>
    <row r="141" spans="1:6" x14ac:dyDescent="0.25">
      <c r="A141">
        <v>15882</v>
      </c>
      <c r="B141" t="s">
        <v>4</v>
      </c>
      <c r="C141" t="s">
        <v>1195</v>
      </c>
      <c r="D141" t="s">
        <v>7017</v>
      </c>
      <c r="E141" t="s">
        <v>1196</v>
      </c>
      <c r="F141" t="s">
        <v>7157</v>
      </c>
    </row>
    <row r="142" spans="1:6" x14ac:dyDescent="0.25">
      <c r="A142">
        <v>15886</v>
      </c>
      <c r="B142" t="s">
        <v>4</v>
      </c>
      <c r="C142" t="s">
        <v>1197</v>
      </c>
      <c r="D142" t="s">
        <v>7017</v>
      </c>
      <c r="E142" t="s">
        <v>1198</v>
      </c>
      <c r="F142" t="s">
        <v>7158</v>
      </c>
    </row>
    <row r="143" spans="1:6" x14ac:dyDescent="0.25">
      <c r="A143">
        <v>15890</v>
      </c>
      <c r="B143" t="s">
        <v>4</v>
      </c>
      <c r="C143" t="s">
        <v>1199</v>
      </c>
      <c r="D143" t="s">
        <v>7017</v>
      </c>
      <c r="E143" t="s">
        <v>1200</v>
      </c>
      <c r="F143" t="s">
        <v>7159</v>
      </c>
    </row>
    <row r="144" spans="1:6" x14ac:dyDescent="0.25">
      <c r="A144">
        <v>15894</v>
      </c>
      <c r="B144" t="s">
        <v>4</v>
      </c>
      <c r="C144" t="s">
        <v>1201</v>
      </c>
      <c r="D144" t="s">
        <v>7017</v>
      </c>
      <c r="E144" t="s">
        <v>1202</v>
      </c>
      <c r="F144" t="s">
        <v>7160</v>
      </c>
    </row>
    <row r="145" spans="1:6" x14ac:dyDescent="0.25">
      <c r="A145">
        <v>15900</v>
      </c>
      <c r="B145" t="s">
        <v>4</v>
      </c>
      <c r="C145" t="s">
        <v>1203</v>
      </c>
      <c r="D145" t="s">
        <v>7017</v>
      </c>
      <c r="E145" t="s">
        <v>1204</v>
      </c>
      <c r="F145" t="s">
        <v>7161</v>
      </c>
    </row>
    <row r="146" spans="1:6" x14ac:dyDescent="0.25">
      <c r="A146">
        <v>15904</v>
      </c>
      <c r="B146" t="s">
        <v>4</v>
      </c>
      <c r="C146" t="s">
        <v>1205</v>
      </c>
      <c r="D146" t="s">
        <v>7017</v>
      </c>
      <c r="E146" t="s">
        <v>1206</v>
      </c>
      <c r="F146" t="s">
        <v>7162</v>
      </c>
    </row>
    <row r="147" spans="1:6" x14ac:dyDescent="0.25">
      <c r="A147">
        <v>15909</v>
      </c>
      <c r="B147" t="s">
        <v>4</v>
      </c>
      <c r="C147" t="s">
        <v>1207</v>
      </c>
      <c r="D147" t="s">
        <v>7017</v>
      </c>
      <c r="E147" t="s">
        <v>1208</v>
      </c>
      <c r="F147" t="s">
        <v>7163</v>
      </c>
    </row>
    <row r="148" spans="1:6" x14ac:dyDescent="0.25">
      <c r="A148">
        <v>15913</v>
      </c>
      <c r="B148" t="s">
        <v>4</v>
      </c>
      <c r="C148" t="s">
        <v>1209</v>
      </c>
      <c r="D148" t="s">
        <v>7017</v>
      </c>
      <c r="E148" t="s">
        <v>1210</v>
      </c>
      <c r="F148" t="s">
        <v>7164</v>
      </c>
    </row>
    <row r="149" spans="1:6" x14ac:dyDescent="0.25">
      <c r="A149">
        <v>15918</v>
      </c>
      <c r="B149" t="s">
        <v>4</v>
      </c>
      <c r="C149" t="s">
        <v>1211</v>
      </c>
      <c r="D149" t="s">
        <v>7017</v>
      </c>
      <c r="E149" t="s">
        <v>1212</v>
      </c>
      <c r="F149" t="s">
        <v>7165</v>
      </c>
    </row>
    <row r="150" spans="1:6" x14ac:dyDescent="0.25">
      <c r="A150">
        <v>15923</v>
      </c>
      <c r="B150" t="s">
        <v>4</v>
      </c>
      <c r="C150" t="s">
        <v>1213</v>
      </c>
      <c r="D150" t="s">
        <v>7017</v>
      </c>
      <c r="E150" t="s">
        <v>1214</v>
      </c>
      <c r="F150" t="s">
        <v>7166</v>
      </c>
    </row>
    <row r="151" spans="1:6" x14ac:dyDescent="0.25">
      <c r="A151">
        <v>15927</v>
      </c>
      <c r="B151" t="s">
        <v>4</v>
      </c>
      <c r="C151" t="s">
        <v>1215</v>
      </c>
      <c r="D151" t="s">
        <v>7017</v>
      </c>
      <c r="E151" t="s">
        <v>1216</v>
      </c>
      <c r="F151" t="s">
        <v>7167</v>
      </c>
    </row>
    <row r="152" spans="1:6" x14ac:dyDescent="0.25">
      <c r="A152">
        <v>15932</v>
      </c>
      <c r="B152" t="s">
        <v>4</v>
      </c>
      <c r="C152" t="s">
        <v>1217</v>
      </c>
      <c r="D152" t="s">
        <v>7017</v>
      </c>
      <c r="E152" t="s">
        <v>1218</v>
      </c>
      <c r="F152" t="s">
        <v>7168</v>
      </c>
    </row>
    <row r="153" spans="1:6" x14ac:dyDescent="0.25">
      <c r="A153">
        <v>15937</v>
      </c>
      <c r="B153" t="s">
        <v>4</v>
      </c>
      <c r="C153" t="s">
        <v>1219</v>
      </c>
      <c r="D153" t="s">
        <v>7017</v>
      </c>
      <c r="E153" t="s">
        <v>1220</v>
      </c>
      <c r="F153" t="s">
        <v>7169</v>
      </c>
    </row>
    <row r="154" spans="1:6" x14ac:dyDescent="0.25">
      <c r="A154">
        <v>15949</v>
      </c>
      <c r="B154" t="s">
        <v>4</v>
      </c>
      <c r="C154" t="s">
        <v>1227</v>
      </c>
      <c r="D154" t="s">
        <v>7017</v>
      </c>
      <c r="E154" t="s">
        <v>1228</v>
      </c>
      <c r="F154" t="s">
        <v>7170</v>
      </c>
    </row>
    <row r="155" spans="1:6" x14ac:dyDescent="0.25">
      <c r="A155">
        <v>15958</v>
      </c>
      <c r="B155" t="s">
        <v>4</v>
      </c>
      <c r="C155" t="s">
        <v>1229</v>
      </c>
      <c r="D155" t="s">
        <v>7017</v>
      </c>
      <c r="E155" t="s">
        <v>1230</v>
      </c>
      <c r="F155" t="s">
        <v>7171</v>
      </c>
    </row>
    <row r="156" spans="1:6" x14ac:dyDescent="0.25">
      <c r="A156">
        <v>15964</v>
      </c>
      <c r="B156" t="s">
        <v>4</v>
      </c>
      <c r="C156" t="s">
        <v>1231</v>
      </c>
      <c r="D156" t="s">
        <v>7017</v>
      </c>
      <c r="E156" t="s">
        <v>1232</v>
      </c>
      <c r="F156" t="s">
        <v>7172</v>
      </c>
    </row>
    <row r="157" spans="1:6" x14ac:dyDescent="0.25">
      <c r="A157">
        <v>15969</v>
      </c>
      <c r="B157" t="s">
        <v>4</v>
      </c>
      <c r="C157" t="s">
        <v>1233</v>
      </c>
      <c r="D157" t="s">
        <v>7017</v>
      </c>
      <c r="E157" t="s">
        <v>1234</v>
      </c>
      <c r="F157" t="s">
        <v>7173</v>
      </c>
    </row>
    <row r="158" spans="1:6" x14ac:dyDescent="0.25">
      <c r="A158">
        <v>15973</v>
      </c>
      <c r="B158" t="s">
        <v>4</v>
      </c>
      <c r="C158" t="s">
        <v>1235</v>
      </c>
      <c r="D158" t="s">
        <v>7017</v>
      </c>
      <c r="E158" t="s">
        <v>1236</v>
      </c>
      <c r="F158" t="s">
        <v>7174</v>
      </c>
    </row>
    <row r="159" spans="1:6" x14ac:dyDescent="0.25">
      <c r="A159">
        <v>15977</v>
      </c>
      <c r="B159" t="s">
        <v>4</v>
      </c>
      <c r="C159" t="s">
        <v>1237</v>
      </c>
      <c r="D159" t="s">
        <v>7017</v>
      </c>
      <c r="E159" t="s">
        <v>1238</v>
      </c>
      <c r="F159" t="s">
        <v>7175</v>
      </c>
    </row>
    <row r="160" spans="1:6" x14ac:dyDescent="0.25">
      <c r="A160">
        <v>15986</v>
      </c>
      <c r="B160" t="s">
        <v>4</v>
      </c>
      <c r="C160" t="s">
        <v>1249</v>
      </c>
      <c r="D160" t="s">
        <v>7017</v>
      </c>
      <c r="E160" t="s">
        <v>1250</v>
      </c>
      <c r="F160" t="s">
        <v>7176</v>
      </c>
    </row>
    <row r="161" spans="1:6" x14ac:dyDescent="0.25">
      <c r="A161">
        <v>15991</v>
      </c>
      <c r="B161" t="s">
        <v>4</v>
      </c>
      <c r="C161" t="s">
        <v>1251</v>
      </c>
      <c r="D161" t="s">
        <v>7017</v>
      </c>
      <c r="E161" t="s">
        <v>1252</v>
      </c>
      <c r="F161" t="s">
        <v>7177</v>
      </c>
    </row>
    <row r="162" spans="1:6" x14ac:dyDescent="0.25">
      <c r="A162">
        <v>15994</v>
      </c>
      <c r="B162" t="s">
        <v>4</v>
      </c>
      <c r="C162" t="s">
        <v>1253</v>
      </c>
      <c r="D162" t="s">
        <v>7017</v>
      </c>
      <c r="E162" t="s">
        <v>1254</v>
      </c>
      <c r="F162" t="s">
        <v>7178</v>
      </c>
    </row>
    <row r="163" spans="1:6" x14ac:dyDescent="0.25">
      <c r="A163">
        <v>15997</v>
      </c>
      <c r="B163" t="s">
        <v>4</v>
      </c>
      <c r="C163" t="s">
        <v>1255</v>
      </c>
      <c r="D163" t="s">
        <v>7017</v>
      </c>
      <c r="E163" t="s">
        <v>1256</v>
      </c>
      <c r="F163" t="s">
        <v>7179</v>
      </c>
    </row>
    <row r="164" spans="1:6" x14ac:dyDescent="0.25">
      <c r="A164">
        <v>16003</v>
      </c>
      <c r="B164" t="s">
        <v>4</v>
      </c>
      <c r="C164" t="s">
        <v>1257</v>
      </c>
      <c r="D164" t="s">
        <v>7017</v>
      </c>
      <c r="E164" t="s">
        <v>1258</v>
      </c>
      <c r="F164" t="s">
        <v>7180</v>
      </c>
    </row>
    <row r="165" spans="1:6" x14ac:dyDescent="0.25">
      <c r="A165">
        <v>16006</v>
      </c>
      <c r="B165" t="s">
        <v>4</v>
      </c>
      <c r="C165" t="s">
        <v>1259</v>
      </c>
      <c r="D165" t="s">
        <v>7017</v>
      </c>
      <c r="E165" t="s">
        <v>1260</v>
      </c>
      <c r="F165" t="s">
        <v>7181</v>
      </c>
    </row>
    <row r="166" spans="1:6" x14ac:dyDescent="0.25">
      <c r="A166">
        <v>16009</v>
      </c>
      <c r="B166" t="s">
        <v>4</v>
      </c>
      <c r="C166" t="s">
        <v>1261</v>
      </c>
      <c r="D166" t="s">
        <v>7017</v>
      </c>
      <c r="E166" t="s">
        <v>1262</v>
      </c>
      <c r="F166" t="s">
        <v>7182</v>
      </c>
    </row>
    <row r="167" spans="1:6" x14ac:dyDescent="0.25">
      <c r="A167">
        <v>16012</v>
      </c>
      <c r="B167" t="s">
        <v>4</v>
      </c>
      <c r="C167" t="s">
        <v>1263</v>
      </c>
      <c r="D167" t="s">
        <v>7017</v>
      </c>
      <c r="E167" t="s">
        <v>1264</v>
      </c>
      <c r="F167" t="s">
        <v>7183</v>
      </c>
    </row>
    <row r="168" spans="1:6" x14ac:dyDescent="0.25">
      <c r="A168">
        <v>16016</v>
      </c>
      <c r="B168" t="s">
        <v>4</v>
      </c>
      <c r="C168" t="s">
        <v>1265</v>
      </c>
      <c r="D168" t="s">
        <v>7017</v>
      </c>
      <c r="E168" t="s">
        <v>1266</v>
      </c>
      <c r="F168" t="s">
        <v>7184</v>
      </c>
    </row>
    <row r="169" spans="1:6" x14ac:dyDescent="0.25">
      <c r="A169">
        <v>16020</v>
      </c>
      <c r="B169" t="s">
        <v>4</v>
      </c>
      <c r="C169" t="s">
        <v>1267</v>
      </c>
      <c r="D169" t="s">
        <v>7017</v>
      </c>
      <c r="E169" t="s">
        <v>1268</v>
      </c>
      <c r="F169" t="s">
        <v>7185</v>
      </c>
    </row>
    <row r="170" spans="1:6" x14ac:dyDescent="0.25">
      <c r="A170">
        <v>16025</v>
      </c>
      <c r="B170" t="s">
        <v>4</v>
      </c>
      <c r="C170" t="s">
        <v>1269</v>
      </c>
      <c r="D170" t="s">
        <v>7017</v>
      </c>
      <c r="E170" t="s">
        <v>1270</v>
      </c>
      <c r="F170" t="s">
        <v>7186</v>
      </c>
    </row>
    <row r="171" spans="1:6" x14ac:dyDescent="0.25">
      <c r="A171">
        <v>16029</v>
      </c>
      <c r="B171" t="s">
        <v>4</v>
      </c>
      <c r="C171" t="s">
        <v>1271</v>
      </c>
      <c r="D171" t="s">
        <v>7017</v>
      </c>
      <c r="E171" t="s">
        <v>1272</v>
      </c>
      <c r="F171" t="s">
        <v>7187</v>
      </c>
    </row>
    <row r="172" spans="1:6" x14ac:dyDescent="0.25">
      <c r="A172">
        <v>16033</v>
      </c>
      <c r="B172" t="s">
        <v>4</v>
      </c>
      <c r="C172" t="s">
        <v>1273</v>
      </c>
      <c r="D172" t="s">
        <v>7017</v>
      </c>
      <c r="E172" t="s">
        <v>1274</v>
      </c>
      <c r="F172" t="s">
        <v>7188</v>
      </c>
    </row>
    <row r="173" spans="1:6" x14ac:dyDescent="0.25">
      <c r="A173">
        <v>16041</v>
      </c>
      <c r="B173" t="s">
        <v>4</v>
      </c>
      <c r="C173" t="s">
        <v>1283</v>
      </c>
      <c r="D173" t="s">
        <v>7017</v>
      </c>
      <c r="E173" t="s">
        <v>1284</v>
      </c>
      <c r="F173" t="s">
        <v>7189</v>
      </c>
    </row>
    <row r="174" spans="1:6" x14ac:dyDescent="0.25">
      <c r="A174">
        <v>16047</v>
      </c>
      <c r="B174" t="s">
        <v>4</v>
      </c>
      <c r="C174" t="s">
        <v>1285</v>
      </c>
      <c r="D174" t="s">
        <v>7017</v>
      </c>
      <c r="E174" t="s">
        <v>1286</v>
      </c>
      <c r="F174" t="s">
        <v>7190</v>
      </c>
    </row>
    <row r="175" spans="1:6" x14ac:dyDescent="0.25">
      <c r="A175">
        <v>16063</v>
      </c>
      <c r="B175" t="s">
        <v>4</v>
      </c>
      <c r="C175" t="s">
        <v>1301</v>
      </c>
      <c r="D175" t="s">
        <v>7017</v>
      </c>
      <c r="E175" t="s">
        <v>1302</v>
      </c>
      <c r="F175" t="s">
        <v>7191</v>
      </c>
    </row>
    <row r="176" spans="1:6" x14ac:dyDescent="0.25">
      <c r="A176">
        <v>16069</v>
      </c>
      <c r="B176" t="s">
        <v>4</v>
      </c>
      <c r="C176" t="s">
        <v>1303</v>
      </c>
      <c r="D176" t="s">
        <v>7017</v>
      </c>
      <c r="E176" t="s">
        <v>1304</v>
      </c>
      <c r="F176" t="s">
        <v>7192</v>
      </c>
    </row>
    <row r="177" spans="1:6" x14ac:dyDescent="0.25">
      <c r="A177">
        <v>16074</v>
      </c>
      <c r="B177" t="s">
        <v>4</v>
      </c>
      <c r="C177" t="s">
        <v>1305</v>
      </c>
      <c r="D177" t="s">
        <v>7017</v>
      </c>
      <c r="E177" t="s">
        <v>1306</v>
      </c>
      <c r="F177" t="s">
        <v>7193</v>
      </c>
    </row>
    <row r="178" spans="1:6" x14ac:dyDescent="0.25">
      <c r="A178">
        <v>16079</v>
      </c>
      <c r="B178" t="s">
        <v>4</v>
      </c>
      <c r="C178" t="s">
        <v>1307</v>
      </c>
      <c r="D178" t="s">
        <v>7017</v>
      </c>
      <c r="E178" t="s">
        <v>1308</v>
      </c>
      <c r="F178" t="s">
        <v>7194</v>
      </c>
    </row>
    <row r="179" spans="1:6" x14ac:dyDescent="0.25">
      <c r="A179">
        <v>16084</v>
      </c>
      <c r="B179" t="s">
        <v>4</v>
      </c>
      <c r="C179" t="s">
        <v>1309</v>
      </c>
      <c r="D179" t="s">
        <v>7017</v>
      </c>
      <c r="E179" t="s">
        <v>1310</v>
      </c>
      <c r="F179" t="s">
        <v>7195</v>
      </c>
    </row>
    <row r="180" spans="1:6" x14ac:dyDescent="0.25">
      <c r="A180">
        <v>16089</v>
      </c>
      <c r="B180" t="s">
        <v>4</v>
      </c>
      <c r="C180" t="s">
        <v>1311</v>
      </c>
      <c r="D180" t="s">
        <v>7017</v>
      </c>
      <c r="E180" t="s">
        <v>1312</v>
      </c>
      <c r="F180" t="s">
        <v>7196</v>
      </c>
    </row>
    <row r="181" spans="1:6" x14ac:dyDescent="0.25">
      <c r="A181">
        <v>16098</v>
      </c>
      <c r="B181" t="s">
        <v>4</v>
      </c>
      <c r="C181" t="s">
        <v>1313</v>
      </c>
      <c r="D181" t="s">
        <v>7017</v>
      </c>
      <c r="E181" t="s">
        <v>1314</v>
      </c>
      <c r="F181" t="s">
        <v>7197</v>
      </c>
    </row>
    <row r="182" spans="1:6" x14ac:dyDescent="0.25">
      <c r="A182">
        <v>16104</v>
      </c>
      <c r="B182" t="s">
        <v>4</v>
      </c>
      <c r="C182" t="s">
        <v>1315</v>
      </c>
      <c r="D182" t="s">
        <v>7017</v>
      </c>
      <c r="E182" t="s">
        <v>1316</v>
      </c>
      <c r="F182" t="s">
        <v>7198</v>
      </c>
    </row>
    <row r="183" spans="1:6" x14ac:dyDescent="0.25">
      <c r="A183">
        <v>16108</v>
      </c>
      <c r="B183" t="s">
        <v>4</v>
      </c>
      <c r="C183" t="s">
        <v>1323</v>
      </c>
      <c r="D183" t="s">
        <v>7017</v>
      </c>
      <c r="E183" t="s">
        <v>1324</v>
      </c>
      <c r="F183" t="s">
        <v>7199</v>
      </c>
    </row>
    <row r="184" spans="1:6" x14ac:dyDescent="0.25">
      <c r="A184">
        <v>16113</v>
      </c>
      <c r="B184" t="s">
        <v>4</v>
      </c>
      <c r="C184" t="s">
        <v>1325</v>
      </c>
      <c r="D184" t="s">
        <v>7017</v>
      </c>
      <c r="E184" t="s">
        <v>1326</v>
      </c>
      <c r="F184" t="s">
        <v>7200</v>
      </c>
    </row>
    <row r="185" spans="1:6" x14ac:dyDescent="0.25">
      <c r="A185">
        <v>16117</v>
      </c>
      <c r="B185" t="s">
        <v>4</v>
      </c>
      <c r="C185" t="s">
        <v>1327</v>
      </c>
      <c r="D185" t="s">
        <v>7017</v>
      </c>
      <c r="E185" t="s">
        <v>1328</v>
      </c>
      <c r="F185" t="s">
        <v>7201</v>
      </c>
    </row>
    <row r="186" spans="1:6" x14ac:dyDescent="0.25">
      <c r="A186">
        <v>16122</v>
      </c>
      <c r="B186" t="s">
        <v>4</v>
      </c>
      <c r="C186" t="s">
        <v>1329</v>
      </c>
      <c r="D186" t="s">
        <v>7017</v>
      </c>
      <c r="E186" t="s">
        <v>1330</v>
      </c>
      <c r="F186" t="s">
        <v>7202</v>
      </c>
    </row>
    <row r="187" spans="1:6" x14ac:dyDescent="0.25">
      <c r="A187">
        <v>16127</v>
      </c>
      <c r="B187" t="s">
        <v>4</v>
      </c>
      <c r="C187" t="s">
        <v>1331</v>
      </c>
      <c r="D187" t="s">
        <v>7017</v>
      </c>
      <c r="E187" t="s">
        <v>1332</v>
      </c>
      <c r="F187" t="s">
        <v>7203</v>
      </c>
    </row>
    <row r="188" spans="1:6" x14ac:dyDescent="0.25">
      <c r="A188">
        <v>16134</v>
      </c>
      <c r="B188" t="s">
        <v>4</v>
      </c>
      <c r="C188" t="s">
        <v>1333</v>
      </c>
      <c r="D188" t="s">
        <v>7017</v>
      </c>
      <c r="E188" t="s">
        <v>1334</v>
      </c>
      <c r="F188" t="s">
        <v>7204</v>
      </c>
    </row>
    <row r="189" spans="1:6" x14ac:dyDescent="0.25">
      <c r="A189">
        <v>16139</v>
      </c>
      <c r="B189" t="s">
        <v>4</v>
      </c>
      <c r="C189" t="s">
        <v>1335</v>
      </c>
      <c r="D189" t="s">
        <v>7017</v>
      </c>
      <c r="E189" t="s">
        <v>1336</v>
      </c>
      <c r="F189" t="s">
        <v>7205</v>
      </c>
    </row>
    <row r="190" spans="1:6" x14ac:dyDescent="0.25">
      <c r="A190">
        <v>16142</v>
      </c>
      <c r="B190" t="s">
        <v>4</v>
      </c>
      <c r="C190" t="s">
        <v>1337</v>
      </c>
      <c r="D190" t="s">
        <v>7017</v>
      </c>
      <c r="E190" t="s">
        <v>1338</v>
      </c>
      <c r="F190" t="s">
        <v>7206</v>
      </c>
    </row>
    <row r="191" spans="1:6" x14ac:dyDescent="0.25">
      <c r="A191">
        <v>16148</v>
      </c>
      <c r="B191" t="s">
        <v>4</v>
      </c>
      <c r="C191" t="s">
        <v>1339</v>
      </c>
      <c r="D191" t="s">
        <v>7017</v>
      </c>
      <c r="E191" t="s">
        <v>1340</v>
      </c>
      <c r="F191" t="s">
        <v>7207</v>
      </c>
    </row>
    <row r="192" spans="1:6" x14ac:dyDescent="0.25">
      <c r="A192">
        <v>16154</v>
      </c>
      <c r="B192" t="s">
        <v>4</v>
      </c>
      <c r="C192" t="s">
        <v>1341</v>
      </c>
      <c r="D192" t="s">
        <v>7017</v>
      </c>
      <c r="E192" t="s">
        <v>1342</v>
      </c>
      <c r="F192" t="s">
        <v>7208</v>
      </c>
    </row>
    <row r="193" spans="1:6" x14ac:dyDescent="0.25">
      <c r="A193">
        <v>16158</v>
      </c>
      <c r="B193" t="s">
        <v>4</v>
      </c>
      <c r="C193" t="s">
        <v>1343</v>
      </c>
      <c r="D193" t="s">
        <v>7017</v>
      </c>
      <c r="E193" t="s">
        <v>1344</v>
      </c>
      <c r="F193" t="s">
        <v>7209</v>
      </c>
    </row>
    <row r="194" spans="1:6" x14ac:dyDescent="0.25">
      <c r="A194">
        <v>16161</v>
      </c>
      <c r="B194" t="s">
        <v>4</v>
      </c>
      <c r="C194" t="s">
        <v>1345</v>
      </c>
      <c r="D194" t="s">
        <v>7017</v>
      </c>
      <c r="E194" t="s">
        <v>1346</v>
      </c>
      <c r="F194" t="s">
        <v>7210</v>
      </c>
    </row>
    <row r="195" spans="1:6" x14ac:dyDescent="0.25">
      <c r="A195">
        <v>16164</v>
      </c>
      <c r="B195" t="s">
        <v>4</v>
      </c>
      <c r="C195" t="s">
        <v>1347</v>
      </c>
      <c r="D195" t="s">
        <v>7017</v>
      </c>
      <c r="E195" t="s">
        <v>1348</v>
      </c>
      <c r="F195" t="s">
        <v>7211</v>
      </c>
    </row>
    <row r="196" spans="1:6" x14ac:dyDescent="0.25">
      <c r="A196">
        <v>16170</v>
      </c>
      <c r="B196" t="s">
        <v>4</v>
      </c>
      <c r="C196" t="s">
        <v>1349</v>
      </c>
      <c r="D196" t="s">
        <v>7017</v>
      </c>
      <c r="E196" t="s">
        <v>1350</v>
      </c>
      <c r="F196" t="s">
        <v>7212</v>
      </c>
    </row>
    <row r="197" spans="1:6" x14ac:dyDescent="0.25">
      <c r="A197">
        <v>16174</v>
      </c>
      <c r="B197" t="s">
        <v>4</v>
      </c>
      <c r="C197" t="s">
        <v>1351</v>
      </c>
      <c r="D197" t="s">
        <v>7017</v>
      </c>
      <c r="E197" t="s">
        <v>1352</v>
      </c>
      <c r="F197" t="s">
        <v>7213</v>
      </c>
    </row>
    <row r="198" spans="1:6" x14ac:dyDescent="0.25">
      <c r="A198">
        <v>16180</v>
      </c>
      <c r="B198" t="s">
        <v>4</v>
      </c>
      <c r="C198" t="s">
        <v>1353</v>
      </c>
      <c r="D198" t="s">
        <v>7017</v>
      </c>
      <c r="E198" t="s">
        <v>1354</v>
      </c>
      <c r="F198" t="s">
        <v>7214</v>
      </c>
    </row>
    <row r="199" spans="1:6" x14ac:dyDescent="0.25">
      <c r="A199">
        <v>16187</v>
      </c>
      <c r="B199" t="s">
        <v>4</v>
      </c>
      <c r="C199" t="s">
        <v>1355</v>
      </c>
      <c r="D199" t="s">
        <v>7017</v>
      </c>
      <c r="E199" t="s">
        <v>1356</v>
      </c>
      <c r="F199" t="s">
        <v>7215</v>
      </c>
    </row>
    <row r="200" spans="1:6" x14ac:dyDescent="0.25">
      <c r="A200">
        <v>16208</v>
      </c>
      <c r="B200" t="s">
        <v>4</v>
      </c>
      <c r="C200" t="s">
        <v>1375</v>
      </c>
      <c r="D200" t="s">
        <v>7017</v>
      </c>
      <c r="E200" t="s">
        <v>1376</v>
      </c>
      <c r="F200" t="s">
        <v>7216</v>
      </c>
    </row>
    <row r="201" spans="1:6" x14ac:dyDescent="0.25">
      <c r="A201">
        <v>16211</v>
      </c>
      <c r="B201" t="s">
        <v>4</v>
      </c>
      <c r="C201" t="s">
        <v>1377</v>
      </c>
      <c r="D201" t="s">
        <v>7017</v>
      </c>
      <c r="E201" t="s">
        <v>1378</v>
      </c>
      <c r="F201" t="s">
        <v>7217</v>
      </c>
    </row>
    <row r="202" spans="1:6" x14ac:dyDescent="0.25">
      <c r="A202">
        <v>16216</v>
      </c>
      <c r="B202" t="s">
        <v>4</v>
      </c>
      <c r="C202" t="s">
        <v>1379</v>
      </c>
      <c r="D202" t="s">
        <v>7017</v>
      </c>
      <c r="E202" t="s">
        <v>1380</v>
      </c>
      <c r="F202" t="s">
        <v>7218</v>
      </c>
    </row>
    <row r="203" spans="1:6" x14ac:dyDescent="0.25">
      <c r="A203">
        <v>16219</v>
      </c>
      <c r="B203" t="s">
        <v>4</v>
      </c>
      <c r="C203" t="s">
        <v>1381</v>
      </c>
      <c r="D203" t="s">
        <v>7017</v>
      </c>
      <c r="E203" t="s">
        <v>1382</v>
      </c>
      <c r="F203" t="s">
        <v>7219</v>
      </c>
    </row>
    <row r="204" spans="1:6" x14ac:dyDescent="0.25">
      <c r="A204">
        <v>16225</v>
      </c>
      <c r="B204" t="s">
        <v>4</v>
      </c>
      <c r="C204" t="s">
        <v>1383</v>
      </c>
      <c r="D204" t="s">
        <v>7017</v>
      </c>
      <c r="E204" t="s">
        <v>1384</v>
      </c>
      <c r="F204" t="s">
        <v>7220</v>
      </c>
    </row>
    <row r="205" spans="1:6" x14ac:dyDescent="0.25">
      <c r="A205">
        <v>16231</v>
      </c>
      <c r="B205" t="s">
        <v>4</v>
      </c>
      <c r="C205" t="s">
        <v>1385</v>
      </c>
      <c r="D205" t="s">
        <v>7017</v>
      </c>
      <c r="E205" t="s">
        <v>1386</v>
      </c>
      <c r="F205" t="s">
        <v>7221</v>
      </c>
    </row>
    <row r="206" spans="1:6" x14ac:dyDescent="0.25">
      <c r="A206">
        <v>16237</v>
      </c>
      <c r="B206" t="s">
        <v>4</v>
      </c>
      <c r="C206" t="s">
        <v>1387</v>
      </c>
      <c r="D206" t="s">
        <v>7017</v>
      </c>
      <c r="E206" t="s">
        <v>1388</v>
      </c>
      <c r="F206" t="s">
        <v>7222</v>
      </c>
    </row>
    <row r="207" spans="1:6" x14ac:dyDescent="0.25">
      <c r="A207">
        <v>16242</v>
      </c>
      <c r="B207" t="s">
        <v>4</v>
      </c>
      <c r="C207" t="s">
        <v>1389</v>
      </c>
      <c r="D207" t="s">
        <v>7017</v>
      </c>
      <c r="E207" t="s">
        <v>1390</v>
      </c>
      <c r="F207" t="s">
        <v>7223</v>
      </c>
    </row>
    <row r="208" spans="1:6" x14ac:dyDescent="0.25">
      <c r="A208">
        <v>16246</v>
      </c>
      <c r="B208" t="s">
        <v>4</v>
      </c>
      <c r="C208" t="s">
        <v>1391</v>
      </c>
      <c r="D208" t="s">
        <v>7017</v>
      </c>
      <c r="E208" t="s">
        <v>1392</v>
      </c>
      <c r="F208" t="s">
        <v>7224</v>
      </c>
    </row>
    <row r="209" spans="1:6" x14ac:dyDescent="0.25">
      <c r="A209">
        <v>16250</v>
      </c>
      <c r="B209" t="s">
        <v>4</v>
      </c>
      <c r="C209" t="s">
        <v>1393</v>
      </c>
      <c r="D209" t="s">
        <v>7017</v>
      </c>
      <c r="E209" t="s">
        <v>1394</v>
      </c>
      <c r="F209" t="s">
        <v>7225</v>
      </c>
    </row>
    <row r="210" spans="1:6" x14ac:dyDescent="0.25">
      <c r="A210">
        <v>16254</v>
      </c>
      <c r="B210" t="s">
        <v>4</v>
      </c>
      <c r="C210" t="s">
        <v>1395</v>
      </c>
      <c r="D210" t="s">
        <v>7017</v>
      </c>
      <c r="E210" t="s">
        <v>1396</v>
      </c>
      <c r="F210" t="s">
        <v>7226</v>
      </c>
    </row>
    <row r="211" spans="1:6" x14ac:dyDescent="0.25">
      <c r="A211">
        <v>16259</v>
      </c>
      <c r="B211" t="s">
        <v>4</v>
      </c>
      <c r="C211" t="s">
        <v>1397</v>
      </c>
      <c r="D211" t="s">
        <v>7017</v>
      </c>
      <c r="E211" t="s">
        <v>1398</v>
      </c>
      <c r="F211" t="s">
        <v>7227</v>
      </c>
    </row>
    <row r="212" spans="1:6" x14ac:dyDescent="0.25">
      <c r="A212">
        <v>16263</v>
      </c>
      <c r="B212" t="s">
        <v>4</v>
      </c>
      <c r="C212" t="s">
        <v>1399</v>
      </c>
      <c r="D212" t="s">
        <v>7017</v>
      </c>
      <c r="E212" t="s">
        <v>1400</v>
      </c>
      <c r="F212" t="s">
        <v>7228</v>
      </c>
    </row>
    <row r="213" spans="1:6" x14ac:dyDescent="0.25">
      <c r="A213">
        <v>16268</v>
      </c>
      <c r="B213" t="s">
        <v>4</v>
      </c>
      <c r="C213" t="s">
        <v>1401</v>
      </c>
      <c r="D213" t="s">
        <v>7017</v>
      </c>
      <c r="E213" t="s">
        <v>1402</v>
      </c>
      <c r="F213" t="s">
        <v>7229</v>
      </c>
    </row>
    <row r="214" spans="1:6" x14ac:dyDescent="0.25">
      <c r="A214">
        <v>16271</v>
      </c>
      <c r="B214" t="s">
        <v>4</v>
      </c>
      <c r="C214" t="s">
        <v>1403</v>
      </c>
      <c r="D214" t="s">
        <v>7017</v>
      </c>
      <c r="E214" t="s">
        <v>1404</v>
      </c>
      <c r="F214" t="s">
        <v>7230</v>
      </c>
    </row>
    <row r="215" spans="1:6" x14ac:dyDescent="0.25">
      <c r="A215">
        <v>16274</v>
      </c>
      <c r="B215" t="s">
        <v>4</v>
      </c>
      <c r="C215" t="s">
        <v>1405</v>
      </c>
      <c r="D215" t="s">
        <v>7017</v>
      </c>
      <c r="E215" t="s">
        <v>1406</v>
      </c>
      <c r="F215" t="s">
        <v>7231</v>
      </c>
    </row>
    <row r="216" spans="1:6" x14ac:dyDescent="0.25">
      <c r="A216">
        <v>16277</v>
      </c>
      <c r="B216" t="s">
        <v>4</v>
      </c>
      <c r="C216" t="s">
        <v>1407</v>
      </c>
      <c r="D216" t="s">
        <v>7017</v>
      </c>
      <c r="E216" t="s">
        <v>1408</v>
      </c>
      <c r="F216" t="s">
        <v>7232</v>
      </c>
    </row>
    <row r="217" spans="1:6" x14ac:dyDescent="0.25">
      <c r="A217">
        <v>16280</v>
      </c>
      <c r="B217" t="s">
        <v>4</v>
      </c>
      <c r="C217" t="s">
        <v>1409</v>
      </c>
      <c r="D217" t="s">
        <v>7017</v>
      </c>
      <c r="E217" t="s">
        <v>1410</v>
      </c>
      <c r="F217" t="s">
        <v>7233</v>
      </c>
    </row>
    <row r="218" spans="1:6" x14ac:dyDescent="0.25">
      <c r="A218">
        <v>16283</v>
      </c>
      <c r="B218" t="s">
        <v>4</v>
      </c>
      <c r="C218" t="s">
        <v>1411</v>
      </c>
      <c r="D218" t="s">
        <v>7017</v>
      </c>
      <c r="E218" t="s">
        <v>1412</v>
      </c>
      <c r="F218" t="s">
        <v>7234</v>
      </c>
    </row>
    <row r="219" spans="1:6" x14ac:dyDescent="0.25">
      <c r="A219">
        <v>16287</v>
      </c>
      <c r="B219" t="s">
        <v>4</v>
      </c>
      <c r="C219" t="s">
        <v>1413</v>
      </c>
      <c r="D219" t="s">
        <v>7017</v>
      </c>
      <c r="E219" t="s">
        <v>1414</v>
      </c>
      <c r="F219" t="s">
        <v>7235</v>
      </c>
    </row>
    <row r="220" spans="1:6" x14ac:dyDescent="0.25">
      <c r="A220">
        <v>16291</v>
      </c>
      <c r="B220" t="s">
        <v>4</v>
      </c>
      <c r="C220" t="s">
        <v>1415</v>
      </c>
      <c r="D220" t="s">
        <v>7017</v>
      </c>
      <c r="E220" t="s">
        <v>1416</v>
      </c>
      <c r="F220" t="s">
        <v>7236</v>
      </c>
    </row>
    <row r="221" spans="1:6" x14ac:dyDescent="0.25">
      <c r="A221">
        <v>16294</v>
      </c>
      <c r="B221" t="s">
        <v>4</v>
      </c>
      <c r="C221" t="s">
        <v>1417</v>
      </c>
      <c r="D221" t="s">
        <v>7017</v>
      </c>
      <c r="E221" t="s">
        <v>1418</v>
      </c>
      <c r="F221" t="s">
        <v>7237</v>
      </c>
    </row>
    <row r="222" spans="1:6" x14ac:dyDescent="0.25">
      <c r="A222">
        <v>16297</v>
      </c>
      <c r="B222" t="s">
        <v>4</v>
      </c>
      <c r="C222" t="s">
        <v>1419</v>
      </c>
      <c r="D222" t="s">
        <v>7017</v>
      </c>
      <c r="E222" t="s">
        <v>1420</v>
      </c>
      <c r="F222" t="s">
        <v>7238</v>
      </c>
    </row>
    <row r="223" spans="1:6" x14ac:dyDescent="0.25">
      <c r="A223">
        <v>16300</v>
      </c>
      <c r="B223" t="s">
        <v>4</v>
      </c>
      <c r="C223" t="s">
        <v>1421</v>
      </c>
      <c r="D223" t="s">
        <v>7017</v>
      </c>
      <c r="E223" t="s">
        <v>1422</v>
      </c>
      <c r="F223" t="s">
        <v>7239</v>
      </c>
    </row>
    <row r="224" spans="1:6" x14ac:dyDescent="0.25">
      <c r="A224">
        <v>16303</v>
      </c>
      <c r="B224" t="s">
        <v>4</v>
      </c>
      <c r="C224" t="s">
        <v>1423</v>
      </c>
      <c r="D224" t="s">
        <v>7017</v>
      </c>
      <c r="E224" t="s">
        <v>1424</v>
      </c>
      <c r="F224" t="s">
        <v>7240</v>
      </c>
    </row>
    <row r="225" spans="1:6" x14ac:dyDescent="0.25">
      <c r="A225">
        <v>16306</v>
      </c>
      <c r="B225" t="s">
        <v>4</v>
      </c>
      <c r="C225" t="s">
        <v>1425</v>
      </c>
      <c r="D225" t="s">
        <v>7017</v>
      </c>
      <c r="E225" t="s">
        <v>1426</v>
      </c>
      <c r="F225" t="s">
        <v>7241</v>
      </c>
    </row>
    <row r="226" spans="1:6" x14ac:dyDescent="0.25">
      <c r="A226">
        <v>16309</v>
      </c>
      <c r="B226" t="s">
        <v>4</v>
      </c>
      <c r="C226" t="s">
        <v>1427</v>
      </c>
      <c r="D226" t="s">
        <v>7017</v>
      </c>
      <c r="E226" t="s">
        <v>1428</v>
      </c>
      <c r="F226" t="s">
        <v>7242</v>
      </c>
    </row>
    <row r="227" spans="1:6" x14ac:dyDescent="0.25">
      <c r="A227">
        <v>16312</v>
      </c>
      <c r="B227" t="s">
        <v>4</v>
      </c>
      <c r="C227" t="s">
        <v>1429</v>
      </c>
      <c r="D227" t="s">
        <v>7017</v>
      </c>
      <c r="E227" t="s">
        <v>1430</v>
      </c>
      <c r="F227" t="s">
        <v>7243</v>
      </c>
    </row>
    <row r="228" spans="1:6" x14ac:dyDescent="0.25">
      <c r="A228">
        <v>16315</v>
      </c>
      <c r="B228" t="s">
        <v>4</v>
      </c>
      <c r="C228" t="s">
        <v>1431</v>
      </c>
      <c r="D228" t="s">
        <v>7017</v>
      </c>
      <c r="E228" t="s">
        <v>1432</v>
      </c>
      <c r="F228" t="s">
        <v>7244</v>
      </c>
    </row>
    <row r="229" spans="1:6" x14ac:dyDescent="0.25">
      <c r="A229">
        <v>16318</v>
      </c>
      <c r="B229" t="s">
        <v>4</v>
      </c>
      <c r="C229" t="s">
        <v>1433</v>
      </c>
      <c r="D229" t="s">
        <v>7017</v>
      </c>
      <c r="E229" t="s">
        <v>1434</v>
      </c>
      <c r="F229" t="s">
        <v>7245</v>
      </c>
    </row>
    <row r="230" spans="1:6" x14ac:dyDescent="0.25">
      <c r="A230">
        <v>16321</v>
      </c>
      <c r="B230" t="s">
        <v>4</v>
      </c>
      <c r="C230" t="s">
        <v>1435</v>
      </c>
      <c r="D230" t="s">
        <v>7017</v>
      </c>
      <c r="E230" t="s">
        <v>1436</v>
      </c>
      <c r="F230" t="s">
        <v>7246</v>
      </c>
    </row>
    <row r="231" spans="1:6" x14ac:dyDescent="0.25">
      <c r="A231">
        <v>16324</v>
      </c>
      <c r="B231" t="s">
        <v>4</v>
      </c>
      <c r="C231" t="s">
        <v>1437</v>
      </c>
      <c r="D231" t="s">
        <v>7017</v>
      </c>
      <c r="E231" t="s">
        <v>1438</v>
      </c>
      <c r="F231" t="s">
        <v>7247</v>
      </c>
    </row>
    <row r="232" spans="1:6" x14ac:dyDescent="0.25">
      <c r="A232">
        <v>16327</v>
      </c>
      <c r="B232" t="s">
        <v>4</v>
      </c>
      <c r="C232" t="s">
        <v>1439</v>
      </c>
      <c r="D232" t="s">
        <v>7017</v>
      </c>
      <c r="E232" t="s">
        <v>1440</v>
      </c>
      <c r="F232" t="s">
        <v>7248</v>
      </c>
    </row>
    <row r="233" spans="1:6" x14ac:dyDescent="0.25">
      <c r="A233">
        <v>16331</v>
      </c>
      <c r="B233" t="s">
        <v>4</v>
      </c>
      <c r="C233" t="s">
        <v>1441</v>
      </c>
      <c r="D233" t="s">
        <v>7017</v>
      </c>
      <c r="E233" t="s">
        <v>1442</v>
      </c>
      <c r="F233" t="s">
        <v>7249</v>
      </c>
    </row>
    <row r="234" spans="1:6" x14ac:dyDescent="0.25">
      <c r="A234">
        <v>16334</v>
      </c>
      <c r="B234" t="s">
        <v>4</v>
      </c>
      <c r="C234" t="s">
        <v>1443</v>
      </c>
      <c r="D234" t="s">
        <v>7017</v>
      </c>
      <c r="E234" t="s">
        <v>1444</v>
      </c>
      <c r="F234" t="s">
        <v>7250</v>
      </c>
    </row>
    <row r="235" spans="1:6" x14ac:dyDescent="0.25">
      <c r="A235">
        <v>16337</v>
      </c>
      <c r="B235" t="s">
        <v>4</v>
      </c>
      <c r="C235" t="s">
        <v>1445</v>
      </c>
      <c r="D235" t="s">
        <v>7017</v>
      </c>
      <c r="E235" t="s">
        <v>1446</v>
      </c>
      <c r="F235" t="s">
        <v>7251</v>
      </c>
    </row>
    <row r="236" spans="1:6" x14ac:dyDescent="0.25">
      <c r="A236">
        <v>16343</v>
      </c>
      <c r="B236" t="s">
        <v>4</v>
      </c>
      <c r="C236" t="s">
        <v>1447</v>
      </c>
      <c r="D236" t="s">
        <v>7017</v>
      </c>
      <c r="E236" t="s">
        <v>1448</v>
      </c>
      <c r="F236" t="s">
        <v>7252</v>
      </c>
    </row>
    <row r="237" spans="1:6" x14ac:dyDescent="0.25">
      <c r="A237">
        <v>16346</v>
      </c>
      <c r="B237" t="s">
        <v>4</v>
      </c>
      <c r="C237" t="s">
        <v>1449</v>
      </c>
      <c r="D237" t="s">
        <v>7017</v>
      </c>
      <c r="E237" t="s">
        <v>1450</v>
      </c>
      <c r="F237" t="s">
        <v>7253</v>
      </c>
    </row>
    <row r="238" spans="1:6" x14ac:dyDescent="0.25">
      <c r="A238">
        <v>16349</v>
      </c>
      <c r="B238" t="s">
        <v>4</v>
      </c>
      <c r="C238" t="s">
        <v>1451</v>
      </c>
      <c r="D238" t="s">
        <v>7017</v>
      </c>
      <c r="E238" t="s">
        <v>1452</v>
      </c>
      <c r="F238" t="s">
        <v>7254</v>
      </c>
    </row>
    <row r="239" spans="1:6" x14ac:dyDescent="0.25">
      <c r="A239">
        <v>16353</v>
      </c>
      <c r="B239" t="s">
        <v>4</v>
      </c>
      <c r="C239" t="s">
        <v>1453</v>
      </c>
      <c r="D239" t="s">
        <v>7017</v>
      </c>
      <c r="E239" t="s">
        <v>1454</v>
      </c>
      <c r="F239" t="s">
        <v>7255</v>
      </c>
    </row>
    <row r="240" spans="1:6" x14ac:dyDescent="0.25">
      <c r="A240">
        <v>16358</v>
      </c>
      <c r="B240" t="s">
        <v>4</v>
      </c>
      <c r="C240" t="s">
        <v>1455</v>
      </c>
      <c r="D240" t="s">
        <v>7017</v>
      </c>
      <c r="E240" t="s">
        <v>1456</v>
      </c>
      <c r="F240" t="s">
        <v>7256</v>
      </c>
    </row>
    <row r="241" spans="1:6" x14ac:dyDescent="0.25">
      <c r="A241">
        <v>16364</v>
      </c>
      <c r="B241" t="s">
        <v>4</v>
      </c>
      <c r="C241" t="s">
        <v>1457</v>
      </c>
      <c r="D241" t="s">
        <v>7017</v>
      </c>
      <c r="E241" t="s">
        <v>1458</v>
      </c>
      <c r="F241" t="s">
        <v>7257</v>
      </c>
    </row>
    <row r="242" spans="1:6" x14ac:dyDescent="0.25">
      <c r="A242">
        <v>16373</v>
      </c>
      <c r="B242" t="s">
        <v>4</v>
      </c>
      <c r="C242" t="s">
        <v>1459</v>
      </c>
      <c r="D242" t="s">
        <v>7017</v>
      </c>
      <c r="E242" t="s">
        <v>1460</v>
      </c>
      <c r="F242" t="s">
        <v>7258</v>
      </c>
    </row>
    <row r="243" spans="1:6" x14ac:dyDescent="0.25">
      <c r="A243">
        <v>16379</v>
      </c>
      <c r="B243" t="s">
        <v>4</v>
      </c>
      <c r="C243" t="s">
        <v>1461</v>
      </c>
      <c r="D243" t="s">
        <v>7017</v>
      </c>
      <c r="E243" t="s">
        <v>1462</v>
      </c>
      <c r="F243" t="s">
        <v>7259</v>
      </c>
    </row>
    <row r="244" spans="1:6" x14ac:dyDescent="0.25">
      <c r="A244">
        <v>16383</v>
      </c>
      <c r="B244" t="s">
        <v>4</v>
      </c>
      <c r="C244" t="s">
        <v>1463</v>
      </c>
      <c r="D244" t="s">
        <v>7017</v>
      </c>
      <c r="E244" t="s">
        <v>1464</v>
      </c>
      <c r="F244" t="s">
        <v>7260</v>
      </c>
    </row>
    <row r="245" spans="1:6" x14ac:dyDescent="0.25">
      <c r="A245">
        <v>16390</v>
      </c>
      <c r="B245" t="s">
        <v>4</v>
      </c>
      <c r="C245" t="s">
        <v>1465</v>
      </c>
      <c r="D245" t="s">
        <v>7017</v>
      </c>
      <c r="E245" t="s">
        <v>1466</v>
      </c>
      <c r="F245" t="s">
        <v>7261</v>
      </c>
    </row>
    <row r="246" spans="1:6" x14ac:dyDescent="0.25">
      <c r="A246">
        <v>16393</v>
      </c>
      <c r="B246" t="s">
        <v>4</v>
      </c>
      <c r="C246" t="s">
        <v>1467</v>
      </c>
      <c r="D246" t="s">
        <v>7017</v>
      </c>
      <c r="E246" t="s">
        <v>1468</v>
      </c>
      <c r="F246" t="s">
        <v>7262</v>
      </c>
    </row>
    <row r="247" spans="1:6" x14ac:dyDescent="0.25">
      <c r="A247">
        <v>16396</v>
      </c>
      <c r="B247" t="s">
        <v>4</v>
      </c>
      <c r="C247" t="s">
        <v>1469</v>
      </c>
      <c r="D247" t="s">
        <v>7017</v>
      </c>
      <c r="E247" t="s">
        <v>1470</v>
      </c>
      <c r="F247" t="s">
        <v>7263</v>
      </c>
    </row>
    <row r="248" spans="1:6" x14ac:dyDescent="0.25">
      <c r="A248">
        <v>16400</v>
      </c>
      <c r="B248" t="s">
        <v>4</v>
      </c>
      <c r="C248" t="s">
        <v>1471</v>
      </c>
      <c r="D248" t="s">
        <v>7017</v>
      </c>
      <c r="E248" t="s">
        <v>1472</v>
      </c>
      <c r="F248" t="s">
        <v>7264</v>
      </c>
    </row>
    <row r="249" spans="1:6" x14ac:dyDescent="0.25">
      <c r="A249">
        <v>16403</v>
      </c>
      <c r="B249" t="s">
        <v>4</v>
      </c>
      <c r="C249" t="s">
        <v>1473</v>
      </c>
      <c r="D249" t="s">
        <v>7017</v>
      </c>
      <c r="E249" t="s">
        <v>1474</v>
      </c>
      <c r="F249" t="s">
        <v>7265</v>
      </c>
    </row>
    <row r="250" spans="1:6" x14ac:dyDescent="0.25">
      <c r="A250">
        <v>16407</v>
      </c>
      <c r="B250" t="s">
        <v>4</v>
      </c>
      <c r="C250" t="s">
        <v>1475</v>
      </c>
      <c r="D250" t="s">
        <v>7017</v>
      </c>
      <c r="E250" t="s">
        <v>1476</v>
      </c>
      <c r="F250" t="s">
        <v>7266</v>
      </c>
    </row>
    <row r="251" spans="1:6" x14ac:dyDescent="0.25">
      <c r="A251">
        <v>16410</v>
      </c>
      <c r="B251" t="s">
        <v>4</v>
      </c>
      <c r="C251" t="s">
        <v>1477</v>
      </c>
      <c r="D251" t="s">
        <v>7017</v>
      </c>
      <c r="E251" t="s">
        <v>1478</v>
      </c>
      <c r="F251" t="s">
        <v>7267</v>
      </c>
    </row>
    <row r="252" spans="1:6" x14ac:dyDescent="0.25">
      <c r="A252">
        <v>16413</v>
      </c>
      <c r="B252" t="s">
        <v>4</v>
      </c>
      <c r="C252" t="s">
        <v>1479</v>
      </c>
      <c r="D252" t="s">
        <v>7017</v>
      </c>
      <c r="E252" t="s">
        <v>1480</v>
      </c>
      <c r="F252" t="s">
        <v>7268</v>
      </c>
    </row>
    <row r="253" spans="1:6" x14ac:dyDescent="0.25">
      <c r="A253">
        <v>16425</v>
      </c>
      <c r="B253" t="s">
        <v>4</v>
      </c>
      <c r="C253" t="s">
        <v>1495</v>
      </c>
      <c r="D253" t="s">
        <v>7017</v>
      </c>
      <c r="E253" t="s">
        <v>1496</v>
      </c>
      <c r="F253" t="s">
        <v>7269</v>
      </c>
    </row>
    <row r="254" spans="1:6" x14ac:dyDescent="0.25">
      <c r="A254">
        <v>16430</v>
      </c>
      <c r="B254" t="s">
        <v>4</v>
      </c>
      <c r="C254" t="s">
        <v>1497</v>
      </c>
      <c r="D254" t="s">
        <v>7017</v>
      </c>
      <c r="E254" t="s">
        <v>1498</v>
      </c>
      <c r="F254" t="s">
        <v>7270</v>
      </c>
    </row>
    <row r="255" spans="1:6" x14ac:dyDescent="0.25">
      <c r="A255">
        <v>16433</v>
      </c>
      <c r="B255" t="s">
        <v>4</v>
      </c>
      <c r="C255" t="s">
        <v>1499</v>
      </c>
      <c r="D255" t="s">
        <v>7017</v>
      </c>
      <c r="E255" t="s">
        <v>1500</v>
      </c>
      <c r="F255" t="s">
        <v>7271</v>
      </c>
    </row>
    <row r="256" spans="1:6" x14ac:dyDescent="0.25">
      <c r="A256">
        <v>16436</v>
      </c>
      <c r="B256" t="s">
        <v>4</v>
      </c>
      <c r="C256" t="s">
        <v>1501</v>
      </c>
      <c r="D256" t="s">
        <v>7017</v>
      </c>
      <c r="E256" t="s">
        <v>1502</v>
      </c>
      <c r="F256" t="s">
        <v>7272</v>
      </c>
    </row>
    <row r="257" spans="1:6" x14ac:dyDescent="0.25">
      <c r="A257">
        <v>16450</v>
      </c>
      <c r="B257" t="s">
        <v>4</v>
      </c>
      <c r="C257" t="s">
        <v>1521</v>
      </c>
      <c r="D257" t="s">
        <v>7017</v>
      </c>
      <c r="E257" t="s">
        <v>1522</v>
      </c>
      <c r="F257" t="s">
        <v>7273</v>
      </c>
    </row>
    <row r="258" spans="1:6" x14ac:dyDescent="0.25">
      <c r="A258">
        <v>16463</v>
      </c>
      <c r="B258" t="s">
        <v>4</v>
      </c>
      <c r="C258" t="s">
        <v>1537</v>
      </c>
      <c r="D258" t="s">
        <v>7017</v>
      </c>
      <c r="E258" t="s">
        <v>1538</v>
      </c>
      <c r="F258" t="s">
        <v>7274</v>
      </c>
    </row>
    <row r="259" spans="1:6" x14ac:dyDescent="0.25">
      <c r="A259">
        <v>16468</v>
      </c>
      <c r="B259" t="s">
        <v>4</v>
      </c>
      <c r="C259" t="s">
        <v>1539</v>
      </c>
      <c r="D259" t="s">
        <v>7017</v>
      </c>
      <c r="E259" t="s">
        <v>1540</v>
      </c>
      <c r="F259" t="s">
        <v>7275</v>
      </c>
    </row>
    <row r="260" spans="1:6" x14ac:dyDescent="0.25">
      <c r="A260">
        <v>16473</v>
      </c>
      <c r="B260" t="s">
        <v>4</v>
      </c>
      <c r="C260" t="s">
        <v>1541</v>
      </c>
      <c r="D260" t="s">
        <v>7017</v>
      </c>
      <c r="E260" t="s">
        <v>1542</v>
      </c>
      <c r="F260" t="s">
        <v>7276</v>
      </c>
    </row>
    <row r="261" spans="1:6" x14ac:dyDescent="0.25">
      <c r="A261">
        <v>16477</v>
      </c>
      <c r="B261" t="s">
        <v>4</v>
      </c>
      <c r="C261" t="s">
        <v>1543</v>
      </c>
      <c r="D261" t="s">
        <v>7017</v>
      </c>
      <c r="E261" t="s">
        <v>1544</v>
      </c>
      <c r="F261" t="s">
        <v>7277</v>
      </c>
    </row>
    <row r="262" spans="1:6" x14ac:dyDescent="0.25">
      <c r="A262">
        <v>16484</v>
      </c>
      <c r="B262" t="s">
        <v>4</v>
      </c>
      <c r="C262" t="s">
        <v>1545</v>
      </c>
      <c r="D262" t="s">
        <v>7017</v>
      </c>
      <c r="E262" t="s">
        <v>1546</v>
      </c>
      <c r="F262" t="s">
        <v>7278</v>
      </c>
    </row>
    <row r="263" spans="1:6" x14ac:dyDescent="0.25">
      <c r="A263">
        <v>16487</v>
      </c>
      <c r="B263" t="s">
        <v>4</v>
      </c>
      <c r="C263" t="s">
        <v>1547</v>
      </c>
      <c r="D263" t="s">
        <v>7017</v>
      </c>
      <c r="E263" t="s">
        <v>1548</v>
      </c>
      <c r="F263" t="s">
        <v>7279</v>
      </c>
    </row>
    <row r="264" spans="1:6" x14ac:dyDescent="0.25">
      <c r="A264">
        <v>16491</v>
      </c>
      <c r="B264" t="s">
        <v>4</v>
      </c>
      <c r="C264" t="s">
        <v>1549</v>
      </c>
      <c r="D264" t="s">
        <v>7017</v>
      </c>
      <c r="E264" t="s">
        <v>1550</v>
      </c>
      <c r="F264" t="s">
        <v>7280</v>
      </c>
    </row>
    <row r="265" spans="1:6" x14ac:dyDescent="0.25">
      <c r="A265">
        <v>16500</v>
      </c>
      <c r="B265" t="s">
        <v>4</v>
      </c>
      <c r="C265" t="s">
        <v>1551</v>
      </c>
      <c r="D265" t="s">
        <v>7017</v>
      </c>
      <c r="E265" t="s">
        <v>1552</v>
      </c>
      <c r="F265" t="s">
        <v>7281</v>
      </c>
    </row>
    <row r="266" spans="1:6" x14ac:dyDescent="0.25">
      <c r="A266">
        <v>16508</v>
      </c>
      <c r="B266" t="s">
        <v>4</v>
      </c>
      <c r="C266" t="s">
        <v>1553</v>
      </c>
      <c r="D266" t="s">
        <v>7017</v>
      </c>
      <c r="E266" t="s">
        <v>1554</v>
      </c>
      <c r="F266" t="s">
        <v>7282</v>
      </c>
    </row>
    <row r="267" spans="1:6" x14ac:dyDescent="0.25">
      <c r="A267">
        <v>16522</v>
      </c>
      <c r="B267" t="s">
        <v>4</v>
      </c>
      <c r="C267" t="s">
        <v>1563</v>
      </c>
      <c r="D267" t="s">
        <v>7017</v>
      </c>
      <c r="E267" t="s">
        <v>1564</v>
      </c>
      <c r="F267" t="s">
        <v>7283</v>
      </c>
    </row>
    <row r="268" spans="1:6" x14ac:dyDescent="0.25">
      <c r="A268">
        <v>16532</v>
      </c>
      <c r="B268" t="s">
        <v>4</v>
      </c>
      <c r="C268" t="s">
        <v>1565</v>
      </c>
      <c r="D268" t="s">
        <v>7017</v>
      </c>
      <c r="E268" t="s">
        <v>1566</v>
      </c>
      <c r="F268" t="s">
        <v>7284</v>
      </c>
    </row>
    <row r="269" spans="1:6" x14ac:dyDescent="0.25">
      <c r="A269">
        <v>16539</v>
      </c>
      <c r="B269" t="s">
        <v>4</v>
      </c>
      <c r="C269" t="s">
        <v>1567</v>
      </c>
      <c r="D269" t="s">
        <v>7017</v>
      </c>
      <c r="E269" t="s">
        <v>1568</v>
      </c>
      <c r="F269" t="s">
        <v>7285</v>
      </c>
    </row>
    <row r="270" spans="1:6" x14ac:dyDescent="0.25">
      <c r="A270">
        <v>16550</v>
      </c>
      <c r="B270" t="s">
        <v>4</v>
      </c>
      <c r="C270" t="s">
        <v>1569</v>
      </c>
      <c r="D270" t="s">
        <v>7017</v>
      </c>
      <c r="E270" t="s">
        <v>1570</v>
      </c>
      <c r="F270" t="s">
        <v>7286</v>
      </c>
    </row>
    <row r="271" spans="1:6" x14ac:dyDescent="0.25">
      <c r="A271">
        <v>16554</v>
      </c>
      <c r="B271" t="s">
        <v>4</v>
      </c>
      <c r="C271" t="s">
        <v>1571</v>
      </c>
      <c r="D271" t="s">
        <v>7017</v>
      </c>
      <c r="E271" t="s">
        <v>1572</v>
      </c>
      <c r="F271" t="s">
        <v>7287</v>
      </c>
    </row>
    <row r="272" spans="1:6" x14ac:dyDescent="0.25">
      <c r="A272">
        <v>16562</v>
      </c>
      <c r="B272" t="s">
        <v>4</v>
      </c>
      <c r="C272" t="s">
        <v>1573</v>
      </c>
      <c r="D272" t="s">
        <v>7017</v>
      </c>
      <c r="E272" t="s">
        <v>1574</v>
      </c>
      <c r="F272" t="s">
        <v>7288</v>
      </c>
    </row>
    <row r="273" spans="1:6" x14ac:dyDescent="0.25">
      <c r="A273">
        <v>16568</v>
      </c>
      <c r="B273" t="s">
        <v>4</v>
      </c>
      <c r="C273" t="s">
        <v>1575</v>
      </c>
      <c r="D273" t="s">
        <v>7017</v>
      </c>
      <c r="E273" t="s">
        <v>1576</v>
      </c>
      <c r="F273" t="s">
        <v>7289</v>
      </c>
    </row>
    <row r="274" spans="1:6" x14ac:dyDescent="0.25">
      <c r="A274">
        <v>16575</v>
      </c>
      <c r="B274" t="s">
        <v>4</v>
      </c>
      <c r="C274" t="s">
        <v>1577</v>
      </c>
      <c r="D274" t="s">
        <v>7017</v>
      </c>
      <c r="E274" t="s">
        <v>1578</v>
      </c>
      <c r="F274" t="s">
        <v>7290</v>
      </c>
    </row>
    <row r="275" spans="1:6" x14ac:dyDescent="0.25">
      <c r="A275">
        <v>16582</v>
      </c>
      <c r="B275" t="s">
        <v>4</v>
      </c>
      <c r="C275" t="s">
        <v>1579</v>
      </c>
      <c r="D275" t="s">
        <v>7017</v>
      </c>
      <c r="E275" t="s">
        <v>1580</v>
      </c>
      <c r="F275" t="s">
        <v>7291</v>
      </c>
    </row>
    <row r="276" spans="1:6" x14ac:dyDescent="0.25">
      <c r="A276">
        <v>16597</v>
      </c>
      <c r="B276" t="s">
        <v>4</v>
      </c>
      <c r="C276" t="s">
        <v>1589</v>
      </c>
      <c r="D276" t="s">
        <v>7017</v>
      </c>
      <c r="E276" t="s">
        <v>1590</v>
      </c>
      <c r="F276" t="s">
        <v>7292</v>
      </c>
    </row>
    <row r="277" spans="1:6" x14ac:dyDescent="0.25">
      <c r="A277">
        <v>16607</v>
      </c>
      <c r="B277" t="s">
        <v>4</v>
      </c>
      <c r="C277" t="s">
        <v>1591</v>
      </c>
      <c r="D277" t="s">
        <v>7017</v>
      </c>
      <c r="E277" t="s">
        <v>1592</v>
      </c>
      <c r="F277" t="s">
        <v>7293</v>
      </c>
    </row>
    <row r="278" spans="1:6" x14ac:dyDescent="0.25">
      <c r="A278">
        <v>16614</v>
      </c>
      <c r="B278" t="s">
        <v>4</v>
      </c>
      <c r="C278" t="s">
        <v>1593</v>
      </c>
      <c r="D278" t="s">
        <v>7017</v>
      </c>
      <c r="E278" t="s">
        <v>1594</v>
      </c>
      <c r="F278" t="s">
        <v>7294</v>
      </c>
    </row>
    <row r="279" spans="1:6" x14ac:dyDescent="0.25">
      <c r="A279">
        <v>16627</v>
      </c>
      <c r="B279" t="s">
        <v>4</v>
      </c>
      <c r="C279" t="s">
        <v>1595</v>
      </c>
      <c r="D279" t="s">
        <v>7017</v>
      </c>
      <c r="E279" t="s">
        <v>1596</v>
      </c>
      <c r="F279" t="s">
        <v>7295</v>
      </c>
    </row>
    <row r="280" spans="1:6" x14ac:dyDescent="0.25">
      <c r="A280">
        <v>16632</v>
      </c>
      <c r="B280" t="s">
        <v>4</v>
      </c>
      <c r="C280" t="s">
        <v>1597</v>
      </c>
      <c r="D280" t="s">
        <v>7017</v>
      </c>
      <c r="E280" t="s">
        <v>1598</v>
      </c>
      <c r="F280" t="s">
        <v>7296</v>
      </c>
    </row>
    <row r="281" spans="1:6" x14ac:dyDescent="0.25">
      <c r="A281">
        <v>16635</v>
      </c>
      <c r="B281" t="s">
        <v>4</v>
      </c>
      <c r="C281" t="s">
        <v>1599</v>
      </c>
      <c r="D281" t="s">
        <v>7017</v>
      </c>
      <c r="E281" t="s">
        <v>1600</v>
      </c>
      <c r="F281" t="s">
        <v>7297</v>
      </c>
    </row>
    <row r="282" spans="1:6" x14ac:dyDescent="0.25">
      <c r="A282">
        <v>16640</v>
      </c>
      <c r="B282" t="s">
        <v>4</v>
      </c>
      <c r="C282" t="s">
        <v>1601</v>
      </c>
      <c r="D282" t="s">
        <v>7017</v>
      </c>
      <c r="E282" t="s">
        <v>1602</v>
      </c>
      <c r="F282" t="s">
        <v>7298</v>
      </c>
    </row>
    <row r="283" spans="1:6" x14ac:dyDescent="0.25">
      <c r="A283">
        <v>16645</v>
      </c>
      <c r="B283" t="s">
        <v>4</v>
      </c>
      <c r="C283" t="s">
        <v>1603</v>
      </c>
      <c r="D283" t="s">
        <v>7017</v>
      </c>
      <c r="E283" t="s">
        <v>1604</v>
      </c>
      <c r="F283" t="s">
        <v>7299</v>
      </c>
    </row>
    <row r="284" spans="1:6" x14ac:dyDescent="0.25">
      <c r="A284">
        <v>16651</v>
      </c>
      <c r="B284" t="s">
        <v>4</v>
      </c>
      <c r="C284" t="s">
        <v>1605</v>
      </c>
      <c r="D284" t="s">
        <v>7017</v>
      </c>
      <c r="E284" t="s">
        <v>1606</v>
      </c>
      <c r="F284" t="s">
        <v>7300</v>
      </c>
    </row>
    <row r="285" spans="1:6" x14ac:dyDescent="0.25">
      <c r="A285">
        <v>16657</v>
      </c>
      <c r="B285" t="s">
        <v>4</v>
      </c>
      <c r="C285" t="s">
        <v>1607</v>
      </c>
      <c r="D285" t="s">
        <v>7017</v>
      </c>
      <c r="E285" t="s">
        <v>1608</v>
      </c>
      <c r="F285" t="s">
        <v>7301</v>
      </c>
    </row>
    <row r="286" spans="1:6" x14ac:dyDescent="0.25">
      <c r="A286">
        <v>16663</v>
      </c>
      <c r="B286" t="s">
        <v>4</v>
      </c>
      <c r="C286" t="s">
        <v>1609</v>
      </c>
      <c r="D286" t="s">
        <v>7017</v>
      </c>
      <c r="E286" t="s">
        <v>1610</v>
      </c>
      <c r="F286" t="s">
        <v>7302</v>
      </c>
    </row>
    <row r="287" spans="1:6" x14ac:dyDescent="0.25">
      <c r="A287">
        <v>16669</v>
      </c>
      <c r="B287" t="s">
        <v>4</v>
      </c>
      <c r="C287" t="s">
        <v>1611</v>
      </c>
      <c r="D287" t="s">
        <v>7017</v>
      </c>
      <c r="E287" t="s">
        <v>1612</v>
      </c>
      <c r="F287" t="s">
        <v>7303</v>
      </c>
    </row>
    <row r="288" spans="1:6" x14ac:dyDescent="0.25">
      <c r="A288">
        <v>16675</v>
      </c>
      <c r="B288" t="s">
        <v>4</v>
      </c>
      <c r="C288" t="s">
        <v>1613</v>
      </c>
      <c r="D288" t="s">
        <v>7017</v>
      </c>
      <c r="E288" t="s">
        <v>1614</v>
      </c>
      <c r="F288" t="s">
        <v>7304</v>
      </c>
    </row>
    <row r="289" spans="1:6" x14ac:dyDescent="0.25">
      <c r="A289">
        <v>16708</v>
      </c>
      <c r="B289" t="s">
        <v>4</v>
      </c>
      <c r="C289" t="s">
        <v>1653</v>
      </c>
      <c r="D289" t="s">
        <v>7017</v>
      </c>
      <c r="E289" t="s">
        <v>1654</v>
      </c>
      <c r="F289" t="s">
        <v>7305</v>
      </c>
    </row>
    <row r="290" spans="1:6" x14ac:dyDescent="0.25">
      <c r="A290">
        <v>16715</v>
      </c>
      <c r="B290" t="s">
        <v>4</v>
      </c>
      <c r="C290" t="s">
        <v>1655</v>
      </c>
      <c r="D290" t="s">
        <v>7017</v>
      </c>
      <c r="E290" t="s">
        <v>1656</v>
      </c>
      <c r="F290" t="s">
        <v>7306</v>
      </c>
    </row>
    <row r="291" spans="1:6" x14ac:dyDescent="0.25">
      <c r="A291">
        <v>16719</v>
      </c>
      <c r="B291" t="s">
        <v>4</v>
      </c>
      <c r="C291" t="s">
        <v>1657</v>
      </c>
      <c r="D291" t="s">
        <v>7017</v>
      </c>
      <c r="E291" t="s">
        <v>1658</v>
      </c>
      <c r="F291" t="s">
        <v>7307</v>
      </c>
    </row>
    <row r="292" spans="1:6" x14ac:dyDescent="0.25">
      <c r="A292">
        <v>16724</v>
      </c>
      <c r="B292" t="s">
        <v>4</v>
      </c>
      <c r="C292" t="s">
        <v>1659</v>
      </c>
      <c r="D292" t="s">
        <v>7017</v>
      </c>
      <c r="E292" t="s">
        <v>1660</v>
      </c>
      <c r="F292" t="s">
        <v>7308</v>
      </c>
    </row>
    <row r="293" spans="1:6" x14ac:dyDescent="0.25">
      <c r="A293">
        <v>16727</v>
      </c>
      <c r="B293" t="s">
        <v>4</v>
      </c>
      <c r="C293" t="s">
        <v>1661</v>
      </c>
      <c r="D293" t="s">
        <v>7017</v>
      </c>
      <c r="E293" t="s">
        <v>1662</v>
      </c>
      <c r="F293" t="s">
        <v>7309</v>
      </c>
    </row>
    <row r="294" spans="1:6" x14ac:dyDescent="0.25">
      <c r="A294">
        <v>16745</v>
      </c>
      <c r="B294" t="s">
        <v>4</v>
      </c>
      <c r="C294" t="s">
        <v>1685</v>
      </c>
      <c r="D294" t="s">
        <v>7017</v>
      </c>
      <c r="E294" t="s">
        <v>1686</v>
      </c>
      <c r="F294" t="s">
        <v>7310</v>
      </c>
    </row>
    <row r="295" spans="1:6" x14ac:dyDescent="0.25">
      <c r="A295">
        <v>16749</v>
      </c>
      <c r="B295" t="s">
        <v>4</v>
      </c>
      <c r="C295" t="s">
        <v>1687</v>
      </c>
      <c r="D295" t="s">
        <v>7017</v>
      </c>
      <c r="E295" t="s">
        <v>1688</v>
      </c>
      <c r="F295" t="s">
        <v>7311</v>
      </c>
    </row>
    <row r="296" spans="1:6" x14ac:dyDescent="0.25">
      <c r="A296">
        <v>16776</v>
      </c>
      <c r="B296" t="s">
        <v>4</v>
      </c>
      <c r="C296" t="s">
        <v>1725</v>
      </c>
      <c r="D296" t="s">
        <v>7017</v>
      </c>
      <c r="E296" t="s">
        <v>1726</v>
      </c>
      <c r="F296" t="s">
        <v>7312</v>
      </c>
    </row>
    <row r="297" spans="1:6" x14ac:dyDescent="0.25">
      <c r="A297">
        <v>16779</v>
      </c>
      <c r="B297" t="s">
        <v>4</v>
      </c>
      <c r="C297" t="s">
        <v>1727</v>
      </c>
      <c r="D297" t="s">
        <v>7017</v>
      </c>
      <c r="E297" t="s">
        <v>1728</v>
      </c>
      <c r="F297" t="s">
        <v>7313</v>
      </c>
    </row>
    <row r="298" spans="1:6" x14ac:dyDescent="0.25">
      <c r="A298">
        <v>16787</v>
      </c>
      <c r="B298" t="s">
        <v>4</v>
      </c>
      <c r="C298" t="s">
        <v>1729</v>
      </c>
      <c r="D298" t="s">
        <v>7017</v>
      </c>
      <c r="E298" t="s">
        <v>1730</v>
      </c>
      <c r="F298" t="s">
        <v>7314</v>
      </c>
    </row>
    <row r="299" spans="1:6" x14ac:dyDescent="0.25">
      <c r="A299">
        <v>16790</v>
      </c>
      <c r="B299" t="s">
        <v>4</v>
      </c>
      <c r="C299" t="s">
        <v>1731</v>
      </c>
      <c r="D299" t="s">
        <v>7017</v>
      </c>
      <c r="E299" t="s">
        <v>1732</v>
      </c>
      <c r="F299" t="s">
        <v>7315</v>
      </c>
    </row>
    <row r="300" spans="1:6" x14ac:dyDescent="0.25">
      <c r="A300">
        <v>16801</v>
      </c>
      <c r="B300" t="s">
        <v>4</v>
      </c>
      <c r="C300" t="s">
        <v>1733</v>
      </c>
      <c r="D300" t="s">
        <v>7017</v>
      </c>
      <c r="E300" t="s">
        <v>1734</v>
      </c>
      <c r="F300" t="s">
        <v>7316</v>
      </c>
    </row>
    <row r="301" spans="1:6" x14ac:dyDescent="0.25">
      <c r="A301">
        <v>16806</v>
      </c>
      <c r="B301" t="s">
        <v>4</v>
      </c>
      <c r="C301" t="s">
        <v>1735</v>
      </c>
      <c r="D301" t="s">
        <v>7017</v>
      </c>
      <c r="E301" t="s">
        <v>1736</v>
      </c>
      <c r="F301" t="s">
        <v>7317</v>
      </c>
    </row>
    <row r="302" spans="1:6" x14ac:dyDescent="0.25">
      <c r="A302">
        <v>16819</v>
      </c>
      <c r="B302" t="s">
        <v>4</v>
      </c>
      <c r="C302" t="s">
        <v>1753</v>
      </c>
      <c r="D302" t="s">
        <v>7017</v>
      </c>
      <c r="E302" t="s">
        <v>1754</v>
      </c>
      <c r="F302" t="s">
        <v>7318</v>
      </c>
    </row>
    <row r="303" spans="1:6" x14ac:dyDescent="0.25">
      <c r="A303">
        <v>16822</v>
      </c>
      <c r="B303" t="s">
        <v>4</v>
      </c>
      <c r="C303" t="s">
        <v>1755</v>
      </c>
      <c r="D303" t="s">
        <v>7017</v>
      </c>
      <c r="E303" t="s">
        <v>1756</v>
      </c>
      <c r="F303" t="s">
        <v>7319</v>
      </c>
    </row>
    <row r="304" spans="1:6" x14ac:dyDescent="0.25">
      <c r="A304">
        <v>16849</v>
      </c>
      <c r="B304" t="s">
        <v>4</v>
      </c>
      <c r="C304" t="s">
        <v>1777</v>
      </c>
      <c r="D304" t="s">
        <v>7017</v>
      </c>
      <c r="E304" t="s">
        <v>1778</v>
      </c>
      <c r="F304" t="s">
        <v>7320</v>
      </c>
    </row>
    <row r="305" spans="1:6" x14ac:dyDescent="0.25">
      <c r="A305">
        <v>16853</v>
      </c>
      <c r="B305" t="s">
        <v>4</v>
      </c>
      <c r="C305" t="s">
        <v>1779</v>
      </c>
      <c r="D305" t="s">
        <v>7017</v>
      </c>
      <c r="E305" t="s">
        <v>1780</v>
      </c>
      <c r="F305" t="s">
        <v>7321</v>
      </c>
    </row>
    <row r="306" spans="1:6" x14ac:dyDescent="0.25">
      <c r="A306">
        <v>16858</v>
      </c>
      <c r="B306" t="s">
        <v>4</v>
      </c>
      <c r="C306" t="s">
        <v>1781</v>
      </c>
      <c r="D306" t="s">
        <v>7017</v>
      </c>
      <c r="E306" t="s">
        <v>1782</v>
      </c>
      <c r="F306" t="s">
        <v>7322</v>
      </c>
    </row>
    <row r="307" spans="1:6" x14ac:dyDescent="0.25">
      <c r="A307">
        <v>16919</v>
      </c>
      <c r="B307" t="s">
        <v>4</v>
      </c>
      <c r="C307" t="s">
        <v>1857</v>
      </c>
      <c r="D307" t="s">
        <v>7017</v>
      </c>
      <c r="E307" t="s">
        <v>1858</v>
      </c>
      <c r="F307" t="s">
        <v>7323</v>
      </c>
    </row>
    <row r="308" spans="1:6" x14ac:dyDescent="0.25">
      <c r="A308">
        <v>16924</v>
      </c>
      <c r="B308" t="s">
        <v>4</v>
      </c>
      <c r="C308" t="s">
        <v>1859</v>
      </c>
      <c r="D308" t="s">
        <v>7017</v>
      </c>
      <c r="E308" t="s">
        <v>1860</v>
      </c>
      <c r="F308" t="s">
        <v>7324</v>
      </c>
    </row>
    <row r="309" spans="1:6" x14ac:dyDescent="0.25">
      <c r="A309">
        <v>16929</v>
      </c>
      <c r="B309" t="s">
        <v>4</v>
      </c>
      <c r="C309" t="s">
        <v>1861</v>
      </c>
      <c r="D309" t="s">
        <v>7017</v>
      </c>
      <c r="E309" t="s">
        <v>1862</v>
      </c>
      <c r="F309" t="s">
        <v>7325</v>
      </c>
    </row>
    <row r="310" spans="1:6" x14ac:dyDescent="0.25">
      <c r="A310">
        <v>16937</v>
      </c>
      <c r="B310" t="s">
        <v>4</v>
      </c>
      <c r="C310" t="s">
        <v>1863</v>
      </c>
      <c r="D310" t="s">
        <v>7017</v>
      </c>
      <c r="E310" t="s">
        <v>1864</v>
      </c>
      <c r="F310" t="s">
        <v>7326</v>
      </c>
    </row>
    <row r="311" spans="1:6" x14ac:dyDescent="0.25">
      <c r="A311">
        <v>16940</v>
      </c>
      <c r="B311" t="s">
        <v>4</v>
      </c>
      <c r="C311" t="s">
        <v>1865</v>
      </c>
      <c r="D311" t="s">
        <v>7017</v>
      </c>
      <c r="E311" t="s">
        <v>1866</v>
      </c>
      <c r="F311" t="s">
        <v>7327</v>
      </c>
    </row>
    <row r="312" spans="1:6" x14ac:dyDescent="0.25">
      <c r="A312">
        <v>16943</v>
      </c>
      <c r="B312" t="s">
        <v>4</v>
      </c>
      <c r="C312" t="s">
        <v>1867</v>
      </c>
      <c r="D312" t="s">
        <v>7017</v>
      </c>
      <c r="E312" t="s">
        <v>1868</v>
      </c>
      <c r="F312" t="s">
        <v>7328</v>
      </c>
    </row>
    <row r="313" spans="1:6" x14ac:dyDescent="0.25">
      <c r="A313">
        <v>16946</v>
      </c>
      <c r="B313" t="s">
        <v>4</v>
      </c>
      <c r="C313" t="s">
        <v>1869</v>
      </c>
      <c r="D313" t="s">
        <v>7017</v>
      </c>
      <c r="E313" t="s">
        <v>1870</v>
      </c>
      <c r="F313" t="s">
        <v>7329</v>
      </c>
    </row>
    <row r="314" spans="1:6" x14ac:dyDescent="0.25">
      <c r="A314">
        <v>16950</v>
      </c>
      <c r="B314" t="s">
        <v>4</v>
      </c>
      <c r="C314" t="s">
        <v>1871</v>
      </c>
      <c r="D314" t="s">
        <v>7017</v>
      </c>
      <c r="E314" t="s">
        <v>1872</v>
      </c>
      <c r="F314" t="s">
        <v>7330</v>
      </c>
    </row>
    <row r="315" spans="1:6" x14ac:dyDescent="0.25">
      <c r="A315">
        <v>16953</v>
      </c>
      <c r="B315" t="s">
        <v>4</v>
      </c>
      <c r="C315" t="s">
        <v>1873</v>
      </c>
      <c r="D315" t="s">
        <v>7017</v>
      </c>
      <c r="E315" t="s">
        <v>1874</v>
      </c>
      <c r="F315" t="s">
        <v>7331</v>
      </c>
    </row>
    <row r="316" spans="1:6" x14ac:dyDescent="0.25">
      <c r="A316">
        <v>16956</v>
      </c>
      <c r="B316" t="s">
        <v>4</v>
      </c>
      <c r="C316" t="s">
        <v>1875</v>
      </c>
      <c r="D316" t="s">
        <v>7017</v>
      </c>
      <c r="E316" t="s">
        <v>1876</v>
      </c>
      <c r="F316" t="s">
        <v>7332</v>
      </c>
    </row>
    <row r="317" spans="1:6" x14ac:dyDescent="0.25">
      <c r="A317">
        <v>16959</v>
      </c>
      <c r="B317" t="s">
        <v>4</v>
      </c>
      <c r="C317" t="s">
        <v>1877</v>
      </c>
      <c r="D317" t="s">
        <v>7017</v>
      </c>
      <c r="E317" t="s">
        <v>1878</v>
      </c>
      <c r="F317" t="s">
        <v>7333</v>
      </c>
    </row>
    <row r="318" spans="1:6" x14ac:dyDescent="0.25">
      <c r="A318">
        <v>16991</v>
      </c>
      <c r="B318" t="s">
        <v>4</v>
      </c>
      <c r="C318" t="s">
        <v>1915</v>
      </c>
      <c r="D318" t="s">
        <v>7017</v>
      </c>
      <c r="E318" t="s">
        <v>1916</v>
      </c>
      <c r="F318" t="s">
        <v>7334</v>
      </c>
    </row>
    <row r="319" spans="1:6" x14ac:dyDescent="0.25">
      <c r="A319">
        <v>17006</v>
      </c>
      <c r="B319" t="s">
        <v>4</v>
      </c>
      <c r="C319" t="s">
        <v>1925</v>
      </c>
      <c r="D319" t="s">
        <v>7017</v>
      </c>
      <c r="E319" t="s">
        <v>1926</v>
      </c>
      <c r="F319" t="s">
        <v>7335</v>
      </c>
    </row>
    <row r="320" spans="1:6" x14ac:dyDescent="0.25">
      <c r="A320">
        <v>17023</v>
      </c>
      <c r="B320" t="s">
        <v>4</v>
      </c>
      <c r="C320" t="s">
        <v>1935</v>
      </c>
      <c r="D320" t="s">
        <v>7017</v>
      </c>
      <c r="E320" t="s">
        <v>1936</v>
      </c>
      <c r="F320" t="s">
        <v>7336</v>
      </c>
    </row>
    <row r="321" spans="1:6" x14ac:dyDescent="0.25">
      <c r="A321">
        <v>17030</v>
      </c>
      <c r="B321" t="s">
        <v>4</v>
      </c>
      <c r="C321" t="s">
        <v>1937</v>
      </c>
      <c r="D321" t="s">
        <v>7017</v>
      </c>
      <c r="E321" t="s">
        <v>1938</v>
      </c>
      <c r="F321" t="s">
        <v>7337</v>
      </c>
    </row>
    <row r="322" spans="1:6" x14ac:dyDescent="0.25">
      <c r="A322">
        <v>17036</v>
      </c>
      <c r="B322" t="s">
        <v>4</v>
      </c>
      <c r="C322" t="s">
        <v>1939</v>
      </c>
      <c r="D322" t="s">
        <v>7017</v>
      </c>
      <c r="E322" t="s">
        <v>1940</v>
      </c>
      <c r="F322" t="s">
        <v>7338</v>
      </c>
    </row>
    <row r="323" spans="1:6" x14ac:dyDescent="0.25">
      <c r="A323">
        <v>17051</v>
      </c>
      <c r="B323" t="s">
        <v>4</v>
      </c>
      <c r="C323" t="s">
        <v>1949</v>
      </c>
      <c r="D323" t="s">
        <v>7017</v>
      </c>
      <c r="E323" t="s">
        <v>1950</v>
      </c>
      <c r="F323" t="s">
        <v>7339</v>
      </c>
    </row>
    <row r="324" spans="1:6" x14ac:dyDescent="0.25">
      <c r="A324">
        <v>17062</v>
      </c>
      <c r="B324" t="s">
        <v>4</v>
      </c>
      <c r="C324" t="s">
        <v>1951</v>
      </c>
      <c r="D324" t="s">
        <v>7017</v>
      </c>
      <c r="E324" t="s">
        <v>1952</v>
      </c>
      <c r="F324" t="s">
        <v>7340</v>
      </c>
    </row>
    <row r="325" spans="1:6" x14ac:dyDescent="0.25">
      <c r="A325">
        <v>17069</v>
      </c>
      <c r="B325" t="s">
        <v>4</v>
      </c>
      <c r="C325" t="s">
        <v>1953</v>
      </c>
      <c r="D325" t="s">
        <v>7017</v>
      </c>
      <c r="E325" t="s">
        <v>1954</v>
      </c>
      <c r="F325" t="s">
        <v>7341</v>
      </c>
    </row>
    <row r="326" spans="1:6" x14ac:dyDescent="0.25">
      <c r="A326">
        <v>17087</v>
      </c>
      <c r="B326" t="s">
        <v>4</v>
      </c>
      <c r="C326" t="s">
        <v>1973</v>
      </c>
      <c r="D326" t="s">
        <v>7017</v>
      </c>
      <c r="E326" t="s">
        <v>1974</v>
      </c>
      <c r="F326" t="s">
        <v>7342</v>
      </c>
    </row>
    <row r="327" spans="1:6" x14ac:dyDescent="0.25">
      <c r="A327">
        <v>17091</v>
      </c>
      <c r="B327" t="s">
        <v>4</v>
      </c>
      <c r="C327" t="s">
        <v>1975</v>
      </c>
      <c r="D327" t="s">
        <v>7017</v>
      </c>
      <c r="E327" t="s">
        <v>1976</v>
      </c>
      <c r="F327" t="s">
        <v>7343</v>
      </c>
    </row>
    <row r="328" spans="1:6" x14ac:dyDescent="0.25">
      <c r="A328">
        <v>17094</v>
      </c>
      <c r="B328" t="s">
        <v>4</v>
      </c>
      <c r="C328" t="s">
        <v>1977</v>
      </c>
      <c r="D328" t="s">
        <v>7017</v>
      </c>
      <c r="E328" t="s">
        <v>1978</v>
      </c>
      <c r="F328" t="s">
        <v>7344</v>
      </c>
    </row>
    <row r="329" spans="1:6" x14ac:dyDescent="0.25">
      <c r="A329">
        <v>17097</v>
      </c>
      <c r="B329" t="s">
        <v>4</v>
      </c>
      <c r="C329" t="s">
        <v>6905</v>
      </c>
      <c r="D329" t="s">
        <v>7017</v>
      </c>
      <c r="E329" t="s">
        <v>1979</v>
      </c>
      <c r="F329" t="s">
        <v>7345</v>
      </c>
    </row>
    <row r="330" spans="1:6" x14ac:dyDescent="0.25">
      <c r="A330">
        <v>17101</v>
      </c>
      <c r="B330" t="s">
        <v>4</v>
      </c>
      <c r="C330" t="s">
        <v>1980</v>
      </c>
      <c r="D330" t="s">
        <v>7017</v>
      </c>
      <c r="E330" t="s">
        <v>1981</v>
      </c>
      <c r="F330" t="s">
        <v>7346</v>
      </c>
    </row>
    <row r="331" spans="1:6" x14ac:dyDescent="0.25">
      <c r="A331">
        <v>17104</v>
      </c>
      <c r="B331" t="s">
        <v>4</v>
      </c>
      <c r="C331" t="s">
        <v>1982</v>
      </c>
      <c r="D331" t="s">
        <v>7017</v>
      </c>
      <c r="E331" t="s">
        <v>1983</v>
      </c>
      <c r="F331" t="s">
        <v>7347</v>
      </c>
    </row>
    <row r="332" spans="1:6" x14ac:dyDescent="0.25">
      <c r="A332">
        <v>17107</v>
      </c>
      <c r="B332" t="s">
        <v>4</v>
      </c>
      <c r="C332" t="s">
        <v>1984</v>
      </c>
      <c r="D332" t="s">
        <v>7017</v>
      </c>
      <c r="E332" t="s">
        <v>1985</v>
      </c>
      <c r="F332" t="s">
        <v>7348</v>
      </c>
    </row>
    <row r="333" spans="1:6" x14ac:dyDescent="0.25">
      <c r="A333">
        <v>17110</v>
      </c>
      <c r="B333" t="s">
        <v>4</v>
      </c>
      <c r="C333" t="s">
        <v>1986</v>
      </c>
      <c r="D333" t="s">
        <v>7017</v>
      </c>
      <c r="E333" t="s">
        <v>1987</v>
      </c>
      <c r="F333" t="s">
        <v>7349</v>
      </c>
    </row>
    <row r="334" spans="1:6" x14ac:dyDescent="0.25">
      <c r="A334">
        <v>17113</v>
      </c>
      <c r="B334" t="s">
        <v>4</v>
      </c>
      <c r="C334" t="s">
        <v>1988</v>
      </c>
      <c r="D334" t="s">
        <v>7017</v>
      </c>
      <c r="E334" t="s">
        <v>1989</v>
      </c>
      <c r="F334" t="s">
        <v>7350</v>
      </c>
    </row>
    <row r="335" spans="1:6" x14ac:dyDescent="0.25">
      <c r="A335">
        <v>17127</v>
      </c>
      <c r="B335" t="s">
        <v>4</v>
      </c>
      <c r="C335" t="s">
        <v>2006</v>
      </c>
      <c r="D335" t="s">
        <v>7017</v>
      </c>
      <c r="E335" t="s">
        <v>2007</v>
      </c>
      <c r="F335" t="s">
        <v>7351</v>
      </c>
    </row>
    <row r="336" spans="1:6" x14ac:dyDescent="0.25">
      <c r="A336">
        <v>17134</v>
      </c>
      <c r="B336" t="s">
        <v>4</v>
      </c>
      <c r="C336" t="s">
        <v>2008</v>
      </c>
      <c r="D336" t="s">
        <v>7017</v>
      </c>
      <c r="E336" t="s">
        <v>2009</v>
      </c>
      <c r="F336" t="s">
        <v>7352</v>
      </c>
    </row>
    <row r="337" spans="1:6" x14ac:dyDescent="0.25">
      <c r="A337">
        <v>17137</v>
      </c>
      <c r="B337" t="s">
        <v>4</v>
      </c>
      <c r="C337" t="s">
        <v>2010</v>
      </c>
      <c r="D337" t="s">
        <v>7017</v>
      </c>
      <c r="E337" t="s">
        <v>2011</v>
      </c>
      <c r="F337" t="s">
        <v>7353</v>
      </c>
    </row>
    <row r="338" spans="1:6" x14ac:dyDescent="0.25">
      <c r="A338">
        <v>17141</v>
      </c>
      <c r="B338" t="s">
        <v>4</v>
      </c>
      <c r="C338" t="s">
        <v>2012</v>
      </c>
      <c r="D338" t="s">
        <v>7017</v>
      </c>
      <c r="E338" t="s">
        <v>2013</v>
      </c>
      <c r="F338" t="s">
        <v>7354</v>
      </c>
    </row>
    <row r="339" spans="1:6" x14ac:dyDescent="0.25">
      <c r="A339">
        <v>17186</v>
      </c>
      <c r="B339" t="s">
        <v>4</v>
      </c>
      <c r="C339" t="s">
        <v>2060</v>
      </c>
      <c r="D339" t="s">
        <v>7017</v>
      </c>
      <c r="E339" t="s">
        <v>2061</v>
      </c>
      <c r="F339" t="s">
        <v>7355</v>
      </c>
    </row>
    <row r="340" spans="1:6" x14ac:dyDescent="0.25">
      <c r="A340">
        <v>17189</v>
      </c>
      <c r="B340" t="s">
        <v>4</v>
      </c>
      <c r="C340" t="s">
        <v>2062</v>
      </c>
      <c r="D340" t="s">
        <v>7017</v>
      </c>
      <c r="E340" t="s">
        <v>2063</v>
      </c>
      <c r="F340" t="s">
        <v>7356</v>
      </c>
    </row>
    <row r="341" spans="1:6" x14ac:dyDescent="0.25">
      <c r="A341">
        <v>17199</v>
      </c>
      <c r="B341" t="s">
        <v>4</v>
      </c>
      <c r="C341" t="s">
        <v>2064</v>
      </c>
      <c r="D341" t="s">
        <v>7017</v>
      </c>
      <c r="E341" t="s">
        <v>2065</v>
      </c>
      <c r="F341" t="s">
        <v>7357</v>
      </c>
    </row>
    <row r="342" spans="1:6" x14ac:dyDescent="0.25">
      <c r="A342">
        <v>17209</v>
      </c>
      <c r="B342" t="s">
        <v>4</v>
      </c>
      <c r="C342" t="s">
        <v>2066</v>
      </c>
      <c r="D342" t="s">
        <v>7017</v>
      </c>
      <c r="E342" t="s">
        <v>2067</v>
      </c>
      <c r="F342" t="s">
        <v>7358</v>
      </c>
    </row>
    <row r="343" spans="1:6" x14ac:dyDescent="0.25">
      <c r="A343">
        <v>17234</v>
      </c>
      <c r="B343" t="s">
        <v>4</v>
      </c>
      <c r="C343" t="s">
        <v>2084</v>
      </c>
      <c r="D343" t="s">
        <v>7017</v>
      </c>
      <c r="E343" t="s">
        <v>2085</v>
      </c>
      <c r="F343" t="s">
        <v>7359</v>
      </c>
    </row>
    <row r="344" spans="1:6" x14ac:dyDescent="0.25">
      <c r="A344">
        <v>17239</v>
      </c>
      <c r="B344" t="s">
        <v>4</v>
      </c>
      <c r="C344" t="s">
        <v>2086</v>
      </c>
      <c r="D344" t="s">
        <v>7017</v>
      </c>
      <c r="E344" t="s">
        <v>2087</v>
      </c>
      <c r="F344" t="s">
        <v>7360</v>
      </c>
    </row>
    <row r="345" spans="1:6" x14ac:dyDescent="0.25">
      <c r="A345">
        <v>17245</v>
      </c>
      <c r="B345" t="s">
        <v>4</v>
      </c>
      <c r="C345" t="s">
        <v>2088</v>
      </c>
      <c r="D345" t="s">
        <v>7017</v>
      </c>
      <c r="E345" t="s">
        <v>2089</v>
      </c>
      <c r="F345" t="s">
        <v>7361</v>
      </c>
    </row>
    <row r="346" spans="1:6" x14ac:dyDescent="0.25">
      <c r="A346">
        <v>17269</v>
      </c>
      <c r="B346" t="s">
        <v>4</v>
      </c>
      <c r="C346" t="s">
        <v>2102</v>
      </c>
      <c r="D346" t="s">
        <v>7017</v>
      </c>
      <c r="E346" t="s">
        <v>2103</v>
      </c>
      <c r="F346" t="s">
        <v>7362</v>
      </c>
    </row>
    <row r="347" spans="1:6" x14ac:dyDescent="0.25">
      <c r="A347">
        <v>17279</v>
      </c>
      <c r="B347" t="s">
        <v>4</v>
      </c>
      <c r="C347" t="s">
        <v>2104</v>
      </c>
      <c r="D347" t="s">
        <v>7017</v>
      </c>
      <c r="E347" t="s">
        <v>2105</v>
      </c>
      <c r="F347" t="s">
        <v>7363</v>
      </c>
    </row>
    <row r="348" spans="1:6" x14ac:dyDescent="0.25">
      <c r="A348">
        <v>17282</v>
      </c>
      <c r="B348" t="s">
        <v>4</v>
      </c>
      <c r="C348" t="s">
        <v>2106</v>
      </c>
      <c r="D348" t="s">
        <v>7017</v>
      </c>
      <c r="E348" t="s">
        <v>2107</v>
      </c>
      <c r="F348" t="s">
        <v>7364</v>
      </c>
    </row>
    <row r="349" spans="1:6" x14ac:dyDescent="0.25">
      <c r="A349">
        <v>17285</v>
      </c>
      <c r="B349" t="s">
        <v>4</v>
      </c>
      <c r="C349" t="s">
        <v>2108</v>
      </c>
      <c r="D349" t="s">
        <v>7017</v>
      </c>
      <c r="E349" t="s">
        <v>2109</v>
      </c>
      <c r="F349" t="s">
        <v>7365</v>
      </c>
    </row>
    <row r="350" spans="1:6" x14ac:dyDescent="0.25">
      <c r="A350">
        <v>17289</v>
      </c>
      <c r="B350" t="s">
        <v>4</v>
      </c>
      <c r="C350" t="s">
        <v>2110</v>
      </c>
      <c r="D350" t="s">
        <v>7017</v>
      </c>
      <c r="E350" t="s">
        <v>2111</v>
      </c>
      <c r="F350" t="s">
        <v>7366</v>
      </c>
    </row>
    <row r="351" spans="1:6" x14ac:dyDescent="0.25">
      <c r="A351">
        <v>17293</v>
      </c>
      <c r="B351" t="s">
        <v>4</v>
      </c>
      <c r="C351" t="s">
        <v>2112</v>
      </c>
      <c r="D351" t="s">
        <v>7017</v>
      </c>
      <c r="E351" t="s">
        <v>2113</v>
      </c>
      <c r="F351" t="s">
        <v>7367</v>
      </c>
    </row>
    <row r="352" spans="1:6" x14ac:dyDescent="0.25">
      <c r="A352">
        <v>17297</v>
      </c>
      <c r="B352" t="s">
        <v>4</v>
      </c>
      <c r="C352" t="s">
        <v>2114</v>
      </c>
      <c r="D352" t="s">
        <v>7017</v>
      </c>
      <c r="E352" t="s">
        <v>2115</v>
      </c>
      <c r="F352" t="s">
        <v>7368</v>
      </c>
    </row>
    <row r="353" spans="1:6" x14ac:dyDescent="0.25">
      <c r="A353">
        <v>17300</v>
      </c>
      <c r="B353" t="s">
        <v>4</v>
      </c>
      <c r="C353" t="s">
        <v>2116</v>
      </c>
      <c r="D353" t="s">
        <v>7017</v>
      </c>
      <c r="E353" t="s">
        <v>2117</v>
      </c>
      <c r="F353" t="s">
        <v>7369</v>
      </c>
    </row>
    <row r="354" spans="1:6" x14ac:dyDescent="0.25">
      <c r="A354">
        <v>17308</v>
      </c>
      <c r="B354" t="s">
        <v>4</v>
      </c>
      <c r="C354" t="s">
        <v>2118</v>
      </c>
      <c r="D354" t="s">
        <v>7017</v>
      </c>
      <c r="E354" t="s">
        <v>2119</v>
      </c>
      <c r="F354" t="s">
        <v>7370</v>
      </c>
    </row>
    <row r="355" spans="1:6" x14ac:dyDescent="0.25">
      <c r="A355">
        <v>17311</v>
      </c>
      <c r="B355" t="s">
        <v>4</v>
      </c>
      <c r="C355" t="s">
        <v>2120</v>
      </c>
      <c r="D355" t="s">
        <v>7017</v>
      </c>
      <c r="E355" t="s">
        <v>2121</v>
      </c>
      <c r="F355" t="s">
        <v>7371</v>
      </c>
    </row>
    <row r="356" spans="1:6" x14ac:dyDescent="0.25">
      <c r="A356">
        <v>17314</v>
      </c>
      <c r="B356" t="s">
        <v>4</v>
      </c>
      <c r="C356" t="s">
        <v>2122</v>
      </c>
      <c r="D356" t="s">
        <v>7017</v>
      </c>
      <c r="E356" t="s">
        <v>2123</v>
      </c>
      <c r="F356" t="s">
        <v>7372</v>
      </c>
    </row>
    <row r="357" spans="1:6" x14ac:dyDescent="0.25">
      <c r="A357">
        <v>17317</v>
      </c>
      <c r="B357" t="s">
        <v>4</v>
      </c>
      <c r="C357" t="s">
        <v>2124</v>
      </c>
      <c r="D357" t="s">
        <v>7017</v>
      </c>
      <c r="E357" t="s">
        <v>2125</v>
      </c>
      <c r="F357" t="s">
        <v>7373</v>
      </c>
    </row>
    <row r="358" spans="1:6" x14ac:dyDescent="0.25">
      <c r="A358">
        <v>17320</v>
      </c>
      <c r="B358" t="s">
        <v>4</v>
      </c>
      <c r="C358" t="s">
        <v>2126</v>
      </c>
      <c r="D358" t="s">
        <v>7017</v>
      </c>
      <c r="E358" t="s">
        <v>2127</v>
      </c>
      <c r="F358" t="s">
        <v>7374</v>
      </c>
    </row>
    <row r="359" spans="1:6" x14ac:dyDescent="0.25">
      <c r="A359">
        <v>17324</v>
      </c>
      <c r="B359" t="s">
        <v>4</v>
      </c>
      <c r="C359" t="s">
        <v>2128</v>
      </c>
      <c r="D359" t="s">
        <v>7017</v>
      </c>
      <c r="E359" t="s">
        <v>2129</v>
      </c>
      <c r="F359" t="s">
        <v>7375</v>
      </c>
    </row>
    <row r="360" spans="1:6" x14ac:dyDescent="0.25">
      <c r="A360">
        <v>17332</v>
      </c>
      <c r="B360" t="s">
        <v>4</v>
      </c>
      <c r="C360" t="s">
        <v>2130</v>
      </c>
      <c r="D360" t="s">
        <v>7017</v>
      </c>
      <c r="E360" t="s">
        <v>2131</v>
      </c>
      <c r="F360" t="s">
        <v>7376</v>
      </c>
    </row>
    <row r="361" spans="1:6" x14ac:dyDescent="0.25">
      <c r="A361">
        <v>17346</v>
      </c>
      <c r="B361" t="s">
        <v>4</v>
      </c>
      <c r="C361" t="s">
        <v>2148</v>
      </c>
      <c r="D361" t="s">
        <v>7017</v>
      </c>
      <c r="E361" t="s">
        <v>2149</v>
      </c>
      <c r="F361" t="s">
        <v>7377</v>
      </c>
    </row>
    <row r="362" spans="1:6" x14ac:dyDescent="0.25">
      <c r="A362">
        <v>17365</v>
      </c>
      <c r="B362" t="s">
        <v>4</v>
      </c>
      <c r="C362" t="s">
        <v>2150</v>
      </c>
      <c r="D362" t="s">
        <v>7017</v>
      </c>
      <c r="E362" t="s">
        <v>2151</v>
      </c>
      <c r="F362" t="s">
        <v>7378</v>
      </c>
    </row>
    <row r="363" spans="1:6" x14ac:dyDescent="0.25">
      <c r="A363">
        <v>17373</v>
      </c>
      <c r="B363" t="s">
        <v>4</v>
      </c>
      <c r="C363" t="s">
        <v>2152</v>
      </c>
      <c r="D363" t="s">
        <v>7017</v>
      </c>
      <c r="E363" t="s">
        <v>2153</v>
      </c>
      <c r="F363" t="s">
        <v>7379</v>
      </c>
    </row>
    <row r="364" spans="1:6" x14ac:dyDescent="0.25">
      <c r="A364">
        <v>17376</v>
      </c>
      <c r="B364" t="s">
        <v>4</v>
      </c>
      <c r="C364" t="s">
        <v>2154</v>
      </c>
      <c r="D364" t="s">
        <v>7017</v>
      </c>
      <c r="E364" t="s">
        <v>2155</v>
      </c>
      <c r="F364" t="s">
        <v>7380</v>
      </c>
    </row>
    <row r="365" spans="1:6" x14ac:dyDescent="0.25">
      <c r="A365">
        <v>17384</v>
      </c>
      <c r="B365" t="s">
        <v>4</v>
      </c>
      <c r="C365" t="s">
        <v>2156</v>
      </c>
      <c r="D365" t="s">
        <v>7017</v>
      </c>
      <c r="E365" t="s">
        <v>2157</v>
      </c>
      <c r="F365" t="s">
        <v>7381</v>
      </c>
    </row>
    <row r="366" spans="1:6" x14ac:dyDescent="0.25">
      <c r="A366">
        <v>17401</v>
      </c>
      <c r="B366" t="s">
        <v>4</v>
      </c>
      <c r="C366" t="s">
        <v>2174</v>
      </c>
      <c r="D366" t="s">
        <v>7017</v>
      </c>
      <c r="E366" t="s">
        <v>2175</v>
      </c>
      <c r="F366" t="s">
        <v>7382</v>
      </c>
    </row>
    <row r="367" spans="1:6" x14ac:dyDescent="0.25">
      <c r="A367">
        <v>17405</v>
      </c>
      <c r="B367" t="s">
        <v>4</v>
      </c>
      <c r="C367" t="s">
        <v>2176</v>
      </c>
      <c r="D367" t="s">
        <v>7017</v>
      </c>
      <c r="E367" t="s">
        <v>2177</v>
      </c>
      <c r="F367" t="s">
        <v>7383</v>
      </c>
    </row>
    <row r="368" spans="1:6" x14ac:dyDescent="0.25">
      <c r="A368">
        <v>17411</v>
      </c>
      <c r="B368" t="s">
        <v>4</v>
      </c>
      <c r="C368" t="s">
        <v>2178</v>
      </c>
      <c r="D368" t="s">
        <v>7017</v>
      </c>
      <c r="E368" t="s">
        <v>2179</v>
      </c>
      <c r="F368" t="s">
        <v>7384</v>
      </c>
    </row>
    <row r="369" spans="1:6" x14ac:dyDescent="0.25">
      <c r="A369">
        <v>17424</v>
      </c>
      <c r="B369" t="s">
        <v>4</v>
      </c>
      <c r="C369" t="s">
        <v>2180</v>
      </c>
      <c r="D369" t="s">
        <v>7017</v>
      </c>
      <c r="E369" t="s">
        <v>2181</v>
      </c>
      <c r="F369" t="s">
        <v>7385</v>
      </c>
    </row>
    <row r="370" spans="1:6" x14ac:dyDescent="0.25">
      <c r="A370">
        <v>17432</v>
      </c>
      <c r="B370" t="s">
        <v>4</v>
      </c>
      <c r="C370" t="s">
        <v>2182</v>
      </c>
      <c r="D370" t="s">
        <v>7017</v>
      </c>
      <c r="E370" t="s">
        <v>2183</v>
      </c>
      <c r="F370" t="s">
        <v>7386</v>
      </c>
    </row>
    <row r="371" spans="1:6" x14ac:dyDescent="0.25">
      <c r="A371">
        <v>17442</v>
      </c>
      <c r="B371" t="s">
        <v>4</v>
      </c>
      <c r="C371" t="s">
        <v>2184</v>
      </c>
      <c r="D371" t="s">
        <v>7017</v>
      </c>
      <c r="E371" t="s">
        <v>2185</v>
      </c>
      <c r="F371" t="s">
        <v>7387</v>
      </c>
    </row>
    <row r="372" spans="1:6" x14ac:dyDescent="0.25">
      <c r="A372">
        <v>17450</v>
      </c>
      <c r="B372" t="s">
        <v>4</v>
      </c>
      <c r="C372" t="s">
        <v>2186</v>
      </c>
      <c r="D372" t="s">
        <v>7017</v>
      </c>
      <c r="E372" t="s">
        <v>2187</v>
      </c>
      <c r="F372" t="s">
        <v>7388</v>
      </c>
    </row>
    <row r="373" spans="1:6" x14ac:dyDescent="0.25">
      <c r="A373">
        <v>17456</v>
      </c>
      <c r="B373" t="s">
        <v>4</v>
      </c>
      <c r="C373" t="s">
        <v>2188</v>
      </c>
      <c r="D373" t="s">
        <v>7017</v>
      </c>
      <c r="E373" t="s">
        <v>2189</v>
      </c>
      <c r="F373" t="s">
        <v>7389</v>
      </c>
    </row>
    <row r="374" spans="1:6" x14ac:dyDescent="0.25">
      <c r="A374">
        <v>17465</v>
      </c>
      <c r="B374" t="s">
        <v>4</v>
      </c>
      <c r="C374" t="s">
        <v>2190</v>
      </c>
      <c r="D374" t="s">
        <v>7017</v>
      </c>
      <c r="E374" t="s">
        <v>2191</v>
      </c>
      <c r="F374" t="s">
        <v>7390</v>
      </c>
    </row>
    <row r="375" spans="1:6" x14ac:dyDescent="0.25">
      <c r="A375">
        <v>17468</v>
      </c>
      <c r="B375" t="s">
        <v>4</v>
      </c>
      <c r="C375" t="s">
        <v>2192</v>
      </c>
      <c r="D375" t="s">
        <v>7017</v>
      </c>
      <c r="E375" t="s">
        <v>2193</v>
      </c>
      <c r="F375" t="s">
        <v>7391</v>
      </c>
    </row>
    <row r="376" spans="1:6" x14ac:dyDescent="0.25">
      <c r="A376">
        <v>17495</v>
      </c>
      <c r="B376" t="s">
        <v>4</v>
      </c>
      <c r="C376" t="s">
        <v>2242</v>
      </c>
      <c r="D376" t="s">
        <v>7017</v>
      </c>
      <c r="E376" t="s">
        <v>2243</v>
      </c>
      <c r="F376" t="s">
        <v>7392</v>
      </c>
    </row>
    <row r="377" spans="1:6" x14ac:dyDescent="0.25">
      <c r="A377">
        <v>17501</v>
      </c>
      <c r="B377" t="s">
        <v>4</v>
      </c>
      <c r="C377" t="s">
        <v>2244</v>
      </c>
      <c r="D377" t="s">
        <v>7017</v>
      </c>
      <c r="E377" t="s">
        <v>2245</v>
      </c>
      <c r="F377" t="s">
        <v>7393</v>
      </c>
    </row>
    <row r="378" spans="1:6" x14ac:dyDescent="0.25">
      <c r="A378">
        <v>17516</v>
      </c>
      <c r="B378" t="s">
        <v>4</v>
      </c>
      <c r="C378" t="s">
        <v>2268</v>
      </c>
      <c r="D378" t="s">
        <v>7017</v>
      </c>
      <c r="E378" t="s">
        <v>2269</v>
      </c>
      <c r="F378" t="s">
        <v>7394</v>
      </c>
    </row>
    <row r="379" spans="1:6" x14ac:dyDescent="0.25">
      <c r="A379">
        <v>17522</v>
      </c>
      <c r="B379" t="s">
        <v>4</v>
      </c>
      <c r="C379" t="s">
        <v>2270</v>
      </c>
      <c r="D379" t="s">
        <v>7017</v>
      </c>
      <c r="E379" t="s">
        <v>2271</v>
      </c>
      <c r="F379" t="s">
        <v>7395</v>
      </c>
    </row>
    <row r="380" spans="1:6" x14ac:dyDescent="0.25">
      <c r="A380">
        <v>17562</v>
      </c>
      <c r="B380" t="s">
        <v>4</v>
      </c>
      <c r="C380" t="s">
        <v>2326</v>
      </c>
      <c r="D380" t="s">
        <v>7017</v>
      </c>
      <c r="E380" t="s">
        <v>2327</v>
      </c>
      <c r="F380" t="s">
        <v>7396</v>
      </c>
    </row>
    <row r="381" spans="1:6" x14ac:dyDescent="0.25">
      <c r="A381">
        <v>17652</v>
      </c>
      <c r="B381" t="s">
        <v>4</v>
      </c>
      <c r="C381" t="s">
        <v>2436</v>
      </c>
      <c r="D381" t="s">
        <v>7017</v>
      </c>
      <c r="E381" t="s">
        <v>2437</v>
      </c>
      <c r="F381" t="s">
        <v>7397</v>
      </c>
    </row>
    <row r="382" spans="1:6" x14ac:dyDescent="0.25">
      <c r="A382">
        <v>17669</v>
      </c>
      <c r="B382" t="s">
        <v>4</v>
      </c>
      <c r="C382" t="s">
        <v>2460</v>
      </c>
      <c r="D382" t="s">
        <v>7017</v>
      </c>
      <c r="E382" t="s">
        <v>2461</v>
      </c>
      <c r="F382" t="s">
        <v>7398</v>
      </c>
    </row>
    <row r="383" spans="1:6" x14ac:dyDescent="0.25">
      <c r="A383">
        <v>17672</v>
      </c>
      <c r="B383" t="s">
        <v>4</v>
      </c>
      <c r="C383" t="s">
        <v>2462</v>
      </c>
      <c r="D383" t="s">
        <v>7017</v>
      </c>
      <c r="E383" t="s">
        <v>2463</v>
      </c>
      <c r="F383" t="s">
        <v>7399</v>
      </c>
    </row>
    <row r="384" spans="1:6" x14ac:dyDescent="0.25">
      <c r="A384">
        <v>17675</v>
      </c>
      <c r="B384" t="s">
        <v>4</v>
      </c>
      <c r="C384" t="s">
        <v>2464</v>
      </c>
      <c r="D384" t="s">
        <v>7017</v>
      </c>
      <c r="E384" t="s">
        <v>2465</v>
      </c>
      <c r="F384" t="s">
        <v>7400</v>
      </c>
    </row>
    <row r="385" spans="1:6" x14ac:dyDescent="0.25">
      <c r="A385">
        <v>17706</v>
      </c>
      <c r="B385" t="s">
        <v>4</v>
      </c>
      <c r="C385" t="s">
        <v>2518</v>
      </c>
      <c r="D385" t="s">
        <v>7017</v>
      </c>
      <c r="E385" t="s">
        <v>2519</v>
      </c>
      <c r="F385" t="s">
        <v>7401</v>
      </c>
    </row>
    <row r="386" spans="1:6" x14ac:dyDescent="0.25">
      <c r="A386">
        <v>17720</v>
      </c>
      <c r="B386" t="s">
        <v>4</v>
      </c>
      <c r="C386" t="s">
        <v>2544</v>
      </c>
      <c r="D386" t="s">
        <v>7017</v>
      </c>
      <c r="E386" t="s">
        <v>2545</v>
      </c>
      <c r="F386" t="s">
        <v>7402</v>
      </c>
    </row>
    <row r="387" spans="1:6" x14ac:dyDescent="0.25">
      <c r="A387">
        <v>17799</v>
      </c>
      <c r="B387" t="s">
        <v>4</v>
      </c>
      <c r="C387" t="s">
        <v>2662</v>
      </c>
      <c r="D387" t="s">
        <v>7017</v>
      </c>
      <c r="E387" t="s">
        <v>2663</v>
      </c>
      <c r="F387" t="s">
        <v>7403</v>
      </c>
    </row>
    <row r="388" spans="1:6" x14ac:dyDescent="0.25">
      <c r="A388">
        <v>17802</v>
      </c>
      <c r="B388" t="s">
        <v>4</v>
      </c>
      <c r="C388" t="s">
        <v>2664</v>
      </c>
      <c r="D388" t="s">
        <v>7017</v>
      </c>
      <c r="E388" t="s">
        <v>2665</v>
      </c>
      <c r="F388" t="s">
        <v>7404</v>
      </c>
    </row>
    <row r="389" spans="1:6" x14ac:dyDescent="0.25">
      <c r="A389">
        <v>17805</v>
      </c>
      <c r="B389" t="s">
        <v>4</v>
      </c>
      <c r="C389" t="s">
        <v>2666</v>
      </c>
      <c r="D389" t="s">
        <v>7017</v>
      </c>
      <c r="E389" t="s">
        <v>2667</v>
      </c>
      <c r="F389" t="s">
        <v>7405</v>
      </c>
    </row>
    <row r="390" spans="1:6" x14ac:dyDescent="0.25">
      <c r="A390">
        <v>17847</v>
      </c>
      <c r="B390" t="s">
        <v>4</v>
      </c>
      <c r="C390" t="s">
        <v>2728</v>
      </c>
      <c r="D390" t="s">
        <v>7017</v>
      </c>
      <c r="E390" t="s">
        <v>2729</v>
      </c>
      <c r="F390" t="s">
        <v>7406</v>
      </c>
    </row>
    <row r="391" spans="1:6" x14ac:dyDescent="0.25">
      <c r="A391">
        <v>18029</v>
      </c>
      <c r="B391" t="s">
        <v>4</v>
      </c>
      <c r="C391" t="s">
        <v>3020</v>
      </c>
      <c r="D391" t="s">
        <v>7017</v>
      </c>
      <c r="E391" t="s">
        <v>3021</v>
      </c>
      <c r="F391" t="s">
        <v>7407</v>
      </c>
    </row>
    <row r="392" spans="1:6" x14ac:dyDescent="0.25">
      <c r="A392">
        <v>18259</v>
      </c>
      <c r="B392" t="s">
        <v>4</v>
      </c>
      <c r="C392" t="s">
        <v>3393</v>
      </c>
      <c r="D392" t="s">
        <v>7017</v>
      </c>
      <c r="E392" t="s">
        <v>3394</v>
      </c>
      <c r="F392" t="s">
        <v>7408</v>
      </c>
    </row>
    <row r="393" spans="1:6" x14ac:dyDescent="0.25">
      <c r="A393">
        <v>18481</v>
      </c>
      <c r="B393" t="s">
        <v>4</v>
      </c>
      <c r="C393" t="s">
        <v>3716</v>
      </c>
      <c r="D393" t="s">
        <v>7017</v>
      </c>
      <c r="E393" t="s">
        <v>3717</v>
      </c>
      <c r="F393" t="s">
        <v>7409</v>
      </c>
    </row>
    <row r="394" spans="1:6" x14ac:dyDescent="0.25">
      <c r="A394">
        <v>18487</v>
      </c>
      <c r="B394" t="s">
        <v>4</v>
      </c>
      <c r="C394" t="s">
        <v>3724</v>
      </c>
      <c r="D394" t="s">
        <v>7017</v>
      </c>
      <c r="E394" t="s">
        <v>3725</v>
      </c>
      <c r="F394" t="s">
        <v>7410</v>
      </c>
    </row>
    <row r="395" spans="1:6" x14ac:dyDescent="0.25">
      <c r="A395">
        <v>18490</v>
      </c>
      <c r="B395" t="s">
        <v>4</v>
      </c>
      <c r="C395" t="s">
        <v>3726</v>
      </c>
      <c r="D395" t="s">
        <v>7017</v>
      </c>
      <c r="E395" t="s">
        <v>3727</v>
      </c>
      <c r="F395" t="s">
        <v>7411</v>
      </c>
    </row>
    <row r="396" spans="1:6" x14ac:dyDescent="0.25">
      <c r="A396">
        <v>18495</v>
      </c>
      <c r="B396" t="s">
        <v>4</v>
      </c>
      <c r="C396" t="s">
        <v>3728</v>
      </c>
      <c r="D396" t="s">
        <v>7017</v>
      </c>
      <c r="E396" t="s">
        <v>3729</v>
      </c>
      <c r="F396" t="s">
        <v>7412</v>
      </c>
    </row>
    <row r="397" spans="1:6" x14ac:dyDescent="0.25">
      <c r="A397">
        <v>18498</v>
      </c>
      <c r="B397" t="s">
        <v>4</v>
      </c>
      <c r="C397" t="s">
        <v>3730</v>
      </c>
      <c r="D397" t="s">
        <v>7017</v>
      </c>
      <c r="E397" t="s">
        <v>3731</v>
      </c>
      <c r="F397" t="s">
        <v>7413</v>
      </c>
    </row>
    <row r="398" spans="1:6" x14ac:dyDescent="0.25">
      <c r="A398">
        <v>18511</v>
      </c>
      <c r="B398" t="s">
        <v>4</v>
      </c>
      <c r="C398" t="s">
        <v>3740</v>
      </c>
      <c r="D398" t="s">
        <v>7017</v>
      </c>
      <c r="E398" t="s">
        <v>3741</v>
      </c>
      <c r="F398" t="s">
        <v>7414</v>
      </c>
    </row>
    <row r="399" spans="1:6" x14ac:dyDescent="0.25">
      <c r="A399">
        <v>18514</v>
      </c>
      <c r="B399" t="s">
        <v>4</v>
      </c>
      <c r="C399" t="s">
        <v>3742</v>
      </c>
      <c r="D399" t="s">
        <v>7017</v>
      </c>
      <c r="E399" t="s">
        <v>3743</v>
      </c>
      <c r="F399" t="s">
        <v>7415</v>
      </c>
    </row>
    <row r="400" spans="1:6" x14ac:dyDescent="0.25">
      <c r="A400">
        <v>18557</v>
      </c>
      <c r="B400" t="s">
        <v>4</v>
      </c>
      <c r="C400" t="s">
        <v>3802</v>
      </c>
      <c r="D400" t="s">
        <v>7017</v>
      </c>
      <c r="E400" t="s">
        <v>3803</v>
      </c>
      <c r="F400" t="s">
        <v>7416</v>
      </c>
    </row>
    <row r="401" spans="1:6" x14ac:dyDescent="0.25">
      <c r="A401">
        <v>18576</v>
      </c>
      <c r="B401" t="s">
        <v>4</v>
      </c>
      <c r="C401" t="s">
        <v>3824</v>
      </c>
      <c r="D401" t="s">
        <v>7017</v>
      </c>
      <c r="E401" t="s">
        <v>3825</v>
      </c>
      <c r="F401" t="s">
        <v>7417</v>
      </c>
    </row>
    <row r="402" spans="1:6" x14ac:dyDescent="0.25">
      <c r="A402">
        <v>18583</v>
      </c>
      <c r="B402" t="s">
        <v>4</v>
      </c>
      <c r="C402" t="s">
        <v>3826</v>
      </c>
      <c r="D402" t="s">
        <v>7017</v>
      </c>
      <c r="E402" t="s">
        <v>3827</v>
      </c>
      <c r="F402" t="s">
        <v>7418</v>
      </c>
    </row>
    <row r="403" spans="1:6" x14ac:dyDescent="0.25">
      <c r="A403">
        <v>18615</v>
      </c>
      <c r="B403" t="s">
        <v>4</v>
      </c>
      <c r="C403" t="s">
        <v>3860</v>
      </c>
      <c r="D403" t="s">
        <v>7017</v>
      </c>
      <c r="E403" t="s">
        <v>3861</v>
      </c>
      <c r="F403" t="s">
        <v>7419</v>
      </c>
    </row>
    <row r="404" spans="1:6" x14ac:dyDescent="0.25">
      <c r="A404">
        <v>18634</v>
      </c>
      <c r="B404" t="s">
        <v>4</v>
      </c>
      <c r="C404" t="s">
        <v>3879</v>
      </c>
      <c r="D404" t="s">
        <v>7017</v>
      </c>
      <c r="E404" t="s">
        <v>3880</v>
      </c>
      <c r="F404" t="s">
        <v>7420</v>
      </c>
    </row>
    <row r="405" spans="1:6" x14ac:dyDescent="0.25">
      <c r="A405">
        <v>18642</v>
      </c>
      <c r="B405" t="s">
        <v>4</v>
      </c>
      <c r="C405" t="s">
        <v>3881</v>
      </c>
      <c r="D405" t="s">
        <v>7017</v>
      </c>
      <c r="E405" t="s">
        <v>3882</v>
      </c>
      <c r="F405" t="s">
        <v>7421</v>
      </c>
    </row>
    <row r="406" spans="1:6" x14ac:dyDescent="0.25">
      <c r="A406">
        <v>18650</v>
      </c>
      <c r="B406" t="s">
        <v>4</v>
      </c>
      <c r="C406" t="s">
        <v>3883</v>
      </c>
      <c r="D406" t="s">
        <v>7017</v>
      </c>
      <c r="E406" t="s">
        <v>3884</v>
      </c>
      <c r="F406" t="s">
        <v>7422</v>
      </c>
    </row>
    <row r="407" spans="1:6" x14ac:dyDescent="0.25">
      <c r="A407">
        <v>18669</v>
      </c>
      <c r="B407" t="s">
        <v>4</v>
      </c>
      <c r="C407" t="s">
        <v>3903</v>
      </c>
      <c r="D407" t="s">
        <v>7017</v>
      </c>
      <c r="E407" t="s">
        <v>3904</v>
      </c>
      <c r="F407" t="s">
        <v>7423</v>
      </c>
    </row>
    <row r="408" spans="1:6" x14ac:dyDescent="0.25">
      <c r="A408">
        <v>18672</v>
      </c>
      <c r="B408" t="s">
        <v>4</v>
      </c>
      <c r="C408" t="s">
        <v>3905</v>
      </c>
      <c r="D408" t="s">
        <v>7017</v>
      </c>
      <c r="E408" t="s">
        <v>3906</v>
      </c>
      <c r="F408" t="s">
        <v>7424</v>
      </c>
    </row>
    <row r="409" spans="1:6" x14ac:dyDescent="0.25">
      <c r="A409">
        <v>18700</v>
      </c>
      <c r="B409" t="s">
        <v>4</v>
      </c>
      <c r="C409" t="s">
        <v>3939</v>
      </c>
      <c r="D409" t="s">
        <v>7017</v>
      </c>
      <c r="E409" t="s">
        <v>3940</v>
      </c>
      <c r="F409" t="s">
        <v>7425</v>
      </c>
    </row>
    <row r="410" spans="1:6" x14ac:dyDescent="0.25">
      <c r="A410">
        <v>18706</v>
      </c>
      <c r="B410" t="s">
        <v>4</v>
      </c>
      <c r="C410" t="s">
        <v>3941</v>
      </c>
      <c r="D410" t="s">
        <v>7017</v>
      </c>
      <c r="E410" t="s">
        <v>3942</v>
      </c>
      <c r="F410" t="s">
        <v>7426</v>
      </c>
    </row>
    <row r="411" spans="1:6" x14ac:dyDescent="0.25">
      <c r="A411">
        <v>18712</v>
      </c>
      <c r="B411" t="s">
        <v>4</v>
      </c>
      <c r="C411" t="s">
        <v>3943</v>
      </c>
      <c r="D411" t="s">
        <v>7017</v>
      </c>
      <c r="E411" t="s">
        <v>3944</v>
      </c>
      <c r="F411" t="s">
        <v>7427</v>
      </c>
    </row>
    <row r="412" spans="1:6" x14ac:dyDescent="0.25">
      <c r="A412">
        <v>18714</v>
      </c>
      <c r="B412" t="s">
        <v>4</v>
      </c>
      <c r="C412" t="s">
        <v>3945</v>
      </c>
      <c r="D412" t="s">
        <v>7017</v>
      </c>
      <c r="E412" t="s">
        <v>3946</v>
      </c>
      <c r="F412" t="s">
        <v>7428</v>
      </c>
    </row>
    <row r="413" spans="1:6" x14ac:dyDescent="0.25">
      <c r="A413">
        <v>18748</v>
      </c>
      <c r="B413" t="s">
        <v>4</v>
      </c>
      <c r="C413" t="s">
        <v>4001</v>
      </c>
      <c r="D413" t="s">
        <v>7017</v>
      </c>
      <c r="E413" t="s">
        <v>4002</v>
      </c>
      <c r="F413" t="s">
        <v>7429</v>
      </c>
    </row>
    <row r="414" spans="1:6" x14ac:dyDescent="0.25">
      <c r="A414">
        <v>18755</v>
      </c>
      <c r="B414" t="s">
        <v>4</v>
      </c>
      <c r="C414" t="s">
        <v>4003</v>
      </c>
      <c r="D414" t="s">
        <v>7017</v>
      </c>
      <c r="E414" t="s">
        <v>4004</v>
      </c>
      <c r="F414" t="s">
        <v>7430</v>
      </c>
    </row>
    <row r="415" spans="1:6" x14ac:dyDescent="0.25">
      <c r="A415">
        <v>18762</v>
      </c>
      <c r="B415" t="s">
        <v>4</v>
      </c>
      <c r="C415" t="s">
        <v>4005</v>
      </c>
      <c r="D415" t="s">
        <v>7017</v>
      </c>
      <c r="E415" t="s">
        <v>4006</v>
      </c>
      <c r="F415" t="s">
        <v>7431</v>
      </c>
    </row>
    <row r="416" spans="1:6" x14ac:dyDescent="0.25">
      <c r="A416">
        <v>18767</v>
      </c>
      <c r="B416" t="s">
        <v>4</v>
      </c>
      <c r="C416" t="s">
        <v>4007</v>
      </c>
      <c r="D416" t="s">
        <v>7017</v>
      </c>
      <c r="E416" t="s">
        <v>4008</v>
      </c>
      <c r="F416" t="s">
        <v>7432</v>
      </c>
    </row>
    <row r="417" spans="1:6" x14ac:dyDescent="0.25">
      <c r="A417">
        <v>18774</v>
      </c>
      <c r="B417" t="s">
        <v>4</v>
      </c>
      <c r="C417" t="s">
        <v>4009</v>
      </c>
      <c r="D417" t="s">
        <v>7017</v>
      </c>
      <c r="E417" t="s">
        <v>4010</v>
      </c>
      <c r="F417" t="s">
        <v>7433</v>
      </c>
    </row>
    <row r="418" spans="1:6" x14ac:dyDescent="0.25">
      <c r="A418">
        <v>18776</v>
      </c>
      <c r="B418" t="s">
        <v>4</v>
      </c>
      <c r="C418" t="s">
        <v>4011</v>
      </c>
      <c r="D418" t="s">
        <v>7017</v>
      </c>
      <c r="E418" t="s">
        <v>4012</v>
      </c>
      <c r="F418" t="s">
        <v>7434</v>
      </c>
    </row>
    <row r="419" spans="1:6" x14ac:dyDescent="0.25">
      <c r="A419">
        <v>18778</v>
      </c>
      <c r="B419" t="s">
        <v>4</v>
      </c>
      <c r="C419" t="s">
        <v>4013</v>
      </c>
      <c r="D419" t="s">
        <v>7017</v>
      </c>
      <c r="E419" t="s">
        <v>4014</v>
      </c>
      <c r="F419" t="s">
        <v>7435</v>
      </c>
    </row>
    <row r="420" spans="1:6" x14ac:dyDescent="0.25">
      <c r="A420">
        <v>18780</v>
      </c>
      <c r="B420" t="s">
        <v>4</v>
      </c>
      <c r="C420" t="s">
        <v>4015</v>
      </c>
      <c r="D420" t="s">
        <v>7017</v>
      </c>
      <c r="E420" t="s">
        <v>4016</v>
      </c>
      <c r="F420" t="s">
        <v>7436</v>
      </c>
    </row>
    <row r="421" spans="1:6" x14ac:dyDescent="0.25">
      <c r="A421">
        <v>18786</v>
      </c>
      <c r="B421" t="s">
        <v>4</v>
      </c>
      <c r="C421" t="s">
        <v>4017</v>
      </c>
      <c r="D421" t="s">
        <v>7017</v>
      </c>
      <c r="E421" t="s">
        <v>4018</v>
      </c>
      <c r="F421" t="s">
        <v>7437</v>
      </c>
    </row>
    <row r="422" spans="1:6" x14ac:dyDescent="0.25">
      <c r="A422">
        <v>18792</v>
      </c>
      <c r="B422" t="s">
        <v>4</v>
      </c>
      <c r="C422" t="s">
        <v>4019</v>
      </c>
      <c r="D422" t="s">
        <v>7017</v>
      </c>
      <c r="E422" t="s">
        <v>4020</v>
      </c>
      <c r="F422" t="s">
        <v>7438</v>
      </c>
    </row>
    <row r="423" spans="1:6" x14ac:dyDescent="0.25">
      <c r="A423">
        <v>18795</v>
      </c>
      <c r="B423" t="s">
        <v>4</v>
      </c>
      <c r="C423" t="s">
        <v>4021</v>
      </c>
      <c r="D423" t="s">
        <v>7017</v>
      </c>
      <c r="E423" t="s">
        <v>4022</v>
      </c>
      <c r="F423" t="s">
        <v>7439</v>
      </c>
    </row>
    <row r="424" spans="1:6" x14ac:dyDescent="0.25">
      <c r="A424">
        <v>18802</v>
      </c>
      <c r="B424" t="s">
        <v>4</v>
      </c>
      <c r="C424" t="s">
        <v>4023</v>
      </c>
      <c r="D424" t="s">
        <v>7017</v>
      </c>
      <c r="E424" t="s">
        <v>4024</v>
      </c>
      <c r="F424" t="s">
        <v>7440</v>
      </c>
    </row>
    <row r="425" spans="1:6" x14ac:dyDescent="0.25">
      <c r="A425">
        <v>18805</v>
      </c>
      <c r="B425" t="s">
        <v>4</v>
      </c>
      <c r="C425" t="s">
        <v>4025</v>
      </c>
      <c r="D425" t="s">
        <v>7017</v>
      </c>
      <c r="E425" t="s">
        <v>4026</v>
      </c>
      <c r="F425" t="s">
        <v>7441</v>
      </c>
    </row>
    <row r="426" spans="1:6" x14ac:dyDescent="0.25">
      <c r="A426">
        <v>18808</v>
      </c>
      <c r="B426" t="s">
        <v>4</v>
      </c>
      <c r="C426" t="s">
        <v>4027</v>
      </c>
      <c r="D426" t="s">
        <v>7017</v>
      </c>
      <c r="E426" t="s">
        <v>4028</v>
      </c>
      <c r="F426" t="s">
        <v>7442</v>
      </c>
    </row>
    <row r="427" spans="1:6" x14ac:dyDescent="0.25">
      <c r="A427">
        <v>18814</v>
      </c>
      <c r="B427" t="s">
        <v>4</v>
      </c>
      <c r="C427" t="s">
        <v>4029</v>
      </c>
      <c r="D427" t="s">
        <v>7017</v>
      </c>
      <c r="E427" t="s">
        <v>4030</v>
      </c>
      <c r="F427" t="s">
        <v>7443</v>
      </c>
    </row>
    <row r="428" spans="1:6" x14ac:dyDescent="0.25">
      <c r="A428">
        <v>18817</v>
      </c>
      <c r="B428" t="s">
        <v>4</v>
      </c>
      <c r="C428" t="s">
        <v>4031</v>
      </c>
      <c r="D428" t="s">
        <v>7017</v>
      </c>
      <c r="E428" t="s">
        <v>4032</v>
      </c>
      <c r="F428" t="s">
        <v>7444</v>
      </c>
    </row>
    <row r="429" spans="1:6" x14ac:dyDescent="0.25">
      <c r="A429">
        <v>18820</v>
      </c>
      <c r="B429" t="s">
        <v>4</v>
      </c>
      <c r="C429" t="s">
        <v>4033</v>
      </c>
      <c r="D429" t="s">
        <v>7017</v>
      </c>
      <c r="E429" t="s">
        <v>4034</v>
      </c>
      <c r="F429" t="s">
        <v>7445</v>
      </c>
    </row>
    <row r="430" spans="1:6" x14ac:dyDescent="0.25">
      <c r="A430">
        <v>18823</v>
      </c>
      <c r="B430" t="s">
        <v>4</v>
      </c>
      <c r="C430" t="s">
        <v>4035</v>
      </c>
      <c r="D430" t="s">
        <v>7017</v>
      </c>
      <c r="E430" t="s">
        <v>4036</v>
      </c>
      <c r="F430" t="s">
        <v>7446</v>
      </c>
    </row>
    <row r="431" spans="1:6" x14ac:dyDescent="0.25">
      <c r="A431">
        <v>18826</v>
      </c>
      <c r="B431" t="s">
        <v>4</v>
      </c>
      <c r="C431" t="s">
        <v>4037</v>
      </c>
      <c r="D431" t="s">
        <v>7017</v>
      </c>
      <c r="E431" t="s">
        <v>4038</v>
      </c>
      <c r="F431" t="s">
        <v>7447</v>
      </c>
    </row>
    <row r="432" spans="1:6" x14ac:dyDescent="0.25">
      <c r="A432">
        <v>18832</v>
      </c>
      <c r="B432" t="s">
        <v>4</v>
      </c>
      <c r="C432" t="s">
        <v>4039</v>
      </c>
      <c r="D432" t="s">
        <v>7017</v>
      </c>
      <c r="E432" t="s">
        <v>4040</v>
      </c>
      <c r="F432" t="s">
        <v>7448</v>
      </c>
    </row>
    <row r="433" spans="1:6" x14ac:dyDescent="0.25">
      <c r="A433">
        <v>18835</v>
      </c>
      <c r="B433" t="s">
        <v>4</v>
      </c>
      <c r="C433" t="s">
        <v>4041</v>
      </c>
      <c r="D433" t="s">
        <v>7017</v>
      </c>
      <c r="E433" t="s">
        <v>4042</v>
      </c>
      <c r="F433" t="s">
        <v>7449</v>
      </c>
    </row>
    <row r="434" spans="1:6" x14ac:dyDescent="0.25">
      <c r="A434">
        <v>18849</v>
      </c>
      <c r="B434" t="s">
        <v>4</v>
      </c>
      <c r="C434" t="s">
        <v>4049</v>
      </c>
      <c r="D434" t="s">
        <v>7017</v>
      </c>
      <c r="E434" t="s">
        <v>4050</v>
      </c>
      <c r="F434" t="s">
        <v>7450</v>
      </c>
    </row>
    <row r="435" spans="1:6" x14ac:dyDescent="0.25">
      <c r="A435">
        <v>18859</v>
      </c>
      <c r="B435" t="s">
        <v>4</v>
      </c>
      <c r="C435" t="s">
        <v>4051</v>
      </c>
      <c r="D435" t="s">
        <v>7017</v>
      </c>
      <c r="E435" t="s">
        <v>4052</v>
      </c>
      <c r="F435" t="s">
        <v>7451</v>
      </c>
    </row>
    <row r="436" spans="1:6" x14ac:dyDescent="0.25">
      <c r="A436">
        <v>18883</v>
      </c>
      <c r="B436" t="s">
        <v>4</v>
      </c>
      <c r="C436" t="s">
        <v>4085</v>
      </c>
      <c r="D436" t="s">
        <v>7017</v>
      </c>
      <c r="E436" t="s">
        <v>4086</v>
      </c>
      <c r="F436" t="s">
        <v>7452</v>
      </c>
    </row>
    <row r="437" spans="1:6" x14ac:dyDescent="0.25">
      <c r="A437">
        <v>18887</v>
      </c>
      <c r="B437" t="s">
        <v>4</v>
      </c>
      <c r="C437" t="s">
        <v>4087</v>
      </c>
      <c r="D437" t="s">
        <v>7017</v>
      </c>
      <c r="E437" t="s">
        <v>4088</v>
      </c>
      <c r="F437" t="s">
        <v>7453</v>
      </c>
    </row>
    <row r="438" spans="1:6" x14ac:dyDescent="0.25">
      <c r="A438">
        <v>18890</v>
      </c>
      <c r="B438" t="s">
        <v>4</v>
      </c>
      <c r="C438" t="s">
        <v>4089</v>
      </c>
      <c r="D438" t="s">
        <v>7017</v>
      </c>
      <c r="E438" t="s">
        <v>4090</v>
      </c>
      <c r="F438" t="s">
        <v>7454</v>
      </c>
    </row>
    <row r="439" spans="1:6" x14ac:dyDescent="0.25">
      <c r="A439">
        <v>18893</v>
      </c>
      <c r="B439" t="s">
        <v>4</v>
      </c>
      <c r="C439" t="s">
        <v>4091</v>
      </c>
      <c r="D439" t="s">
        <v>7017</v>
      </c>
      <c r="E439" t="s">
        <v>4092</v>
      </c>
      <c r="F439" t="s">
        <v>7455</v>
      </c>
    </row>
    <row r="440" spans="1:6" x14ac:dyDescent="0.25">
      <c r="A440">
        <v>18896</v>
      </c>
      <c r="B440" t="s">
        <v>4</v>
      </c>
      <c r="C440" t="s">
        <v>4093</v>
      </c>
      <c r="D440" t="s">
        <v>7017</v>
      </c>
      <c r="E440" t="s">
        <v>4094</v>
      </c>
      <c r="F440" t="s">
        <v>7456</v>
      </c>
    </row>
    <row r="441" spans="1:6" x14ac:dyDescent="0.25">
      <c r="A441">
        <v>18899</v>
      </c>
      <c r="B441" t="s">
        <v>4</v>
      </c>
      <c r="C441" t="s">
        <v>4095</v>
      </c>
      <c r="D441" t="s">
        <v>7017</v>
      </c>
      <c r="E441" t="s">
        <v>4096</v>
      </c>
      <c r="F441" t="s">
        <v>7457</v>
      </c>
    </row>
    <row r="442" spans="1:6" x14ac:dyDescent="0.25">
      <c r="A442">
        <v>18902</v>
      </c>
      <c r="B442" t="s">
        <v>4</v>
      </c>
      <c r="C442" t="s">
        <v>4097</v>
      </c>
      <c r="D442" t="s">
        <v>7017</v>
      </c>
      <c r="E442" t="s">
        <v>4098</v>
      </c>
      <c r="F442" t="s">
        <v>7458</v>
      </c>
    </row>
    <row r="443" spans="1:6" x14ac:dyDescent="0.25">
      <c r="A443">
        <v>18921</v>
      </c>
      <c r="B443" t="s">
        <v>4</v>
      </c>
      <c r="C443" t="s">
        <v>4123</v>
      </c>
      <c r="D443" t="s">
        <v>7017</v>
      </c>
      <c r="E443" t="s">
        <v>4124</v>
      </c>
      <c r="F443" t="s">
        <v>7459</v>
      </c>
    </row>
    <row r="444" spans="1:6" x14ac:dyDescent="0.25">
      <c r="A444">
        <v>18924</v>
      </c>
      <c r="B444" t="s">
        <v>4</v>
      </c>
      <c r="C444" t="s">
        <v>4125</v>
      </c>
      <c r="D444" t="s">
        <v>7017</v>
      </c>
      <c r="E444" t="s">
        <v>4126</v>
      </c>
      <c r="F444" t="s">
        <v>7460</v>
      </c>
    </row>
    <row r="445" spans="1:6" x14ac:dyDescent="0.25">
      <c r="A445">
        <v>18927</v>
      </c>
      <c r="B445" t="s">
        <v>4</v>
      </c>
      <c r="C445" t="s">
        <v>4127</v>
      </c>
      <c r="D445" t="s">
        <v>7017</v>
      </c>
      <c r="E445" t="s">
        <v>4128</v>
      </c>
      <c r="F445" t="s">
        <v>7461</v>
      </c>
    </row>
    <row r="446" spans="1:6" x14ac:dyDescent="0.25">
      <c r="A446">
        <v>18930</v>
      </c>
      <c r="B446" t="s">
        <v>4</v>
      </c>
      <c r="C446" t="s">
        <v>4129</v>
      </c>
      <c r="D446" t="s">
        <v>7017</v>
      </c>
      <c r="E446" t="s">
        <v>4130</v>
      </c>
      <c r="F446" t="s">
        <v>7462</v>
      </c>
    </row>
    <row r="447" spans="1:6" x14ac:dyDescent="0.25">
      <c r="A447">
        <v>18933</v>
      </c>
      <c r="B447" t="s">
        <v>4</v>
      </c>
      <c r="C447" t="s">
        <v>4131</v>
      </c>
      <c r="D447" t="s">
        <v>7017</v>
      </c>
      <c r="E447" t="s">
        <v>4132</v>
      </c>
      <c r="F447" t="s">
        <v>7463</v>
      </c>
    </row>
    <row r="448" spans="1:6" x14ac:dyDescent="0.25">
      <c r="A448">
        <v>18936</v>
      </c>
      <c r="B448" t="s">
        <v>4</v>
      </c>
      <c r="C448" t="s">
        <v>4133</v>
      </c>
      <c r="D448" t="s">
        <v>7017</v>
      </c>
      <c r="E448" t="s">
        <v>4134</v>
      </c>
      <c r="F448" t="s">
        <v>7464</v>
      </c>
    </row>
    <row r="449" spans="1:6" x14ac:dyDescent="0.25">
      <c r="A449">
        <v>18939</v>
      </c>
      <c r="B449" t="s">
        <v>4</v>
      </c>
      <c r="C449" t="s">
        <v>4135</v>
      </c>
      <c r="D449" t="s">
        <v>7017</v>
      </c>
      <c r="E449" t="s">
        <v>4136</v>
      </c>
      <c r="F449" t="s">
        <v>7465</v>
      </c>
    </row>
    <row r="450" spans="1:6" x14ac:dyDescent="0.25">
      <c r="A450">
        <v>18942</v>
      </c>
      <c r="B450" t="s">
        <v>4</v>
      </c>
      <c r="C450" t="s">
        <v>4137</v>
      </c>
      <c r="D450" t="s">
        <v>7017</v>
      </c>
      <c r="E450" t="s">
        <v>4138</v>
      </c>
      <c r="F450" t="s">
        <v>7466</v>
      </c>
    </row>
    <row r="451" spans="1:6" x14ac:dyDescent="0.25">
      <c r="A451">
        <v>18975</v>
      </c>
      <c r="B451" t="s">
        <v>4</v>
      </c>
      <c r="C451" t="s">
        <v>4179</v>
      </c>
      <c r="D451" t="s">
        <v>7017</v>
      </c>
      <c r="E451" t="s">
        <v>4180</v>
      </c>
      <c r="F451" t="s">
        <v>7467</v>
      </c>
    </row>
    <row r="452" spans="1:6" x14ac:dyDescent="0.25">
      <c r="A452">
        <v>18978</v>
      </c>
      <c r="B452" t="s">
        <v>4</v>
      </c>
      <c r="C452" t="s">
        <v>4181</v>
      </c>
      <c r="D452" t="s">
        <v>7017</v>
      </c>
      <c r="E452" t="s">
        <v>4182</v>
      </c>
      <c r="F452" t="s">
        <v>7468</v>
      </c>
    </row>
    <row r="453" spans="1:6" x14ac:dyDescent="0.25">
      <c r="A453">
        <v>18981</v>
      </c>
      <c r="B453" t="s">
        <v>4</v>
      </c>
      <c r="C453" t="s">
        <v>4183</v>
      </c>
      <c r="D453" t="s">
        <v>7017</v>
      </c>
      <c r="E453" t="s">
        <v>4184</v>
      </c>
      <c r="F453" t="s">
        <v>7469</v>
      </c>
    </row>
    <row r="454" spans="1:6" x14ac:dyDescent="0.25">
      <c r="A454">
        <v>18989</v>
      </c>
      <c r="B454" t="s">
        <v>4</v>
      </c>
      <c r="C454" t="s">
        <v>4185</v>
      </c>
      <c r="D454" t="s">
        <v>7017</v>
      </c>
      <c r="E454" t="s">
        <v>4186</v>
      </c>
      <c r="F454" t="s">
        <v>7470</v>
      </c>
    </row>
    <row r="455" spans="1:6" x14ac:dyDescent="0.25">
      <c r="A455">
        <v>18992</v>
      </c>
      <c r="B455" t="s">
        <v>4</v>
      </c>
      <c r="C455" t="s">
        <v>4187</v>
      </c>
      <c r="D455" t="s">
        <v>7017</v>
      </c>
      <c r="E455" t="s">
        <v>4188</v>
      </c>
      <c r="F455" t="s">
        <v>7471</v>
      </c>
    </row>
    <row r="456" spans="1:6" x14ac:dyDescent="0.25">
      <c r="A456">
        <v>19076</v>
      </c>
      <c r="B456" t="s">
        <v>4</v>
      </c>
      <c r="C456" t="s">
        <v>4333</v>
      </c>
      <c r="D456" t="s">
        <v>7017</v>
      </c>
      <c r="E456" t="s">
        <v>4334</v>
      </c>
      <c r="F456" t="s">
        <v>7472</v>
      </c>
    </row>
    <row r="457" spans="1:6" x14ac:dyDescent="0.25">
      <c r="A457">
        <v>19079</v>
      </c>
      <c r="B457" t="s">
        <v>4</v>
      </c>
      <c r="C457" t="s">
        <v>4335</v>
      </c>
      <c r="D457" t="s">
        <v>7017</v>
      </c>
      <c r="E457" t="s">
        <v>4336</v>
      </c>
      <c r="F457" t="s">
        <v>7473</v>
      </c>
    </row>
    <row r="458" spans="1:6" x14ac:dyDescent="0.25">
      <c r="A458">
        <v>19083</v>
      </c>
      <c r="B458" t="s">
        <v>4</v>
      </c>
      <c r="C458" t="s">
        <v>4337</v>
      </c>
      <c r="D458" t="s">
        <v>7017</v>
      </c>
      <c r="E458" t="s">
        <v>4338</v>
      </c>
      <c r="F458" t="s">
        <v>7474</v>
      </c>
    </row>
    <row r="459" spans="1:6" x14ac:dyDescent="0.25">
      <c r="A459">
        <v>19112</v>
      </c>
      <c r="B459" t="s">
        <v>4</v>
      </c>
      <c r="C459" t="s">
        <v>4373</v>
      </c>
      <c r="D459" t="s">
        <v>7017</v>
      </c>
      <c r="E459" t="s">
        <v>4374</v>
      </c>
      <c r="F459" t="s">
        <v>7475</v>
      </c>
    </row>
    <row r="460" spans="1:6" x14ac:dyDescent="0.25">
      <c r="A460">
        <v>19146</v>
      </c>
      <c r="B460" t="s">
        <v>4</v>
      </c>
      <c r="C460" t="s">
        <v>4417</v>
      </c>
      <c r="D460" t="s">
        <v>7017</v>
      </c>
      <c r="E460" t="s">
        <v>4418</v>
      </c>
      <c r="F460" t="s">
        <v>7476</v>
      </c>
    </row>
    <row r="461" spans="1:6" x14ac:dyDescent="0.25">
      <c r="A461">
        <v>19152</v>
      </c>
      <c r="B461" t="s">
        <v>4</v>
      </c>
      <c r="C461" t="s">
        <v>4675</v>
      </c>
      <c r="D461" t="s">
        <v>7017</v>
      </c>
      <c r="E461" t="s">
        <v>4419</v>
      </c>
      <c r="F461" t="s">
        <v>7477</v>
      </c>
    </row>
    <row r="462" spans="1:6" x14ac:dyDescent="0.25">
      <c r="A462">
        <v>19160</v>
      </c>
      <c r="B462" t="s">
        <v>4</v>
      </c>
      <c r="C462" t="s">
        <v>4420</v>
      </c>
      <c r="D462" t="s">
        <v>7017</v>
      </c>
      <c r="E462" t="s">
        <v>4421</v>
      </c>
      <c r="F462" t="s">
        <v>7478</v>
      </c>
    </row>
    <row r="463" spans="1:6" x14ac:dyDescent="0.25">
      <c r="A463">
        <v>19200</v>
      </c>
      <c r="B463" t="s">
        <v>4</v>
      </c>
      <c r="C463" t="s">
        <v>4488</v>
      </c>
      <c r="D463" t="s">
        <v>7017</v>
      </c>
      <c r="E463" t="s">
        <v>4489</v>
      </c>
      <c r="F463" t="s">
        <v>7479</v>
      </c>
    </row>
    <row r="464" spans="1:6" x14ac:dyDescent="0.25">
      <c r="A464">
        <v>19219</v>
      </c>
      <c r="B464" t="s">
        <v>4</v>
      </c>
      <c r="C464" t="s">
        <v>4516</v>
      </c>
      <c r="D464" t="s">
        <v>7017</v>
      </c>
      <c r="E464" t="s">
        <v>4517</v>
      </c>
      <c r="F464" t="s">
        <v>7480</v>
      </c>
    </row>
    <row r="465" spans="1:6" x14ac:dyDescent="0.25">
      <c r="A465">
        <v>19332</v>
      </c>
      <c r="B465" t="s">
        <v>4</v>
      </c>
      <c r="C465" t="s">
        <v>4675</v>
      </c>
      <c r="D465" t="s">
        <v>7017</v>
      </c>
      <c r="E465" t="s">
        <v>4676</v>
      </c>
      <c r="F465" t="s">
        <v>7477</v>
      </c>
    </row>
    <row r="466" spans="1:6" x14ac:dyDescent="0.25">
      <c r="A466">
        <v>19346</v>
      </c>
      <c r="B466" t="s">
        <v>4</v>
      </c>
      <c r="C466" t="s">
        <v>4691</v>
      </c>
      <c r="D466" t="s">
        <v>7017</v>
      </c>
      <c r="E466" t="s">
        <v>4692</v>
      </c>
      <c r="F466" t="s">
        <v>7481</v>
      </c>
    </row>
    <row r="467" spans="1:6" x14ac:dyDescent="0.25">
      <c r="A467">
        <v>19358</v>
      </c>
      <c r="B467" t="s">
        <v>4</v>
      </c>
      <c r="C467" t="s">
        <v>4701</v>
      </c>
      <c r="D467" t="s">
        <v>7017</v>
      </c>
      <c r="E467" t="s">
        <v>4702</v>
      </c>
      <c r="F467" t="s">
        <v>7482</v>
      </c>
    </row>
    <row r="468" spans="1:6" x14ac:dyDescent="0.25">
      <c r="A468">
        <v>19363</v>
      </c>
      <c r="B468" t="s">
        <v>4</v>
      </c>
      <c r="C468" t="s">
        <v>4703</v>
      </c>
      <c r="D468" t="s">
        <v>7017</v>
      </c>
      <c r="E468" t="s">
        <v>4704</v>
      </c>
      <c r="F468" t="s">
        <v>7483</v>
      </c>
    </row>
    <row r="469" spans="1:6" x14ac:dyDescent="0.25">
      <c r="A469">
        <v>19366</v>
      </c>
      <c r="B469" t="s">
        <v>4</v>
      </c>
      <c r="C469" t="s">
        <v>4705</v>
      </c>
      <c r="D469" t="s">
        <v>7017</v>
      </c>
      <c r="E469" t="s">
        <v>4706</v>
      </c>
      <c r="F469" t="s">
        <v>7484</v>
      </c>
    </row>
    <row r="470" spans="1:6" x14ac:dyDescent="0.25">
      <c r="A470">
        <v>19369</v>
      </c>
      <c r="B470" t="s">
        <v>4</v>
      </c>
      <c r="C470" t="s">
        <v>4707</v>
      </c>
      <c r="D470" t="s">
        <v>7017</v>
      </c>
      <c r="E470" t="s">
        <v>4708</v>
      </c>
      <c r="F470" t="s">
        <v>7485</v>
      </c>
    </row>
    <row r="471" spans="1:6" x14ac:dyDescent="0.25">
      <c r="A471">
        <v>19375</v>
      </c>
      <c r="B471" t="s">
        <v>4</v>
      </c>
      <c r="C471" t="s">
        <v>4709</v>
      </c>
      <c r="D471" t="s">
        <v>7017</v>
      </c>
      <c r="E471" t="s">
        <v>4710</v>
      </c>
      <c r="F471" t="s">
        <v>7486</v>
      </c>
    </row>
    <row r="472" spans="1:6" x14ac:dyDescent="0.25">
      <c r="A472">
        <v>19389</v>
      </c>
      <c r="B472" t="s">
        <v>4</v>
      </c>
      <c r="C472" t="s">
        <v>4721</v>
      </c>
      <c r="D472" t="s">
        <v>7017</v>
      </c>
      <c r="E472" t="s">
        <v>4722</v>
      </c>
      <c r="F472" t="s">
        <v>7487</v>
      </c>
    </row>
    <row r="473" spans="1:6" x14ac:dyDescent="0.25">
      <c r="A473">
        <v>19393</v>
      </c>
      <c r="B473" t="s">
        <v>4</v>
      </c>
      <c r="C473" t="s">
        <v>4723</v>
      </c>
      <c r="D473" t="s">
        <v>7017</v>
      </c>
      <c r="E473" t="s">
        <v>4724</v>
      </c>
      <c r="F473" t="s">
        <v>7488</v>
      </c>
    </row>
    <row r="474" spans="1:6" x14ac:dyDescent="0.25">
      <c r="A474">
        <v>19410</v>
      </c>
      <c r="B474" t="s">
        <v>4</v>
      </c>
      <c r="C474" t="s">
        <v>4747</v>
      </c>
      <c r="D474" t="s">
        <v>7017</v>
      </c>
      <c r="E474" t="s">
        <v>4748</v>
      </c>
      <c r="F474" t="s">
        <v>7489</v>
      </c>
    </row>
    <row r="475" spans="1:6" x14ac:dyDescent="0.25">
      <c r="A475">
        <v>19414</v>
      </c>
      <c r="B475" t="s">
        <v>4</v>
      </c>
      <c r="C475" t="s">
        <v>4749</v>
      </c>
      <c r="D475" t="s">
        <v>7017</v>
      </c>
      <c r="E475" t="s">
        <v>4750</v>
      </c>
      <c r="F475" t="s">
        <v>7490</v>
      </c>
    </row>
    <row r="476" spans="1:6" x14ac:dyDescent="0.25">
      <c r="A476">
        <v>19450</v>
      </c>
      <c r="B476" t="s">
        <v>4</v>
      </c>
      <c r="C476" t="s">
        <v>4799</v>
      </c>
      <c r="D476" t="s">
        <v>7017</v>
      </c>
      <c r="E476" t="s">
        <v>4800</v>
      </c>
      <c r="F476" t="s">
        <v>7491</v>
      </c>
    </row>
    <row r="477" spans="1:6" x14ac:dyDescent="0.25">
      <c r="A477">
        <v>19452</v>
      </c>
      <c r="B477" t="s">
        <v>4</v>
      </c>
      <c r="C477" t="s">
        <v>4801</v>
      </c>
      <c r="D477" t="s">
        <v>7017</v>
      </c>
      <c r="E477" t="s">
        <v>4802</v>
      </c>
      <c r="F477" t="s">
        <v>7492</v>
      </c>
    </row>
    <row r="478" spans="1:6" x14ac:dyDescent="0.25">
      <c r="A478">
        <v>19470</v>
      </c>
      <c r="B478" t="s">
        <v>4</v>
      </c>
      <c r="C478" t="s">
        <v>4823</v>
      </c>
      <c r="D478" t="s">
        <v>7017</v>
      </c>
      <c r="E478" t="s">
        <v>4824</v>
      </c>
      <c r="F478" t="s">
        <v>7493</v>
      </c>
    </row>
    <row r="479" spans="1:6" x14ac:dyDescent="0.25">
      <c r="A479">
        <v>19472</v>
      </c>
      <c r="B479" t="s">
        <v>4</v>
      </c>
      <c r="C479" t="s">
        <v>4825</v>
      </c>
      <c r="D479" t="s">
        <v>7017</v>
      </c>
      <c r="E479" t="s">
        <v>4826</v>
      </c>
      <c r="F479" t="s">
        <v>7494</v>
      </c>
    </row>
    <row r="480" spans="1:6" x14ac:dyDescent="0.25">
      <c r="A480">
        <v>19603</v>
      </c>
      <c r="B480" t="s">
        <v>4</v>
      </c>
      <c r="C480" t="s">
        <v>5021</v>
      </c>
      <c r="D480" t="s">
        <v>7017</v>
      </c>
      <c r="E480" t="s">
        <v>5022</v>
      </c>
      <c r="F480" t="s">
        <v>7495</v>
      </c>
    </row>
    <row r="481" spans="1:6" x14ac:dyDescent="0.25">
      <c r="A481">
        <v>19624</v>
      </c>
      <c r="B481" t="s">
        <v>4</v>
      </c>
      <c r="C481" t="s">
        <v>5053</v>
      </c>
      <c r="D481" t="s">
        <v>7017</v>
      </c>
      <c r="E481" t="s">
        <v>5054</v>
      </c>
      <c r="F481" t="s">
        <v>7496</v>
      </c>
    </row>
    <row r="482" spans="1:6" x14ac:dyDescent="0.25">
      <c r="A482">
        <v>19639</v>
      </c>
      <c r="B482" t="s">
        <v>4</v>
      </c>
      <c r="C482" t="s">
        <v>5063</v>
      </c>
      <c r="D482" t="s">
        <v>7017</v>
      </c>
      <c r="E482" t="s">
        <v>5064</v>
      </c>
      <c r="F482" t="s">
        <v>7497</v>
      </c>
    </row>
    <row r="483" spans="1:6" x14ac:dyDescent="0.25">
      <c r="A483">
        <v>19666</v>
      </c>
      <c r="B483" t="s">
        <v>4</v>
      </c>
      <c r="C483" t="s">
        <v>5109</v>
      </c>
      <c r="D483" t="s">
        <v>7017</v>
      </c>
      <c r="E483" t="s">
        <v>5110</v>
      </c>
      <c r="F483" t="s">
        <v>7498</v>
      </c>
    </row>
    <row r="484" spans="1:6" x14ac:dyDescent="0.25">
      <c r="A484">
        <v>19669</v>
      </c>
      <c r="B484" t="s">
        <v>4</v>
      </c>
      <c r="C484" t="s">
        <v>5111</v>
      </c>
      <c r="D484" t="s">
        <v>7017</v>
      </c>
      <c r="E484" t="s">
        <v>5112</v>
      </c>
      <c r="F484" t="s">
        <v>7499</v>
      </c>
    </row>
    <row r="485" spans="1:6" x14ac:dyDescent="0.25">
      <c r="A485">
        <v>19769</v>
      </c>
      <c r="B485" t="s">
        <v>4</v>
      </c>
      <c r="C485" t="s">
        <v>5249</v>
      </c>
      <c r="D485" t="s">
        <v>7017</v>
      </c>
      <c r="E485" t="s">
        <v>5250</v>
      </c>
      <c r="F485" t="s">
        <v>7500</v>
      </c>
    </row>
    <row r="486" spans="1:6" x14ac:dyDescent="0.25">
      <c r="A486">
        <v>19774</v>
      </c>
      <c r="B486" t="s">
        <v>4</v>
      </c>
      <c r="C486" t="s">
        <v>5251</v>
      </c>
      <c r="D486" t="s">
        <v>7017</v>
      </c>
      <c r="E486" t="s">
        <v>5252</v>
      </c>
      <c r="F486" t="s">
        <v>7501</v>
      </c>
    </row>
    <row r="487" spans="1:6" x14ac:dyDescent="0.25">
      <c r="A487">
        <v>19792</v>
      </c>
      <c r="B487" t="s">
        <v>4</v>
      </c>
      <c r="C487" t="s">
        <v>5281</v>
      </c>
      <c r="D487" t="s">
        <v>7017</v>
      </c>
      <c r="E487" t="s">
        <v>5282</v>
      </c>
      <c r="F487" t="s">
        <v>7502</v>
      </c>
    </row>
    <row r="488" spans="1:6" x14ac:dyDescent="0.25">
      <c r="A488">
        <v>19798</v>
      </c>
      <c r="B488" t="s">
        <v>4</v>
      </c>
      <c r="C488" t="s">
        <v>5283</v>
      </c>
      <c r="D488" t="s">
        <v>7017</v>
      </c>
      <c r="E488" t="s">
        <v>5284</v>
      </c>
      <c r="F488" t="s">
        <v>7503</v>
      </c>
    </row>
    <row r="489" spans="1:6" x14ac:dyDescent="0.25">
      <c r="A489">
        <v>19801</v>
      </c>
      <c r="B489" t="s">
        <v>4</v>
      </c>
      <c r="C489" t="s">
        <v>5285</v>
      </c>
      <c r="D489" t="s">
        <v>7017</v>
      </c>
      <c r="E489" t="s">
        <v>5286</v>
      </c>
      <c r="F489" t="s">
        <v>7504</v>
      </c>
    </row>
    <row r="490" spans="1:6" x14ac:dyDescent="0.25">
      <c r="A490">
        <v>19818</v>
      </c>
      <c r="B490" t="s">
        <v>4</v>
      </c>
      <c r="C490" t="s">
        <v>5309</v>
      </c>
      <c r="D490" t="s">
        <v>7017</v>
      </c>
      <c r="E490" t="s">
        <v>5310</v>
      </c>
      <c r="F490" t="s">
        <v>7505</v>
      </c>
    </row>
    <row r="491" spans="1:6" x14ac:dyDescent="0.25">
      <c r="A491">
        <v>19856</v>
      </c>
      <c r="B491" t="s">
        <v>4</v>
      </c>
      <c r="C491" t="s">
        <v>5359</v>
      </c>
      <c r="D491" t="s">
        <v>7017</v>
      </c>
      <c r="E491" t="s">
        <v>5360</v>
      </c>
      <c r="F491" t="s">
        <v>7506</v>
      </c>
    </row>
    <row r="492" spans="1:6" x14ac:dyDescent="0.25">
      <c r="A492">
        <v>19867</v>
      </c>
      <c r="B492" t="s">
        <v>4</v>
      </c>
      <c r="C492" t="s">
        <v>5361</v>
      </c>
      <c r="D492" t="s">
        <v>7017</v>
      </c>
      <c r="E492" t="s">
        <v>5362</v>
      </c>
      <c r="F492" t="s">
        <v>7507</v>
      </c>
    </row>
    <row r="493" spans="1:6" x14ac:dyDescent="0.25">
      <c r="A493">
        <v>19870</v>
      </c>
      <c r="B493" t="s">
        <v>4</v>
      </c>
      <c r="C493" t="s">
        <v>5363</v>
      </c>
      <c r="D493" t="s">
        <v>7017</v>
      </c>
      <c r="E493" t="s">
        <v>5364</v>
      </c>
      <c r="F493" t="s">
        <v>7508</v>
      </c>
    </row>
    <row r="494" spans="1:6" x14ac:dyDescent="0.25">
      <c r="A494">
        <v>19873</v>
      </c>
      <c r="B494" t="s">
        <v>4</v>
      </c>
      <c r="C494" t="s">
        <v>5365</v>
      </c>
      <c r="D494" t="s">
        <v>7017</v>
      </c>
      <c r="E494" t="s">
        <v>5366</v>
      </c>
      <c r="F494" t="s">
        <v>7509</v>
      </c>
    </row>
    <row r="495" spans="1:6" x14ac:dyDescent="0.25">
      <c r="A495">
        <v>19885</v>
      </c>
      <c r="B495" t="s">
        <v>4</v>
      </c>
      <c r="C495" t="s">
        <v>5373</v>
      </c>
      <c r="D495" t="s">
        <v>7017</v>
      </c>
      <c r="E495" t="s">
        <v>5374</v>
      </c>
      <c r="F495" t="s">
        <v>7510</v>
      </c>
    </row>
    <row r="496" spans="1:6" x14ac:dyDescent="0.25">
      <c r="A496">
        <v>19895</v>
      </c>
      <c r="B496" t="s">
        <v>4</v>
      </c>
      <c r="C496" t="s">
        <v>5383</v>
      </c>
      <c r="D496" t="s">
        <v>7017</v>
      </c>
      <c r="E496" t="s">
        <v>5384</v>
      </c>
      <c r="F496" t="s">
        <v>7511</v>
      </c>
    </row>
    <row r="497" spans="1:6" x14ac:dyDescent="0.25">
      <c r="A497">
        <v>19914</v>
      </c>
      <c r="B497" t="s">
        <v>4</v>
      </c>
      <c r="C497" t="s">
        <v>5401</v>
      </c>
      <c r="D497" t="s">
        <v>7017</v>
      </c>
      <c r="E497" t="s">
        <v>5402</v>
      </c>
      <c r="F497" t="s">
        <v>7512</v>
      </c>
    </row>
    <row r="498" spans="1:6" x14ac:dyDescent="0.25">
      <c r="A498">
        <v>19919</v>
      </c>
      <c r="B498" t="s">
        <v>4</v>
      </c>
      <c r="C498" t="s">
        <v>5403</v>
      </c>
      <c r="D498" t="s">
        <v>7017</v>
      </c>
      <c r="E498" t="s">
        <v>5404</v>
      </c>
      <c r="F498" t="s">
        <v>7513</v>
      </c>
    </row>
    <row r="499" spans="1:6" x14ac:dyDescent="0.25">
      <c r="A499">
        <v>19925</v>
      </c>
      <c r="B499" t="s">
        <v>4</v>
      </c>
      <c r="C499" t="s">
        <v>5405</v>
      </c>
      <c r="D499" t="s">
        <v>7017</v>
      </c>
      <c r="E499" t="s">
        <v>5406</v>
      </c>
      <c r="F499" t="s">
        <v>7514</v>
      </c>
    </row>
    <row r="500" spans="1:6" x14ac:dyDescent="0.25">
      <c r="A500">
        <v>19932</v>
      </c>
      <c r="B500" t="s">
        <v>4</v>
      </c>
      <c r="C500" t="s">
        <v>5407</v>
      </c>
      <c r="D500" t="s">
        <v>7017</v>
      </c>
      <c r="E500" t="s">
        <v>5408</v>
      </c>
      <c r="F500" t="s">
        <v>7515</v>
      </c>
    </row>
    <row r="501" spans="1:6" x14ac:dyDescent="0.25">
      <c r="A501">
        <v>19968</v>
      </c>
      <c r="B501" t="s">
        <v>4</v>
      </c>
      <c r="C501" t="s">
        <v>5435</v>
      </c>
      <c r="D501" t="s">
        <v>7017</v>
      </c>
      <c r="E501" t="s">
        <v>5436</v>
      </c>
      <c r="F501" t="s">
        <v>7516</v>
      </c>
    </row>
    <row r="502" spans="1:6" x14ac:dyDescent="0.25">
      <c r="A502">
        <v>19973</v>
      </c>
      <c r="B502" t="s">
        <v>4</v>
      </c>
      <c r="C502" t="s">
        <v>5437</v>
      </c>
      <c r="D502" t="s">
        <v>7017</v>
      </c>
      <c r="E502" t="s">
        <v>5438</v>
      </c>
      <c r="F502" t="s">
        <v>7517</v>
      </c>
    </row>
    <row r="503" spans="1:6" x14ac:dyDescent="0.25">
      <c r="A503">
        <v>19978</v>
      </c>
      <c r="B503" t="s">
        <v>4</v>
      </c>
      <c r="C503" t="s">
        <v>5439</v>
      </c>
      <c r="D503" t="s">
        <v>7017</v>
      </c>
      <c r="E503" t="s">
        <v>5440</v>
      </c>
      <c r="F503" t="s">
        <v>7518</v>
      </c>
    </row>
    <row r="504" spans="1:6" x14ac:dyDescent="0.25">
      <c r="A504">
        <v>19983</v>
      </c>
      <c r="B504" t="s">
        <v>4</v>
      </c>
      <c r="C504" t="s">
        <v>5441</v>
      </c>
      <c r="D504" t="s">
        <v>7017</v>
      </c>
      <c r="E504" t="s">
        <v>5442</v>
      </c>
      <c r="F504" t="s">
        <v>7519</v>
      </c>
    </row>
    <row r="505" spans="1:6" x14ac:dyDescent="0.25">
      <c r="A505">
        <v>19987</v>
      </c>
      <c r="B505" t="s">
        <v>4</v>
      </c>
      <c r="C505" t="s">
        <v>5443</v>
      </c>
      <c r="D505" t="s">
        <v>7017</v>
      </c>
      <c r="E505" t="s">
        <v>5444</v>
      </c>
      <c r="F505" t="s">
        <v>7520</v>
      </c>
    </row>
    <row r="506" spans="1:6" x14ac:dyDescent="0.25">
      <c r="A506">
        <v>19992</v>
      </c>
      <c r="B506" t="s">
        <v>4</v>
      </c>
      <c r="C506" t="s">
        <v>5445</v>
      </c>
      <c r="D506" t="s">
        <v>7017</v>
      </c>
      <c r="E506" t="s">
        <v>5446</v>
      </c>
      <c r="F506" t="s">
        <v>7521</v>
      </c>
    </row>
    <row r="507" spans="1:6" x14ac:dyDescent="0.25">
      <c r="A507">
        <v>19996</v>
      </c>
      <c r="B507" t="s">
        <v>4</v>
      </c>
      <c r="C507" t="s">
        <v>5447</v>
      </c>
      <c r="D507" t="s">
        <v>7017</v>
      </c>
      <c r="E507" t="s">
        <v>5448</v>
      </c>
      <c r="F507" t="s">
        <v>7522</v>
      </c>
    </row>
    <row r="508" spans="1:6" x14ac:dyDescent="0.25">
      <c r="A508">
        <v>20121</v>
      </c>
      <c r="B508" t="s">
        <v>4</v>
      </c>
      <c r="C508" t="s">
        <v>5625</v>
      </c>
      <c r="D508" t="s">
        <v>7017</v>
      </c>
      <c r="E508" t="s">
        <v>5626</v>
      </c>
      <c r="F508" t="s">
        <v>7523</v>
      </c>
    </row>
    <row r="509" spans="1:6" x14ac:dyDescent="0.25">
      <c r="A509">
        <v>20127</v>
      </c>
      <c r="B509" t="s">
        <v>4</v>
      </c>
      <c r="C509" t="s">
        <v>5627</v>
      </c>
      <c r="D509" t="s">
        <v>7017</v>
      </c>
      <c r="E509" t="s">
        <v>5628</v>
      </c>
      <c r="F509" t="s">
        <v>7524</v>
      </c>
    </row>
    <row r="510" spans="1:6" x14ac:dyDescent="0.25">
      <c r="A510">
        <v>20132</v>
      </c>
      <c r="B510" t="s">
        <v>4</v>
      </c>
      <c r="C510" t="s">
        <v>5629</v>
      </c>
      <c r="D510" t="s">
        <v>7017</v>
      </c>
      <c r="E510" t="s">
        <v>5630</v>
      </c>
      <c r="F510" t="s">
        <v>7525</v>
      </c>
    </row>
    <row r="511" spans="1:6" x14ac:dyDescent="0.25">
      <c r="A511">
        <v>20137</v>
      </c>
      <c r="B511" t="s">
        <v>4</v>
      </c>
      <c r="C511" t="s">
        <v>5631</v>
      </c>
      <c r="D511" t="s">
        <v>7017</v>
      </c>
      <c r="E511" t="s">
        <v>5632</v>
      </c>
      <c r="F511" t="s">
        <v>7526</v>
      </c>
    </row>
    <row r="512" spans="1:6" x14ac:dyDescent="0.25">
      <c r="A512">
        <v>20142</v>
      </c>
      <c r="B512" t="s">
        <v>4</v>
      </c>
      <c r="C512" t="s">
        <v>5633</v>
      </c>
      <c r="D512" t="s">
        <v>7017</v>
      </c>
      <c r="E512" t="s">
        <v>5634</v>
      </c>
      <c r="F512" t="s">
        <v>7527</v>
      </c>
    </row>
    <row r="513" spans="1:6" x14ac:dyDescent="0.25">
      <c r="A513">
        <v>20173</v>
      </c>
      <c r="B513" t="s">
        <v>4</v>
      </c>
      <c r="C513" t="s">
        <v>5677</v>
      </c>
      <c r="D513" t="s">
        <v>7017</v>
      </c>
      <c r="E513" t="s">
        <v>5678</v>
      </c>
      <c r="F513" t="s">
        <v>7528</v>
      </c>
    </row>
    <row r="514" spans="1:6" x14ac:dyDescent="0.25">
      <c r="A514">
        <v>20177</v>
      </c>
      <c r="B514" t="s">
        <v>4</v>
      </c>
      <c r="C514" t="s">
        <v>5679</v>
      </c>
      <c r="D514" t="s">
        <v>7017</v>
      </c>
      <c r="E514" t="s">
        <v>5680</v>
      </c>
      <c r="F514" t="s">
        <v>7529</v>
      </c>
    </row>
    <row r="515" spans="1:6" x14ac:dyDescent="0.25">
      <c r="A515">
        <v>20195</v>
      </c>
      <c r="B515" t="s">
        <v>4</v>
      </c>
      <c r="C515" t="s">
        <v>5697</v>
      </c>
      <c r="D515" t="s">
        <v>7017</v>
      </c>
      <c r="E515" t="s">
        <v>5698</v>
      </c>
      <c r="F515" t="s">
        <v>7530</v>
      </c>
    </row>
    <row r="516" spans="1:6" x14ac:dyDescent="0.25">
      <c r="A516">
        <v>20210</v>
      </c>
      <c r="B516" t="s">
        <v>4</v>
      </c>
      <c r="C516" t="s">
        <v>5707</v>
      </c>
      <c r="D516" t="s">
        <v>7017</v>
      </c>
      <c r="E516" t="s">
        <v>5708</v>
      </c>
      <c r="F516" t="s">
        <v>7531</v>
      </c>
    </row>
    <row r="517" spans="1:6" x14ac:dyDescent="0.25">
      <c r="A517">
        <v>20217</v>
      </c>
      <c r="B517" t="s">
        <v>4</v>
      </c>
      <c r="C517" t="s">
        <v>5709</v>
      </c>
      <c r="D517" t="s">
        <v>7017</v>
      </c>
      <c r="E517" t="s">
        <v>5710</v>
      </c>
      <c r="F517" t="s">
        <v>7532</v>
      </c>
    </row>
    <row r="518" spans="1:6" x14ac:dyDescent="0.25">
      <c r="A518">
        <v>20220</v>
      </c>
      <c r="B518" t="s">
        <v>4</v>
      </c>
      <c r="C518" t="s">
        <v>5711</v>
      </c>
      <c r="D518" t="s">
        <v>7017</v>
      </c>
      <c r="E518" t="s">
        <v>5712</v>
      </c>
      <c r="F518" t="s">
        <v>7533</v>
      </c>
    </row>
    <row r="519" spans="1:6" x14ac:dyDescent="0.25">
      <c r="A519">
        <v>20223</v>
      </c>
      <c r="B519" t="s">
        <v>4</v>
      </c>
      <c r="C519" t="s">
        <v>5713</v>
      </c>
      <c r="D519" t="s">
        <v>7017</v>
      </c>
      <c r="E519" t="s">
        <v>5714</v>
      </c>
      <c r="F519" t="s">
        <v>7534</v>
      </c>
    </row>
    <row r="520" spans="1:6" x14ac:dyDescent="0.25">
      <c r="A520">
        <v>20226</v>
      </c>
      <c r="B520" t="s">
        <v>4</v>
      </c>
      <c r="C520" t="s">
        <v>5715</v>
      </c>
      <c r="D520" t="s">
        <v>7017</v>
      </c>
      <c r="E520" t="s">
        <v>5716</v>
      </c>
      <c r="F520" t="s">
        <v>7535</v>
      </c>
    </row>
    <row r="521" spans="1:6" x14ac:dyDescent="0.25">
      <c r="A521">
        <v>20229</v>
      </c>
      <c r="B521" t="s">
        <v>4</v>
      </c>
      <c r="C521" t="s">
        <v>5717</v>
      </c>
      <c r="D521" t="s">
        <v>7017</v>
      </c>
      <c r="E521" t="s">
        <v>5718</v>
      </c>
      <c r="F521" t="s">
        <v>7536</v>
      </c>
    </row>
    <row r="522" spans="1:6" x14ac:dyDescent="0.25">
      <c r="A522">
        <v>20406</v>
      </c>
      <c r="B522" t="s">
        <v>4</v>
      </c>
      <c r="C522" t="s">
        <v>5887</v>
      </c>
      <c r="D522" t="s">
        <v>7017</v>
      </c>
      <c r="E522" t="s">
        <v>5888</v>
      </c>
      <c r="F522" t="s">
        <v>7537</v>
      </c>
    </row>
    <row r="523" spans="1:6" x14ac:dyDescent="0.25">
      <c r="A523">
        <v>20420</v>
      </c>
      <c r="B523" t="s">
        <v>4</v>
      </c>
      <c r="C523" t="s">
        <v>5895</v>
      </c>
      <c r="D523" t="s">
        <v>7017</v>
      </c>
      <c r="E523" t="s">
        <v>5896</v>
      </c>
      <c r="F523" t="s">
        <v>7538</v>
      </c>
    </row>
    <row r="524" spans="1:6" x14ac:dyDescent="0.25">
      <c r="A524">
        <v>20425</v>
      </c>
      <c r="B524" t="s">
        <v>4</v>
      </c>
      <c r="C524" t="s">
        <v>5897</v>
      </c>
      <c r="D524" t="s">
        <v>7017</v>
      </c>
      <c r="E524" t="s">
        <v>5898</v>
      </c>
      <c r="F524" t="s">
        <v>7539</v>
      </c>
    </row>
    <row r="525" spans="1:6" x14ac:dyDescent="0.25">
      <c r="A525">
        <v>20490</v>
      </c>
      <c r="B525" t="s">
        <v>4</v>
      </c>
      <c r="C525" t="s">
        <v>5987</v>
      </c>
      <c r="D525" t="s">
        <v>7017</v>
      </c>
      <c r="E525" t="s">
        <v>5988</v>
      </c>
      <c r="F525" t="s">
        <v>7540</v>
      </c>
    </row>
    <row r="526" spans="1:6" x14ac:dyDescent="0.25">
      <c r="A526">
        <v>20495</v>
      </c>
      <c r="B526" t="s">
        <v>4</v>
      </c>
      <c r="C526" t="s">
        <v>5989</v>
      </c>
      <c r="D526" t="s">
        <v>7017</v>
      </c>
      <c r="E526" t="s">
        <v>5990</v>
      </c>
      <c r="F526" t="s">
        <v>7541</v>
      </c>
    </row>
    <row r="527" spans="1:6" x14ac:dyDescent="0.25">
      <c r="A527">
        <v>20499</v>
      </c>
      <c r="B527" t="s">
        <v>4</v>
      </c>
      <c r="C527" t="s">
        <v>5991</v>
      </c>
      <c r="D527" t="s">
        <v>7017</v>
      </c>
      <c r="E527" t="s">
        <v>5992</v>
      </c>
      <c r="F527" t="s">
        <v>7542</v>
      </c>
    </row>
    <row r="528" spans="1:6" x14ac:dyDescent="0.25">
      <c r="A528">
        <v>20504</v>
      </c>
      <c r="B528" t="s">
        <v>4</v>
      </c>
      <c r="C528" t="s">
        <v>5993</v>
      </c>
      <c r="D528" t="s">
        <v>7017</v>
      </c>
      <c r="E528" t="s">
        <v>5994</v>
      </c>
      <c r="F528" t="s">
        <v>7543</v>
      </c>
    </row>
    <row r="529" spans="1:6" x14ac:dyDescent="0.25">
      <c r="A529">
        <v>20514</v>
      </c>
      <c r="B529" t="s">
        <v>4</v>
      </c>
      <c r="C529" t="s">
        <v>6003</v>
      </c>
      <c r="D529" t="s">
        <v>7017</v>
      </c>
      <c r="E529" t="s">
        <v>6004</v>
      </c>
      <c r="F529" t="s">
        <v>7544</v>
      </c>
    </row>
    <row r="530" spans="1:6" x14ac:dyDescent="0.25">
      <c r="A530">
        <v>20519</v>
      </c>
      <c r="B530" t="s">
        <v>4</v>
      </c>
      <c r="C530" t="s">
        <v>6005</v>
      </c>
      <c r="D530" t="s">
        <v>7017</v>
      </c>
      <c r="E530" t="s">
        <v>6006</v>
      </c>
      <c r="F530" t="s">
        <v>7545</v>
      </c>
    </row>
    <row r="531" spans="1:6" x14ac:dyDescent="0.25">
      <c r="A531">
        <v>20524</v>
      </c>
      <c r="B531" t="s">
        <v>4</v>
      </c>
      <c r="C531" t="s">
        <v>6007</v>
      </c>
      <c r="D531" t="s">
        <v>7017</v>
      </c>
      <c r="E531" t="s">
        <v>6008</v>
      </c>
      <c r="F531" t="s">
        <v>7546</v>
      </c>
    </row>
    <row r="532" spans="1:6" x14ac:dyDescent="0.25">
      <c r="A532">
        <v>20530</v>
      </c>
      <c r="B532" t="s">
        <v>4</v>
      </c>
      <c r="C532" t="s">
        <v>6009</v>
      </c>
      <c r="D532" t="s">
        <v>7017</v>
      </c>
      <c r="E532" t="s">
        <v>6010</v>
      </c>
      <c r="F532" t="s">
        <v>7547</v>
      </c>
    </row>
    <row r="533" spans="1:6" x14ac:dyDescent="0.25">
      <c r="A533">
        <v>20536</v>
      </c>
      <c r="B533" t="s">
        <v>4</v>
      </c>
      <c r="C533" t="s">
        <v>6011</v>
      </c>
      <c r="D533" t="s">
        <v>7017</v>
      </c>
      <c r="E533" t="s">
        <v>6012</v>
      </c>
      <c r="F533" t="s">
        <v>7548</v>
      </c>
    </row>
    <row r="534" spans="1:6" x14ac:dyDescent="0.25">
      <c r="A534">
        <v>20546</v>
      </c>
      <c r="B534" t="s">
        <v>4</v>
      </c>
      <c r="C534" t="s">
        <v>6013</v>
      </c>
      <c r="D534" t="s">
        <v>7017</v>
      </c>
      <c r="E534" t="s">
        <v>6014</v>
      </c>
      <c r="F534" t="s">
        <v>7549</v>
      </c>
    </row>
    <row r="535" spans="1:6" x14ac:dyDescent="0.25">
      <c r="A535">
        <v>20551</v>
      </c>
      <c r="B535" t="s">
        <v>4</v>
      </c>
      <c r="C535" t="s">
        <v>6015</v>
      </c>
      <c r="D535" t="s">
        <v>7017</v>
      </c>
      <c r="E535" t="s">
        <v>6016</v>
      </c>
      <c r="F535" t="s">
        <v>7550</v>
      </c>
    </row>
    <row r="536" spans="1:6" x14ac:dyDescent="0.25">
      <c r="A536">
        <v>20559</v>
      </c>
      <c r="B536" t="s">
        <v>4</v>
      </c>
      <c r="C536" t="s">
        <v>6017</v>
      </c>
      <c r="D536" t="s">
        <v>7017</v>
      </c>
      <c r="E536" t="s">
        <v>6018</v>
      </c>
      <c r="F536" t="s">
        <v>7551</v>
      </c>
    </row>
    <row r="537" spans="1:6" x14ac:dyDescent="0.25">
      <c r="A537">
        <v>20570</v>
      </c>
      <c r="B537" t="s">
        <v>4</v>
      </c>
      <c r="C537" t="s">
        <v>6019</v>
      </c>
      <c r="D537" t="s">
        <v>7017</v>
      </c>
      <c r="E537" t="s">
        <v>6020</v>
      </c>
      <c r="F537" t="s">
        <v>7552</v>
      </c>
    </row>
    <row r="538" spans="1:6" x14ac:dyDescent="0.25">
      <c r="A538">
        <v>20575</v>
      </c>
      <c r="B538" t="s">
        <v>4</v>
      </c>
      <c r="C538" t="s">
        <v>6021</v>
      </c>
      <c r="D538" t="s">
        <v>7017</v>
      </c>
      <c r="E538" t="s">
        <v>6022</v>
      </c>
      <c r="F538" t="s">
        <v>7553</v>
      </c>
    </row>
    <row r="539" spans="1:6" x14ac:dyDescent="0.25">
      <c r="A539">
        <v>20582</v>
      </c>
      <c r="B539" t="s">
        <v>4</v>
      </c>
      <c r="C539" t="s">
        <v>6023</v>
      </c>
      <c r="D539" t="s">
        <v>7017</v>
      </c>
      <c r="E539" t="s">
        <v>6024</v>
      </c>
      <c r="F539" t="s">
        <v>7554</v>
      </c>
    </row>
    <row r="540" spans="1:6" x14ac:dyDescent="0.25">
      <c r="A540">
        <v>20603</v>
      </c>
      <c r="B540" t="s">
        <v>4</v>
      </c>
      <c r="C540" t="s">
        <v>6051</v>
      </c>
      <c r="D540" t="s">
        <v>7017</v>
      </c>
      <c r="E540" t="s">
        <v>6052</v>
      </c>
      <c r="F540" t="s">
        <v>7555</v>
      </c>
    </row>
    <row r="541" spans="1:6" x14ac:dyDescent="0.25">
      <c r="A541">
        <v>20608</v>
      </c>
      <c r="B541" t="s">
        <v>4</v>
      </c>
      <c r="C541" t="s">
        <v>6053</v>
      </c>
      <c r="D541" t="s">
        <v>7017</v>
      </c>
      <c r="E541" t="s">
        <v>6054</v>
      </c>
      <c r="F541" t="s">
        <v>7556</v>
      </c>
    </row>
    <row r="542" spans="1:6" x14ac:dyDescent="0.25">
      <c r="A542">
        <v>20612</v>
      </c>
      <c r="B542" t="s">
        <v>4</v>
      </c>
      <c r="C542" t="s">
        <v>6055</v>
      </c>
      <c r="D542" t="s">
        <v>7017</v>
      </c>
      <c r="E542" t="s">
        <v>6056</v>
      </c>
      <c r="F542" t="s">
        <v>7557</v>
      </c>
    </row>
    <row r="543" spans="1:6" x14ac:dyDescent="0.25">
      <c r="A543">
        <v>20617</v>
      </c>
      <c r="B543" t="s">
        <v>4</v>
      </c>
      <c r="C543" t="s">
        <v>6057</v>
      </c>
      <c r="D543" t="s">
        <v>7017</v>
      </c>
      <c r="E543" t="s">
        <v>6058</v>
      </c>
      <c r="F543" t="s">
        <v>7558</v>
      </c>
    </row>
    <row r="544" spans="1:6" x14ac:dyDescent="0.25">
      <c r="A544">
        <v>20646</v>
      </c>
      <c r="B544" t="s">
        <v>4</v>
      </c>
      <c r="C544" t="s">
        <v>6091</v>
      </c>
      <c r="D544" t="s">
        <v>7017</v>
      </c>
      <c r="E544" t="s">
        <v>6092</v>
      </c>
      <c r="F544" t="s">
        <v>7559</v>
      </c>
    </row>
    <row r="545" spans="1:6" x14ac:dyDescent="0.25">
      <c r="A545">
        <v>20651</v>
      </c>
      <c r="B545" t="s">
        <v>4</v>
      </c>
      <c r="C545" t="s">
        <v>6093</v>
      </c>
      <c r="D545" t="s">
        <v>7017</v>
      </c>
      <c r="E545" t="s">
        <v>6094</v>
      </c>
      <c r="F545" t="s">
        <v>7560</v>
      </c>
    </row>
    <row r="546" spans="1:6" x14ac:dyDescent="0.25">
      <c r="A546">
        <v>20659</v>
      </c>
      <c r="B546" t="s">
        <v>4</v>
      </c>
      <c r="C546" t="s">
        <v>6095</v>
      </c>
      <c r="D546" t="s">
        <v>7017</v>
      </c>
      <c r="E546" t="s">
        <v>6096</v>
      </c>
      <c r="F546" t="s">
        <v>7561</v>
      </c>
    </row>
    <row r="547" spans="1:6" x14ac:dyDescent="0.25">
      <c r="A547">
        <v>20665</v>
      </c>
      <c r="B547" t="s">
        <v>4</v>
      </c>
      <c r="C547" t="s">
        <v>6097</v>
      </c>
      <c r="D547" t="s">
        <v>7017</v>
      </c>
      <c r="E547" t="s">
        <v>6098</v>
      </c>
      <c r="F547" t="s">
        <v>7562</v>
      </c>
    </row>
    <row r="548" spans="1:6" x14ac:dyDescent="0.25">
      <c r="A548">
        <v>20671</v>
      </c>
      <c r="B548" t="s">
        <v>4</v>
      </c>
      <c r="C548" t="s">
        <v>6099</v>
      </c>
      <c r="D548" t="s">
        <v>7017</v>
      </c>
      <c r="E548" t="s">
        <v>6100</v>
      </c>
      <c r="F548" t="s">
        <v>7563</v>
      </c>
    </row>
    <row r="549" spans="1:6" x14ac:dyDescent="0.25">
      <c r="A549">
        <v>20677</v>
      </c>
      <c r="B549" t="s">
        <v>4</v>
      </c>
      <c r="C549" t="s">
        <v>6101</v>
      </c>
      <c r="D549" t="s">
        <v>7017</v>
      </c>
      <c r="E549" t="s">
        <v>6102</v>
      </c>
      <c r="F549" t="s">
        <v>7564</v>
      </c>
    </row>
    <row r="550" spans="1:6" x14ac:dyDescent="0.25">
      <c r="A550">
        <v>20684</v>
      </c>
      <c r="B550" t="s">
        <v>4</v>
      </c>
      <c r="C550" t="s">
        <v>6103</v>
      </c>
      <c r="D550" t="s">
        <v>7017</v>
      </c>
      <c r="E550" t="s">
        <v>6104</v>
      </c>
      <c r="F550" t="s">
        <v>7565</v>
      </c>
    </row>
    <row r="551" spans="1:6" x14ac:dyDescent="0.25">
      <c r="A551">
        <v>20689</v>
      </c>
      <c r="B551" t="s">
        <v>4</v>
      </c>
      <c r="C551" t="s">
        <v>6105</v>
      </c>
      <c r="D551" t="s">
        <v>7017</v>
      </c>
      <c r="E551" t="s">
        <v>6106</v>
      </c>
      <c r="F551" t="s">
        <v>7566</v>
      </c>
    </row>
    <row r="552" spans="1:6" x14ac:dyDescent="0.25">
      <c r="A552">
        <v>20695</v>
      </c>
      <c r="B552" t="s">
        <v>4</v>
      </c>
      <c r="C552" t="s">
        <v>6107</v>
      </c>
      <c r="D552" t="s">
        <v>7017</v>
      </c>
      <c r="E552" t="s">
        <v>6108</v>
      </c>
      <c r="F552" t="s">
        <v>7567</v>
      </c>
    </row>
    <row r="553" spans="1:6" x14ac:dyDescent="0.25">
      <c r="A553">
        <v>20701</v>
      </c>
      <c r="B553" t="s">
        <v>4</v>
      </c>
      <c r="C553" t="s">
        <v>6109</v>
      </c>
      <c r="D553" t="s">
        <v>7017</v>
      </c>
      <c r="E553" t="s">
        <v>6110</v>
      </c>
      <c r="F553" t="s">
        <v>7568</v>
      </c>
    </row>
    <row r="554" spans="1:6" x14ac:dyDescent="0.25">
      <c r="A554">
        <v>20707</v>
      </c>
      <c r="B554" t="s">
        <v>4</v>
      </c>
      <c r="C554" t="s">
        <v>6111</v>
      </c>
      <c r="D554" t="s">
        <v>7017</v>
      </c>
      <c r="E554" t="s">
        <v>6112</v>
      </c>
      <c r="F554" t="s">
        <v>7569</v>
      </c>
    </row>
    <row r="555" spans="1:6" x14ac:dyDescent="0.25">
      <c r="A555">
        <v>20712</v>
      </c>
      <c r="B555" t="s">
        <v>4</v>
      </c>
      <c r="C555" t="s">
        <v>6113</v>
      </c>
      <c r="D555" t="s">
        <v>7017</v>
      </c>
      <c r="E555" t="s">
        <v>6114</v>
      </c>
      <c r="F555" t="s">
        <v>7570</v>
      </c>
    </row>
    <row r="556" spans="1:6" x14ac:dyDescent="0.25">
      <c r="A556">
        <v>20718</v>
      </c>
      <c r="B556" t="s">
        <v>4</v>
      </c>
      <c r="C556" t="s">
        <v>6115</v>
      </c>
      <c r="D556" t="s">
        <v>7017</v>
      </c>
      <c r="E556" t="s">
        <v>6116</v>
      </c>
      <c r="F556" t="s">
        <v>7571</v>
      </c>
    </row>
    <row r="557" spans="1:6" x14ac:dyDescent="0.25">
      <c r="A557">
        <v>20725</v>
      </c>
      <c r="B557" t="s">
        <v>4</v>
      </c>
      <c r="C557" t="s">
        <v>6117</v>
      </c>
      <c r="D557" t="s">
        <v>7017</v>
      </c>
      <c r="E557" t="s">
        <v>6118</v>
      </c>
      <c r="F557" t="s">
        <v>7572</v>
      </c>
    </row>
    <row r="558" spans="1:6" x14ac:dyDescent="0.25">
      <c r="A558">
        <v>20782</v>
      </c>
      <c r="B558" t="s">
        <v>4</v>
      </c>
      <c r="C558" t="s">
        <v>6177</v>
      </c>
      <c r="D558" t="s">
        <v>7017</v>
      </c>
      <c r="E558" t="s">
        <v>6178</v>
      </c>
      <c r="F558" t="s">
        <v>7573</v>
      </c>
    </row>
    <row r="559" spans="1:6" x14ac:dyDescent="0.25">
      <c r="A559">
        <v>20785</v>
      </c>
      <c r="B559" t="s">
        <v>4</v>
      </c>
      <c r="C559" t="s">
        <v>6179</v>
      </c>
      <c r="D559" t="s">
        <v>7017</v>
      </c>
      <c r="E559" t="s">
        <v>6180</v>
      </c>
      <c r="F559" t="s">
        <v>7574</v>
      </c>
    </row>
    <row r="560" spans="1:6" x14ac:dyDescent="0.25">
      <c r="A560">
        <v>20789</v>
      </c>
      <c r="B560" t="s">
        <v>4</v>
      </c>
      <c r="C560" t="s">
        <v>6181</v>
      </c>
      <c r="D560" t="s">
        <v>7017</v>
      </c>
      <c r="E560" t="s">
        <v>6182</v>
      </c>
      <c r="F560" t="s">
        <v>7575</v>
      </c>
    </row>
    <row r="561" spans="1:6" x14ac:dyDescent="0.25">
      <c r="A561">
        <v>20792</v>
      </c>
      <c r="B561" t="s">
        <v>4</v>
      </c>
      <c r="C561" t="s">
        <v>6183</v>
      </c>
      <c r="D561" t="s">
        <v>7017</v>
      </c>
      <c r="E561" t="s">
        <v>6184</v>
      </c>
      <c r="F561" t="s">
        <v>7576</v>
      </c>
    </row>
    <row r="562" spans="1:6" x14ac:dyDescent="0.25">
      <c r="A562">
        <v>20795</v>
      </c>
      <c r="B562" t="s">
        <v>4</v>
      </c>
      <c r="C562" t="s">
        <v>6185</v>
      </c>
      <c r="D562" t="s">
        <v>7017</v>
      </c>
      <c r="E562" t="s">
        <v>6186</v>
      </c>
      <c r="F562" t="s">
        <v>7577</v>
      </c>
    </row>
    <row r="563" spans="1:6" x14ac:dyDescent="0.25">
      <c r="A563">
        <v>20811</v>
      </c>
      <c r="B563" t="s">
        <v>4</v>
      </c>
      <c r="C563" t="s">
        <v>6213</v>
      </c>
      <c r="D563" t="s">
        <v>7017</v>
      </c>
      <c r="E563" t="s">
        <v>6214</v>
      </c>
      <c r="F563" t="s">
        <v>7578</v>
      </c>
    </row>
    <row r="564" spans="1:6" x14ac:dyDescent="0.25">
      <c r="A564">
        <v>20815</v>
      </c>
      <c r="B564" t="s">
        <v>4</v>
      </c>
      <c r="C564" t="s">
        <v>6215</v>
      </c>
      <c r="D564" t="s">
        <v>7017</v>
      </c>
      <c r="E564" t="s">
        <v>6216</v>
      </c>
      <c r="F564" t="s">
        <v>7579</v>
      </c>
    </row>
    <row r="565" spans="1:6" x14ac:dyDescent="0.25">
      <c r="A565">
        <v>20818</v>
      </c>
      <c r="B565" t="s">
        <v>4</v>
      </c>
      <c r="C565" t="s">
        <v>6217</v>
      </c>
      <c r="D565" t="s">
        <v>7017</v>
      </c>
      <c r="E565" t="s">
        <v>6218</v>
      </c>
      <c r="F565" t="s">
        <v>7580</v>
      </c>
    </row>
    <row r="566" spans="1:6" x14ac:dyDescent="0.25">
      <c r="A566">
        <v>20859</v>
      </c>
      <c r="B566" t="s">
        <v>4</v>
      </c>
      <c r="C566" t="s">
        <v>6275</v>
      </c>
      <c r="D566" t="s">
        <v>7017</v>
      </c>
      <c r="E566" t="s">
        <v>6276</v>
      </c>
      <c r="F566" t="s">
        <v>7581</v>
      </c>
    </row>
    <row r="567" spans="1:6" x14ac:dyDescent="0.25">
      <c r="A567">
        <v>20904</v>
      </c>
      <c r="B567" t="s">
        <v>4</v>
      </c>
      <c r="C567" t="s">
        <v>6341</v>
      </c>
      <c r="D567" t="s">
        <v>7017</v>
      </c>
      <c r="E567" t="s">
        <v>6342</v>
      </c>
      <c r="F567" t="s">
        <v>7582</v>
      </c>
    </row>
    <row r="568" spans="1:6" x14ac:dyDescent="0.25">
      <c r="A568">
        <v>20963</v>
      </c>
      <c r="B568" t="s">
        <v>4</v>
      </c>
      <c r="C568" t="s">
        <v>6415</v>
      </c>
      <c r="D568" t="s">
        <v>7017</v>
      </c>
      <c r="E568" t="s">
        <v>6416</v>
      </c>
      <c r="F568" t="s">
        <v>7583</v>
      </c>
    </row>
    <row r="569" spans="1:6" x14ac:dyDescent="0.25">
      <c r="A569">
        <v>20983</v>
      </c>
      <c r="B569" t="s">
        <v>4</v>
      </c>
      <c r="C569" t="s">
        <v>6449</v>
      </c>
      <c r="D569" t="s">
        <v>7017</v>
      </c>
      <c r="E569" t="s">
        <v>6450</v>
      </c>
      <c r="F569" t="s">
        <v>7584</v>
      </c>
    </row>
    <row r="570" spans="1:6" x14ac:dyDescent="0.25">
      <c r="A570">
        <v>20986</v>
      </c>
      <c r="B570" t="s">
        <v>4</v>
      </c>
      <c r="C570" t="s">
        <v>6451</v>
      </c>
      <c r="D570" t="s">
        <v>7017</v>
      </c>
      <c r="E570" t="s">
        <v>6452</v>
      </c>
      <c r="F570" t="s">
        <v>7585</v>
      </c>
    </row>
    <row r="571" spans="1:6" x14ac:dyDescent="0.25">
      <c r="A571">
        <v>20990</v>
      </c>
      <c r="B571" t="s">
        <v>4</v>
      </c>
      <c r="C571" t="s">
        <v>6453</v>
      </c>
      <c r="D571" t="s">
        <v>7017</v>
      </c>
      <c r="E571" t="s">
        <v>6454</v>
      </c>
      <c r="F571" t="s">
        <v>7586</v>
      </c>
    </row>
    <row r="572" spans="1:6" x14ac:dyDescent="0.25">
      <c r="A572">
        <v>20993</v>
      </c>
      <c r="B572" t="s">
        <v>4</v>
      </c>
      <c r="C572" t="s">
        <v>6455</v>
      </c>
      <c r="D572" t="s">
        <v>7017</v>
      </c>
      <c r="E572" t="s">
        <v>6456</v>
      </c>
      <c r="F572" t="s">
        <v>7587</v>
      </c>
    </row>
    <row r="573" spans="1:6" x14ac:dyDescent="0.25">
      <c r="A573">
        <v>20996</v>
      </c>
      <c r="B573" t="s">
        <v>4</v>
      </c>
      <c r="C573" t="s">
        <v>6457</v>
      </c>
      <c r="D573" t="s">
        <v>7017</v>
      </c>
      <c r="E573" t="s">
        <v>6458</v>
      </c>
      <c r="F573" t="s">
        <v>7588</v>
      </c>
    </row>
    <row r="574" spans="1:6" x14ac:dyDescent="0.25">
      <c r="A574">
        <v>20999</v>
      </c>
      <c r="B574" t="s">
        <v>4</v>
      </c>
      <c r="C574" t="s">
        <v>6459</v>
      </c>
      <c r="D574" t="s">
        <v>7017</v>
      </c>
      <c r="E574" t="s">
        <v>6460</v>
      </c>
      <c r="F574" t="s">
        <v>7589</v>
      </c>
    </row>
    <row r="575" spans="1:6" x14ac:dyDescent="0.25">
      <c r="A575">
        <v>21002</v>
      </c>
      <c r="B575" t="s">
        <v>4</v>
      </c>
      <c r="C575" t="s">
        <v>6461</v>
      </c>
      <c r="D575" t="s">
        <v>7017</v>
      </c>
      <c r="E575" t="s">
        <v>6462</v>
      </c>
      <c r="F575" t="s">
        <v>7590</v>
      </c>
    </row>
    <row r="576" spans="1:6" x14ac:dyDescent="0.25">
      <c r="A576">
        <v>21005</v>
      </c>
      <c r="B576" t="s">
        <v>4</v>
      </c>
      <c r="C576" t="s">
        <v>6463</v>
      </c>
      <c r="D576" t="s">
        <v>7017</v>
      </c>
      <c r="E576" t="s">
        <v>6464</v>
      </c>
      <c r="F576" t="s">
        <v>7591</v>
      </c>
    </row>
    <row r="577" spans="1:6" x14ac:dyDescent="0.25">
      <c r="A577">
        <v>21023</v>
      </c>
      <c r="B577" t="s">
        <v>4</v>
      </c>
      <c r="C577" t="s">
        <v>6495</v>
      </c>
      <c r="D577" t="s">
        <v>7017</v>
      </c>
      <c r="E577" t="s">
        <v>6496</v>
      </c>
      <c r="F577" t="s">
        <v>7592</v>
      </c>
    </row>
    <row r="578" spans="1:6" x14ac:dyDescent="0.25">
      <c r="A578">
        <v>21029</v>
      </c>
      <c r="B578" t="s">
        <v>4</v>
      </c>
      <c r="C578" t="s">
        <v>6497</v>
      </c>
      <c r="D578" t="s">
        <v>7017</v>
      </c>
      <c r="E578" t="s">
        <v>6498</v>
      </c>
      <c r="F578" t="s">
        <v>7593</v>
      </c>
    </row>
    <row r="579" spans="1:6" x14ac:dyDescent="0.25">
      <c r="A579">
        <v>21076</v>
      </c>
      <c r="B579" t="s">
        <v>4</v>
      </c>
      <c r="C579" t="s">
        <v>6559</v>
      </c>
      <c r="D579" t="s">
        <v>7017</v>
      </c>
      <c r="E579" t="s">
        <v>6560</v>
      </c>
      <c r="F579" t="s">
        <v>7594</v>
      </c>
    </row>
    <row r="580" spans="1:6" x14ac:dyDescent="0.25">
      <c r="A580">
        <v>21082</v>
      </c>
      <c r="B580" t="s">
        <v>4</v>
      </c>
      <c r="C580" t="s">
        <v>6561</v>
      </c>
      <c r="D580" t="s">
        <v>7017</v>
      </c>
      <c r="E580" t="s">
        <v>6562</v>
      </c>
      <c r="F580" t="s">
        <v>7595</v>
      </c>
    </row>
    <row r="581" spans="1:6" x14ac:dyDescent="0.25">
      <c r="A581">
        <v>21088</v>
      </c>
      <c r="B581" t="s">
        <v>4</v>
      </c>
      <c r="C581" t="s">
        <v>6563</v>
      </c>
      <c r="D581" t="s">
        <v>7017</v>
      </c>
      <c r="E581" t="s">
        <v>6564</v>
      </c>
      <c r="F581" t="s">
        <v>7596</v>
      </c>
    </row>
    <row r="582" spans="1:6" x14ac:dyDescent="0.25">
      <c r="A582">
        <v>21114</v>
      </c>
      <c r="B582" t="s">
        <v>4</v>
      </c>
      <c r="C582" t="s">
        <v>6597</v>
      </c>
      <c r="D582" t="s">
        <v>7017</v>
      </c>
      <c r="E582" t="s">
        <v>6598</v>
      </c>
      <c r="F582" t="s">
        <v>7597</v>
      </c>
    </row>
    <row r="583" spans="1:6" x14ac:dyDescent="0.25">
      <c r="A583">
        <v>21118</v>
      </c>
      <c r="B583" t="s">
        <v>4</v>
      </c>
      <c r="C583" t="s">
        <v>6599</v>
      </c>
      <c r="D583" t="s">
        <v>7017</v>
      </c>
      <c r="E583" t="s">
        <v>6600</v>
      </c>
      <c r="F583" t="s">
        <v>7598</v>
      </c>
    </row>
    <row r="584" spans="1:6" x14ac:dyDescent="0.25">
      <c r="A584">
        <v>21262</v>
      </c>
      <c r="B584" t="s">
        <v>4</v>
      </c>
      <c r="C584" t="s">
        <v>6825</v>
      </c>
      <c r="D584" t="s">
        <v>7017</v>
      </c>
      <c r="E584" t="s">
        <v>6826</v>
      </c>
      <c r="F584" t="s">
        <v>7599</v>
      </c>
    </row>
    <row r="585" spans="1:6" x14ac:dyDescent="0.25">
      <c r="A585">
        <v>21324</v>
      </c>
      <c r="B585" t="s">
        <v>4</v>
      </c>
      <c r="C585" t="s">
        <v>6899</v>
      </c>
      <c r="D585" t="s">
        <v>7017</v>
      </c>
      <c r="E585" t="s">
        <v>6900</v>
      </c>
      <c r="F585" t="s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2022-08-22T21:06:05Z</dcterms:modified>
</cp:coreProperties>
</file>