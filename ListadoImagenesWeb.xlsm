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Color'!$A$1:$K$204</definedName>
    <definedName name="_xlnm._FilterDatabase" localSheetId="0" hidden="1">Listado!$A$1:$J$3443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5" i="2" l="1"/>
  <c r="C2" i="2"/>
  <c r="B1" i="6" l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<sst xmlns="http://schemas.openxmlformats.org/spreadsheetml/2006/main" count="10627" uniqueCount="7054">
  <si>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</si>
  <si>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</si>
  <si>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</si>
  <si>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</si>
  <si>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</si>
  <si>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</si>
  <si>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</si>
  <si>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</si>
  <si>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</si>
  <si>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</si>
  <si>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</si>
  <si>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</si>
  <si>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</si>
  <si>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</si>
  <si>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</si>
  <si>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</si>
  <si>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</si>
  <si>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</si>
  <si>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</si>
  <si>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</si>
  <si>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</si>
  <si>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</si>
  <si>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</si>
  <si>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</si>
  <si>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</si>
  <si>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</si>
  <si>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</si>
  <si>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</si>
  <si>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</si>
  <si>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</si>
  <si>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</si>
  <si>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</si>
  <si>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</si>
  <si>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</si>
  <si>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</si>
  <si>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</si>
  <si>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</si>
  <si>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</si>
  <si>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</si>
  <si>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</si>
  <si>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</si>
  <si>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</si>
  <si>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</si>
  <si>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</si>
  <si>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</si>
  <si>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</si>
  <si>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</si>
  <si>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</si>
  <si>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</si>
  <si>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</si>
  <si>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</si>
  <si>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</si>
  <si>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</si>
  <si>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</si>
  <si>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</si>
  <si>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</si>
  <si>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</si>
  <si>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</si>
  <si>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</si>
  <si>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</si>
  <si>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</si>
  <si>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</si>
  <si>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</si>
  <si>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</si>
  <si>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</si>
  <si>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</si>
  <si>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</si>
  <si>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</si>
  <si>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</si>
  <si>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</si>
  <si>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</si>
  <si>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</si>
  <si>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</si>
  <si>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</si>
  <si>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</si>
  <si>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</si>
  <si>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</si>
  <si>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</si>
  <si>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</si>
  <si>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</si>
  <si>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</si>
  <si>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</si>
  <si>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</si>
  <si>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</si>
  <si>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</si>
  <si>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</si>
  <si>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</si>
  <si>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</si>
  <si>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</si>
  <si>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</si>
  <si>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</si>
  <si>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</si>
  <si>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</si>
  <si>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</si>
  <si>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</si>
  <si>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</si>
  <si>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</si>
  <si>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</si>
  <si>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</si>
  <si>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</si>
  <si>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</si>
  <si>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</si>
  <si>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</si>
  <si>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</si>
  <si>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</si>
  <si>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</si>
  <si>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</si>
  <si>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</si>
  <si>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</si>
  <si>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</si>
  <si>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</si>
  <si>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</si>
  <si>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</si>
  <si>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</si>
  <si>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</si>
  <si>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</si>
  <si>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</si>
  <si>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</si>
  <si>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</si>
  <si>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</si>
  <si>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</si>
  <si>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</si>
  <si>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</si>
  <si>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</si>
  <si>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</si>
  <si>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</si>
  <si>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</si>
  <si>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</si>
  <si>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</si>
  <si>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</si>
  <si>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</si>
  <si>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</si>
  <si>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</si>
  <si>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</si>
  <si>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</si>
  <si>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</si>
  <si>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</si>
  <si>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</si>
  <si>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</si>
  <si>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</si>
  <si>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</si>
  <si>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</si>
  <si>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</si>
  <si>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</si>
  <si>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</si>
  <si>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</si>
  <si>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</si>
  <si>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</si>
  <si>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</si>
  <si>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</si>
  <si>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</si>
  <si>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</si>
  <si>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</si>
  <si>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</si>
  <si>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</si>
  <si>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</si>
  <si>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</si>
  <si>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</si>
  <si>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</si>
  <si>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</si>
  <si>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</si>
  <si>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</si>
  <si>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</si>
  <si>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</si>
  <si>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</si>
  <si>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</si>
  <si>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</si>
  <si>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</si>
  <si>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</si>
  <si>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</si>
  <si>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</si>
  <si>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</si>
  <si>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</si>
  <si>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</si>
  <si>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</si>
  <si>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</si>
  <si>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</si>
  <si>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</si>
  <si>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</si>
  <si>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</si>
  <si>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</si>
  <si>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</si>
  <si>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</si>
  <si>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</si>
  <si>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</si>
  <si>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</si>
  <si>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</si>
  <si>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</si>
  <si>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</si>
  <si>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</si>
  <si>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</si>
  <si>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</si>
  <si>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</si>
  <si>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</si>
  <si>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</si>
  <si>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</si>
  <si>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</si>
  <si>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</si>
  <si>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</si>
  <si>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</si>
  <si>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</si>
  <si>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</si>
  <si>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</si>
  <si>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</si>
  <si>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</si>
  <si>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</si>
  <si>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</si>
  <si>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</si>
  <si>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</si>
  <si>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</si>
  <si>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</si>
  <si>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</si>
  <si>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</si>
  <si>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</si>
  <si>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</si>
  <si>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</si>
  <si>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</si>
  <si>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</si>
  <si>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</si>
  <si>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</si>
  <si>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</si>
  <si>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</si>
  <si>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</si>
  <si>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</si>
  <si>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</si>
  <si>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</si>
  <si>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</si>
  <si>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</si>
  <si>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</si>
  <si>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</si>
  <si>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</si>
  <si>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</si>
  <si>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</si>
  <si>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</si>
  <si>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</si>
  <si>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</si>
  <si>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</si>
  <si>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</si>
  <si>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</si>
  <si>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</si>
  <si>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</si>
  <si>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</si>
  <si>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</si>
  <si>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</si>
  <si>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</si>
  <si>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</si>
  <si>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</si>
  <si>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</si>
  <si>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</si>
  <si>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</si>
  <si>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</si>
  <si>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</si>
  <si>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</si>
  <si>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</si>
  <si>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</si>
  <si>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</si>
  <si>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</si>
  <si>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</si>
  <si>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</si>
  <si>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</si>
  <si>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</si>
  <si>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</si>
  <si>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</si>
  <si>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</si>
  <si>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</si>
  <si>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</si>
  <si>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</si>
  <si>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</si>
  <si>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</si>
  <si>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</si>
  <si>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</si>
  <si>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</si>
  <si>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</si>
  <si>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</si>
  <si>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</si>
  <si>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</si>
  <si>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</si>
  <si>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</si>
  <si>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</si>
  <si>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</si>
  <si>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</si>
  <si>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</si>
  <si>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</si>
  <si>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</si>
  <si>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</si>
  <si>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</si>
  <si>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</si>
  <si>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</si>
  <si>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</si>
  <si>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</si>
  <si>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</si>
  <si>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</si>
  <si>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</si>
  <si>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</si>
  <si>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</si>
  <si>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</si>
  <si>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</si>
  <si>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</si>
  <si>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</si>
  <si>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</si>
  <si>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</si>
  <si>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</si>
  <si>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</si>
  <si>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</si>
  <si>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</si>
  <si>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</si>
  <si>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</si>
  <si>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</si>
  <si>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</si>
  <si>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</si>
  <si>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</si>
  <si>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</si>
  <si>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</si>
  <si>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</si>
  <si>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</si>
  <si>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</si>
  <si>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</si>
  <si>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</si>
  <si>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</si>
  <si>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</si>
  <si>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</si>
  <si>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</si>
  <si>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</si>
  <si>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</si>
  <si>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</si>
  <si>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</si>
  <si>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</si>
  <si>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</si>
  <si>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</si>
  <si>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</si>
  <si>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</si>
  <si>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</si>
  <si>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</si>
  <si>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</si>
  <si>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</si>
  <si>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</si>
  <si>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</si>
  <si>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</si>
  <si>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</si>
  <si>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</si>
  <si>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</si>
  <si>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</si>
  <si>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</si>
  <si>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</si>
  <si>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</si>
  <si>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</si>
  <si>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</si>
  <si>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</si>
  <si>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</si>
  <si>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</si>
  <si>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</si>
  <si>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</si>
  <si>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</si>
  <si>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</si>
  <si>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</si>
  <si>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</si>
  <si>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</si>
  <si>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</si>
  <si>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</si>
  <si>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</si>
  <si>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</si>
  <si>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</si>
  <si>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</si>
  <si>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</si>
  <si>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</si>
  <si>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</si>
  <si>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</si>
  <si>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</si>
  <si>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</si>
  <si>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</si>
  <si>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</si>
  <si>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</si>
  <si>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</si>
  <si>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</si>
  <si>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</si>
  <si>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</si>
  <si>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</si>
  <si>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</si>
  <si>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</si>
  <si>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</si>
  <si>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</si>
  <si>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</si>
  <si>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</si>
  <si>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</si>
  <si>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</si>
  <si>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</si>
  <si>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</si>
  <si>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</si>
  <si>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</si>
  <si>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</si>
  <si>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</si>
  <si>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</si>
  <si>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</si>
  <si>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</si>
  <si>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</si>
  <si>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</si>
  <si>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</si>
  <si>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</si>
  <si>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</si>
  <si>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</si>
  <si>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</si>
  <si>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</si>
  <si>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</si>
  <si>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</si>
  <si>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</si>
  <si>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</si>
  <si>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</si>
  <si>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</si>
  <si>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</si>
  <si>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</si>
  <si>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</si>
  <si>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</si>
  <si>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</si>
  <si>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</si>
  <si>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</si>
  <si>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</si>
  <si>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</si>
  <si>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</si>
  <si>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</si>
  <si>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</si>
  <si>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</si>
  <si>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</si>
  <si>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</si>
  <si>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</si>
  <si>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</si>
  <si>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</si>
  <si>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</si>
  <si>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</si>
  <si>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</si>
  <si>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</si>
  <si>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</si>
  <si>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</si>
  <si>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</si>
  <si>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</si>
  <si>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</si>
  <si>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</si>
  <si>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</si>
  <si>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</si>
  <si>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</si>
  <si>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</si>
  <si>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</si>
  <si>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</si>
  <si>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</si>
  <si>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</si>
  <si>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</si>
  <si>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</si>
  <si>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</si>
  <si>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</si>
  <si>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</si>
  <si>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</si>
  <si>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</si>
  <si>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</si>
  <si>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</si>
  <si>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</si>
  <si>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</si>
  <si>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</si>
  <si>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</si>
  <si>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</si>
  <si>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</si>
  <si>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</si>
  <si>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</si>
  <si>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</si>
  <si>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</si>
  <si>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</si>
  <si>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</si>
  <si>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</si>
  <si>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</si>
  <si>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</si>
  <si>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</si>
  <si>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</si>
  <si>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</si>
  <si>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</si>
  <si>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</si>
  <si>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</si>
  <si>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</si>
  <si>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</si>
  <si>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</si>
  <si>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</si>
  <si>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</si>
  <si>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</si>
  <si>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</si>
  <si>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</si>
  <si>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</si>
  <si>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</si>
  <si>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</si>
  <si>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</si>
  <si>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</si>
  <si>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</si>
  <si>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</si>
  <si>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</si>
  <si>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</si>
  <si>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</si>
  <si>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</si>
  <si>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</si>
  <si>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</si>
  <si>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</si>
  <si>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</si>
  <si>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</si>
  <si>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</si>
  <si>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</si>
  <si>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</si>
  <si>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</si>
  <si>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</si>
  <si>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</si>
  <si>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</si>
  <si>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</si>
  <si>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</si>
  <si>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</si>
  <si>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</si>
  <si>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</si>
  <si>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</si>
  <si>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</si>
  <si>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</si>
  <si>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</si>
  <si>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</si>
  <si>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</si>
  <si>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</si>
  <si>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</si>
  <si>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</si>
  <si>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</si>
  <si>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</si>
  <si>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</si>
  <si>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</si>
  <si>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</si>
  <si>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</si>
  <si>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</si>
  <si>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</si>
  <si>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</si>
  <si>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</si>
  <si>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</si>
  <si>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</si>
  <si>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</si>
  <si>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</si>
  <si>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</si>
  <si>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</si>
  <si>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</si>
  <si>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</si>
  <si>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</si>
  <si>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</si>
  <si>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</si>
  <si>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</si>
  <si>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</si>
  <si>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</si>
  <si>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</si>
  <si>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</si>
  <si>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</si>
  <si>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</si>
  <si>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</si>
  <si>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</si>
  <si>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</si>
  <si>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</si>
  <si>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</si>
  <si>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</si>
  <si>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</si>
  <si>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</si>
  <si>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</si>
  <si>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</si>
  <si>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</si>
  <si>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</si>
  <si>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</si>
  <si>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</si>
  <si>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</si>
  <si>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</si>
  <si>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</si>
  <si>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</si>
  <si>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</si>
  <si>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</si>
  <si>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</si>
  <si>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</si>
  <si>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</si>
  <si>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</si>
  <si>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</si>
  <si>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</si>
  <si>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</si>
  <si>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</si>
  <si>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</si>
  <si>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</si>
  <si>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</si>
  <si>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</si>
  <si>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</si>
  <si>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</si>
  <si>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</si>
  <si>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</si>
  <si>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</si>
  <si>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</si>
  <si>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</si>
  <si>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</si>
  <si>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</si>
  <si>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</si>
  <si>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</si>
  <si>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</si>
  <si>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</si>
  <si>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</si>
  <si>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</si>
  <si>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</si>
  <si>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</si>
  <si>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</si>
  <si>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</si>
  <si>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</si>
  <si>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</si>
  <si>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</si>
  <si>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</si>
  <si>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</si>
  <si>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</si>
  <si>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</si>
  <si>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</si>
  <si>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</si>
  <si>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</si>
  <si>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</si>
  <si>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</si>
  <si>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</si>
  <si>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</si>
  <si>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</si>
  <si>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</si>
  <si>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</si>
  <si>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</si>
  <si>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</si>
  <si>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</si>
  <si>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</si>
  <si>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</si>
  <si>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</si>
  <si>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</si>
  <si>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</si>
  <si>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</si>
  <si>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</si>
  <si>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</si>
  <si>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</si>
  <si>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</si>
  <si>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</si>
  <si>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</si>
  <si>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</si>
  <si>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</si>
  <si>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</si>
  <si>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</si>
  <si>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</si>
  <si>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</si>
  <si>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</si>
  <si>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</si>
  <si>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</si>
  <si>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</si>
  <si>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</si>
  <si>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</si>
  <si>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</si>
  <si>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</si>
  <si>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</si>
  <si>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</si>
  <si>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</si>
  <si>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</si>
  <si>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</si>
  <si>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</si>
  <si>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</si>
  <si>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</si>
  <si>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</si>
  <si>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</si>
  <si>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</si>
  <si>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</si>
  <si>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</si>
  <si>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</si>
  <si>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</si>
  <si>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</si>
  <si>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</si>
  <si>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</si>
  <si>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</si>
  <si>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</si>
  <si>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</si>
  <si>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</si>
  <si>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</si>
  <si>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</si>
  <si>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</si>
  <si>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</si>
  <si>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</si>
  <si>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</si>
  <si>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</si>
  <si>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</si>
  <si>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</si>
  <si>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</si>
  <si>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</si>
  <si>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</si>
  <si>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</si>
  <si>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</si>
  <si>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</si>
  <si>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</si>
  <si>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</si>
  <si>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</si>
  <si>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</si>
  <si>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</si>
  <si>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</si>
  <si>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</si>
  <si>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</si>
  <si>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</si>
  <si>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</si>
  <si>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</si>
  <si>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</si>
  <si>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</si>
  <si>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</si>
  <si>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</si>
  <si>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</si>
  <si>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</si>
  <si>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</si>
  <si>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</si>
  <si>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</si>
  <si>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</si>
  <si>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</si>
  <si>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</si>
  <si>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</si>
  <si>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</si>
  <si>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</si>
  <si>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</si>
  <si>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</si>
  <si>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</si>
  <si>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</si>
  <si>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</si>
  <si>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</si>
  <si>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</si>
  <si>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</si>
  <si>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</si>
  <si>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</si>
  <si>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</si>
  <si>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</si>
  <si>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</si>
  <si>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</si>
  <si>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</si>
  <si>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</si>
  <si>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</si>
  <si>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</si>
  <si>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</si>
  <si>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</si>
  <si>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</si>
  <si>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</si>
  <si>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</si>
  <si>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</si>
  <si>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</si>
  <si>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</si>
  <si>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</si>
  <si>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</si>
  <si>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</si>
  <si>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</si>
  <si>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</si>
  <si>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</si>
  <si>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</si>
  <si>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</si>
  <si>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</si>
  <si>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</si>
  <si>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</si>
  <si>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</si>
  <si>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</si>
  <si>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</si>
  <si>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</si>
  <si>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</si>
  <si>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</si>
  <si>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</si>
  <si>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</si>
  <si>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</si>
  <si>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</si>
  <si>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</si>
  <si>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</si>
  <si>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</si>
  <si>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</si>
  <si>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</si>
  <si>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</si>
  <si>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</si>
  <si>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</si>
  <si>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</si>
  <si>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</si>
  <si>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</si>
  <si>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</si>
  <si>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</si>
  <si>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</si>
  <si>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</si>
  <si>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</si>
  <si>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</si>
  <si>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</si>
  <si>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</si>
  <si>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</si>
  <si>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</si>
  <si>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</si>
  <si>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</si>
  <si>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</si>
  <si>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</si>
  <si>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</si>
  <si>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</si>
  <si>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</si>
  <si>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</si>
  <si>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</si>
  <si>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</si>
  <si>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</si>
  <si>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</si>
  <si>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</si>
  <si>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</si>
  <si>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</si>
  <si>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</si>
  <si>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</si>
  <si>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</si>
  <si>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</si>
  <si>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</si>
  <si>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</si>
  <si>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</si>
  <si>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</si>
  <si>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</si>
  <si>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</si>
  <si>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</si>
  <si>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</si>
  <si>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</si>
  <si>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</si>
  <si>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</si>
  <si>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</si>
  <si>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</si>
  <si>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</si>
  <si>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</si>
  <si>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</si>
  <si>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</si>
  <si>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</si>
  <si>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</si>
  <si>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</si>
  <si>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</si>
  <si>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</si>
  <si>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</si>
  <si>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</si>
  <si>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</si>
  <si>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</si>
  <si>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</si>
  <si>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</si>
  <si>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</si>
  <si>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</si>
  <si>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</si>
  <si>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</si>
  <si>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</si>
  <si>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</si>
  <si>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</si>
  <si>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</si>
  <si>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</si>
  <si>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</si>
  <si>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</si>
  <si>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</si>
  <si>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</si>
  <si>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</si>
  <si>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</si>
  <si>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</si>
  <si>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</si>
  <si>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</si>
  <si>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</si>
  <si>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</si>
  <si>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</si>
  <si>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</si>
  <si>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</si>
  <si>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</si>
  <si>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</si>
  <si>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</si>
  <si>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</si>
  <si>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</si>
  <si>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</si>
  <si>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</si>
  <si>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</si>
  <si>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</si>
  <si>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</si>
  <si>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</si>
  <si>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</si>
  <si>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</si>
  <si>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</si>
  <si>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</si>
  <si>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</si>
  <si>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</si>
  <si>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</si>
  <si>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</si>
  <si>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</si>
  <si>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</si>
  <si>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</si>
  <si>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</si>
  <si>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</si>
  <si>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</si>
  <si>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</si>
  <si>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</si>
  <si>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</si>
  <si>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</si>
  <si>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</si>
  <si>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</si>
  <si>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</si>
  <si>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</si>
  <si>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</si>
  <si>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</si>
  <si>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</si>
  <si>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</si>
  <si>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</si>
  <si>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</si>
  <si>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</si>
  <si>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</si>
  <si>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</si>
  <si>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</si>
  <si>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</si>
  <si>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</si>
  <si>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</si>
  <si>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</si>
  <si>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</si>
  <si>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</si>
  <si>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</si>
  <si>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</si>
  <si>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</si>
  <si>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</si>
  <si>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</si>
  <si>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</si>
  <si>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</si>
  <si>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</si>
  <si>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</si>
  <si>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</si>
  <si>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</si>
  <si>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</si>
  <si>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</si>
  <si>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</si>
  <si>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</si>
  <si>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</si>
  <si>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</si>
  <si>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</si>
  <si>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</si>
  <si>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</si>
  <si>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</si>
  <si>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</si>
  <si>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</si>
  <si>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</si>
  <si>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</si>
  <si>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</si>
  <si>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</si>
  <si>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</si>
  <si>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</si>
  <si>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</si>
  <si>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</si>
  <si>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</si>
  <si>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</si>
  <si>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</si>
  <si>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</si>
  <si>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</si>
  <si>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</si>
  <si>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</si>
  <si>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</si>
  <si>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</si>
  <si>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</si>
  <si>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</si>
  <si>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</si>
  <si>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</si>
  <si>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</si>
  <si>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</si>
  <si>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</si>
  <si>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</si>
  <si>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</si>
  <si>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</si>
  <si>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</si>
  <si>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</si>
  <si>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</si>
  <si>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</si>
  <si>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</si>
  <si>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</si>
  <si>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</si>
  <si>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</si>
  <si>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</si>
  <si>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</si>
  <si>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</si>
  <si>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</si>
  <si>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</si>
  <si>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</si>
  <si>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</si>
  <si>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</si>
  <si>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</si>
  <si>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</si>
  <si>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</si>
  <si>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</si>
  <si>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</si>
  <si>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</si>
  <si>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</si>
  <si>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</si>
  <si>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</si>
  <si>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</si>
  <si>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</si>
  <si>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</si>
  <si>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</si>
  <si>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</si>
  <si>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</si>
  <si>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</si>
  <si>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</si>
  <si>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</si>
  <si>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</si>
  <si>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</si>
  <si>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</si>
  <si>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</si>
  <si>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</si>
  <si>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</si>
  <si>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</si>
  <si>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</si>
  <si>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</si>
  <si>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</si>
  <si>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</si>
  <si>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</si>
  <si>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</si>
  <si>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</si>
  <si>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</si>
  <si>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</si>
  <si>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</si>
  <si>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</si>
  <si>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</si>
  <si>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</si>
  <si>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</si>
  <si>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</si>
  <si>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</si>
  <si>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</si>
  <si>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</si>
  <si>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</si>
  <si>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</si>
  <si>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</si>
  <si>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</si>
  <si>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</si>
  <si>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</si>
  <si>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</si>
  <si>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</si>
  <si>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</si>
  <si>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</si>
  <si>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</si>
  <si>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</si>
  <si>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</si>
  <si>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</si>
  <si>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</si>
  <si>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</si>
  <si>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</si>
  <si>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</si>
  <si>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</si>
  <si>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</si>
  <si>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</si>
  <si>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</si>
  <si>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</si>
  <si>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</si>
  <si>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</si>
  <si>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</si>
  <si>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</si>
  <si>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</si>
  <si>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</si>
  <si>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</si>
  <si>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</si>
  <si>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</si>
  <si>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</si>
  <si>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</si>
  <si>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</si>
  <si>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</si>
  <si>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</si>
  <si>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</si>
  <si>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</si>
  <si>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</si>
  <si>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</si>
  <si>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</si>
  <si>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</si>
  <si>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</si>
  <si>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</si>
  <si>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</si>
  <si>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</si>
  <si>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</si>
  <si>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</si>
  <si>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</si>
  <si>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</si>
  <si>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</si>
  <si>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</si>
  <si>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</si>
  <si>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</si>
  <si>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</si>
  <si>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</si>
  <si>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</si>
  <si>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</si>
  <si>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</si>
  <si>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</si>
  <si>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</si>
  <si>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</si>
  <si>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</si>
  <si>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</si>
  <si>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</si>
  <si>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</si>
  <si>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</si>
  <si>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</si>
  <si>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</si>
  <si>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</si>
  <si>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</si>
  <si>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</si>
  <si>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</si>
  <si>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</si>
  <si>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</si>
  <si>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</si>
  <si>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</si>
  <si>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</si>
  <si>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</si>
  <si>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</si>
  <si>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</si>
  <si>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</si>
  <si>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</si>
  <si>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</si>
  <si>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</si>
  <si>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</si>
  <si>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</si>
  <si>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</si>
  <si>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</si>
  <si>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</si>
  <si>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</si>
  <si>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</si>
  <si>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</si>
  <si>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</si>
  <si>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</si>
  <si>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</si>
  <si>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</si>
  <si>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</si>
  <si>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</si>
  <si>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</si>
  <si>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</si>
  <si>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</si>
  <si>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</si>
  <si>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</si>
  <si>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</si>
  <si>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</si>
  <si>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</si>
  <si>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</si>
  <si>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</si>
  <si>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</si>
  <si>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</si>
  <si>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</si>
  <si>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</si>
  <si>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</si>
  <si>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</si>
  <si>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</si>
  <si>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</si>
  <si>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</si>
  <si>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</si>
  <si>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</si>
  <si>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</si>
  <si>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</si>
  <si>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</si>
  <si>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</si>
  <si>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</si>
  <si>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</si>
  <si>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</si>
  <si>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</si>
  <si>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</si>
  <si>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</si>
  <si>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</si>
  <si>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</si>
  <si>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</si>
  <si>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</si>
  <si>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</si>
  <si>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</si>
  <si>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</si>
  <si>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</si>
  <si>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</si>
  <si>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</si>
  <si>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</si>
  <si>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</si>
  <si>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</si>
  <si>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</si>
  <si>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</si>
  <si>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</si>
  <si>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</si>
  <si>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</si>
  <si>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</si>
  <si>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</si>
  <si>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</si>
  <si>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</si>
  <si>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</si>
  <si>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</si>
  <si>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</si>
  <si>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</si>
  <si>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</si>
  <si>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</si>
  <si>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</si>
  <si>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</si>
  <si>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</si>
  <si>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</si>
  <si>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</si>
  <si>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</si>
  <si>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</si>
  <si>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</si>
  <si>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</si>
  <si>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</si>
  <si>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</si>
  <si>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</si>
  <si>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</si>
  <si>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</si>
  <si>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</si>
  <si>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</si>
  <si>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</si>
  <si>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</si>
  <si>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</si>
  <si>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</si>
  <si>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</si>
  <si>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</si>
  <si>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</si>
  <si>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</si>
  <si>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</si>
  <si>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</si>
  <si>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</si>
  <si>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</si>
  <si>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</si>
  <si>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</si>
  <si>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</si>
  <si>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</si>
  <si>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</si>
  <si>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</si>
  <si>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</si>
  <si>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</si>
  <si>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</si>
  <si>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</si>
  <si>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</si>
  <si>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</si>
  <si>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</si>
  <si>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</si>
  <si>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</si>
  <si>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</si>
  <si>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</si>
  <si>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</si>
  <si>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</si>
  <si>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</si>
  <si>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</si>
  <si>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</si>
  <si>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</si>
  <si>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</si>
  <si>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</si>
  <si>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</si>
  <si>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</si>
  <si>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</si>
  <si>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</si>
  <si>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</si>
  <si>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</si>
  <si>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</si>
  <si>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</si>
  <si>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</si>
  <si>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</si>
  <si>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</si>
  <si>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</si>
  <si>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</si>
  <si>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</si>
  <si>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</si>
  <si>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</si>
  <si>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</si>
  <si>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</si>
  <si>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</si>
  <si>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</si>
  <si>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</si>
  <si>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</si>
  <si>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</si>
  <si>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</si>
  <si>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</si>
  <si>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</si>
  <si>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</si>
  <si>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</si>
  <si>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</si>
  <si>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</si>
  <si>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</si>
  <si>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</si>
  <si>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</si>
  <si>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</si>
  <si>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</si>
  <si>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</si>
  <si>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</si>
  <si>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</si>
  <si>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</si>
  <si>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</si>
  <si>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</si>
  <si>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</si>
  <si>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</si>
  <si>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</si>
  <si>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</si>
  <si>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</si>
  <si>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</si>
  <si>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</si>
  <si>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</si>
  <si>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</si>
  <si>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</si>
  <si>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</si>
  <si>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</si>
  <si>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</si>
  <si>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</si>
  <si>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</si>
  <si>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</si>
  <si>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</si>
  <si>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</si>
  <si>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</si>
  <si>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</si>
  <si>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</si>
  <si>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</si>
  <si>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</si>
  <si>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</si>
  <si>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</si>
  <si>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</si>
  <si>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</si>
  <si>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</si>
  <si>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</si>
  <si>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</si>
  <si>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</si>
  <si>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</si>
  <si>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</si>
  <si>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</si>
  <si>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</si>
  <si>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</si>
  <si>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</si>
  <si>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</si>
  <si>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</si>
  <si>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</si>
  <si>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</si>
  <si>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</si>
  <si>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</si>
  <si>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</si>
  <si>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</si>
  <si>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</si>
  <si>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</si>
  <si>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</si>
  <si>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</si>
  <si>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</si>
  <si>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</si>
  <si>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</si>
  <si>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</si>
  <si>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</si>
  <si>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</si>
  <si>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</si>
  <si>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</si>
  <si>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</si>
  <si>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</si>
  <si>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</si>
  <si>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</si>
  <si>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</si>
  <si>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</si>
  <si>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</si>
  <si>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</si>
  <si>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</si>
  <si>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</si>
  <si>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</si>
  <si>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</si>
  <si>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</si>
  <si>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</si>
  <si>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</si>
  <si>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</si>
  <si>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</si>
  <si>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</si>
  <si>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</si>
  <si>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</si>
  <si>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</si>
  <si>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</si>
  <si>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</si>
  <si>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</si>
  <si>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</si>
  <si>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</si>
  <si>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</si>
  <si>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</si>
  <si>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</si>
  <si>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</si>
  <si>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</si>
  <si>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</si>
  <si>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</si>
  <si>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</si>
  <si>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</si>
  <si>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</si>
  <si>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</si>
  <si>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</si>
  <si>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</si>
  <si>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</si>
  <si>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</si>
  <si>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</si>
  <si>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</si>
  <si>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</si>
  <si>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</si>
  <si>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</si>
  <si>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</si>
  <si>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</si>
  <si>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</si>
  <si>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</si>
  <si>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</si>
  <si>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</si>
  <si>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</si>
  <si>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</si>
  <si>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</si>
  <si>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</si>
  <si>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</si>
  <si>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</si>
  <si>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</si>
  <si>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</si>
  <si>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</si>
  <si>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</si>
  <si>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</si>
  <si>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</si>
  <si>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</si>
  <si>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</si>
  <si>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</si>
  <si>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</si>
  <si>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</si>
  <si>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</si>
  <si>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</si>
  <si>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</si>
  <si>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</si>
  <si>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</si>
  <si>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</si>
  <si>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</si>
  <si>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</si>
  <si>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</si>
  <si>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</si>
  <si>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</si>
  <si>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</si>
  <si>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</si>
  <si>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</si>
  <si>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</si>
  <si>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</si>
  <si>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</si>
  <si>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</si>
  <si>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</si>
  <si>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</si>
  <si>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</si>
  <si>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</si>
  <si>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</si>
  <si>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</si>
  <si>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</si>
  <si>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</si>
  <si>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</si>
  <si>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</si>
  <si>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</si>
  <si>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</si>
  <si>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</si>
  <si>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</si>
  <si>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</si>
  <si>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</si>
  <si>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</si>
  <si>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</si>
  <si>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</si>
  <si>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</si>
  <si>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</si>
  <si>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</si>
  <si>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</si>
  <si>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</si>
  <si>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</si>
  <si>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</si>
  <si>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</si>
  <si>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</si>
  <si>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</si>
  <si>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</si>
  <si>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</si>
  <si>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</si>
  <si>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</si>
  <si>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</si>
  <si>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</si>
  <si>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</si>
  <si>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</si>
  <si>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</si>
  <si>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</si>
  <si>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</si>
  <si>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</si>
  <si>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</si>
  <si>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</si>
  <si>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</si>
  <si>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</si>
  <si>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</si>
  <si>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</si>
  <si>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</si>
  <si>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</si>
  <si>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</si>
  <si>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</si>
  <si>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</si>
  <si>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</si>
  <si>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</si>
  <si>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</si>
  <si>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</si>
  <si>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</si>
  <si>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</si>
  <si>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</si>
  <si>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</si>
  <si>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</si>
  <si>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</si>
  <si>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</si>
  <si>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</si>
  <si>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</si>
  <si>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</si>
  <si>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</si>
  <si>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</si>
  <si>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</si>
  <si>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</si>
  <si>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</si>
  <si>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</si>
  <si>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</si>
  <si>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</si>
  <si>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</si>
  <si>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</si>
  <si>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</si>
  <si>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</si>
  <si>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</si>
  <si>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</si>
  <si>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</si>
  <si>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</si>
  <si>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</si>
  <si>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</si>
  <si>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</si>
  <si>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</si>
  <si>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</si>
  <si>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</si>
  <si>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</si>
  <si>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</si>
  <si>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</si>
  <si>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</si>
  <si>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</si>
  <si>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</si>
  <si>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</si>
  <si>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</si>
  <si>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</si>
  <si>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</si>
  <si>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</si>
  <si>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</si>
  <si>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</si>
  <si>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</si>
  <si>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</si>
  <si>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</si>
  <si>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</si>
  <si>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</si>
  <si>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</si>
  <si>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</si>
  <si>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</si>
  <si>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</si>
  <si>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</si>
  <si>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</si>
  <si>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</si>
  <si>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</si>
  <si>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</si>
  <si>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</si>
  <si>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</si>
  <si>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</si>
  <si>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</si>
  <si>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</si>
  <si>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</si>
  <si>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</si>
  <si>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</si>
  <si>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</si>
  <si>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</si>
  <si>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</si>
  <si>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</si>
  <si>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</si>
  <si>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</si>
  <si>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</si>
  <si>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</si>
  <si>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</si>
  <si>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</si>
  <si>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</si>
  <si>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</si>
  <si>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</si>
  <si>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</si>
  <si>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</si>
  <si>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</si>
  <si>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</si>
  <si>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</si>
  <si>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</si>
  <si>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</si>
  <si>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</si>
  <si>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</si>
  <si>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</si>
  <si>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</si>
  <si>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</si>
  <si>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</si>
  <si>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</si>
  <si>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</si>
  <si>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</si>
  <si>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</si>
  <si>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</si>
  <si>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</si>
  <si>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</si>
  <si>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</si>
  <si>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</si>
  <si>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</si>
  <si>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</si>
  <si>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</si>
  <si>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</si>
  <si>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</si>
  <si>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</si>
  <si>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</si>
  <si>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</si>
  <si>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</si>
  <si>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</si>
  <si>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</si>
  <si>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</si>
  <si>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</si>
  <si>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</si>
  <si>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</si>
  <si>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</si>
  <si>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</si>
  <si>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</si>
  <si>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</si>
  <si>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</si>
  <si>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</si>
  <si>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</si>
  <si>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</si>
  <si>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</si>
  <si>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</si>
  <si>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</si>
  <si>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</si>
  <si>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</si>
  <si>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</si>
  <si>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</si>
  <si>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</si>
  <si>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</si>
  <si>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</si>
  <si>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</si>
  <si>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</si>
  <si>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</si>
  <si>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</si>
  <si>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</si>
  <si>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</si>
  <si>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</si>
  <si>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</si>
  <si>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</si>
  <si>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</si>
  <si>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</si>
  <si>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</si>
  <si>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</si>
  <si>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</si>
  <si>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</si>
  <si>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</si>
  <si>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</si>
  <si>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</si>
  <si>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</si>
  <si>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</si>
  <si>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</si>
  <si>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</si>
  <si>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</si>
  <si>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</si>
  <si>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</si>
  <si>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</si>
  <si>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</si>
  <si>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</si>
  <si>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</si>
  <si>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</si>
  <si>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</si>
  <si>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</si>
  <si>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</si>
  <si>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</si>
  <si>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</si>
  <si>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</si>
  <si>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</si>
  <si>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</si>
  <si>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</si>
  <si>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</si>
  <si>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</si>
  <si>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</si>
  <si>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</si>
  <si>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</si>
  <si>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</si>
  <si>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</si>
  <si>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</si>
  <si>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</si>
  <si>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</si>
  <si>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</si>
  <si>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</si>
  <si>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</si>
  <si>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</si>
  <si>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</si>
  <si>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</si>
  <si>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</si>
  <si>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</si>
  <si>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</si>
  <si>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</si>
  <si>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</si>
  <si>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</si>
  <si>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</si>
  <si>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</si>
  <si>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</si>
  <si>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</si>
  <si>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</si>
  <si>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</si>
  <si>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</si>
  <si>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</si>
  <si>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</si>
  <si>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</si>
  <si>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</si>
  <si>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</si>
  <si>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</si>
  <si>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</si>
  <si>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</si>
  <si>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</si>
  <si>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</si>
  <si>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</si>
  <si>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</si>
  <si>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</si>
  <si>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</si>
  <si>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</si>
  <si>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</si>
  <si>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</si>
  <si>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</si>
  <si>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</si>
  <si>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</si>
  <si>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</si>
  <si>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</si>
  <si>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</si>
  <si>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</si>
  <si>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</si>
  <si>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</si>
  <si>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</si>
  <si>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</si>
  <si>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</si>
  <si>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</si>
  <si>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</si>
  <si>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</si>
  <si>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</si>
  <si>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</si>
  <si>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</si>
  <si>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</si>
  <si>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</si>
  <si>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</si>
  <si>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</si>
  <si>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</si>
  <si>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</si>
  <si>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</si>
  <si>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</si>
  <si>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</si>
  <si>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</si>
  <si>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</si>
  <si>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</si>
  <si>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</si>
  <si>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</si>
  <si>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</si>
  <si>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</si>
  <si>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</si>
  <si>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</si>
  <si>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</si>
  <si>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</si>
  <si>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</si>
  <si>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</si>
  <si>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</si>
  <si>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</si>
  <si>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</si>
  <si>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</si>
  <si>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</si>
  <si>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</si>
  <si>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</si>
  <si>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</si>
  <si>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</si>
  <si>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</si>
  <si>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</si>
  <si>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</si>
  <si>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</si>
  <si>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</si>
  <si>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</si>
  <si>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</si>
  <si>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</si>
  <si>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</si>
  <si>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</si>
  <si>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</si>
  <si>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</si>
  <si>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</si>
  <si>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</si>
  <si>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</si>
  <si>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</si>
  <si>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</si>
  <si>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</si>
  <si>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</si>
  <si>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</si>
  <si>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</si>
  <si>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</si>
  <si>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</si>
  <si>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</si>
  <si>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</si>
  <si>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</si>
  <si>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</si>
  <si>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</si>
  <si>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</si>
  <si>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</si>
  <si>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</si>
  <si>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</si>
  <si>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</si>
  <si>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</si>
  <si>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</si>
  <si>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</si>
  <si>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</si>
  <si>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</si>
  <si>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</si>
  <si>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</si>
  <si>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</si>
  <si>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</si>
  <si>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</si>
  <si>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</si>
  <si>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</si>
  <si>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</si>
  <si>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</si>
  <si>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</si>
  <si>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</si>
  <si>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</si>
  <si>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</si>
  <si>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</si>
  <si>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</si>
  <si>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</si>
  <si>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</si>
  <si>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</si>
  <si>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</si>
  <si>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</si>
  <si>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</si>
  <si>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</si>
  <si>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</si>
  <si>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</si>
  <si>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</si>
  <si>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</si>
  <si>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</si>
  <si>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</si>
  <si>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</si>
  <si>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</si>
  <si>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</si>
  <si>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</si>
  <si>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</si>
  <si>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</si>
  <si>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</si>
  <si>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</si>
  <si>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</si>
  <si>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</si>
  <si>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</si>
  <si>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</si>
  <si>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</si>
  <si>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</si>
  <si>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</si>
  <si>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</si>
  <si>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</si>
  <si>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</si>
  <si>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</si>
  <si>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</si>
  <si>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</si>
  <si>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</si>
  <si>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</si>
  <si>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</si>
  <si>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</si>
  <si>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</si>
  <si>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</si>
  <si>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</si>
  <si>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</si>
  <si>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</si>
  <si>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</si>
  <si>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</si>
  <si>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</si>
  <si>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</si>
  <si>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</si>
  <si>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</si>
  <si>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</si>
  <si>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</si>
  <si>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</si>
  <si>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</si>
  <si>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</si>
  <si>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</si>
  <si>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</si>
  <si>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</si>
  <si>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</si>
  <si>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</si>
  <si>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</si>
  <si>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</si>
  <si>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</si>
  <si>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</si>
  <si>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</si>
  <si>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</si>
  <si>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</si>
  <si>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</si>
  <si>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</si>
  <si>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</si>
  <si>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</si>
  <si>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</si>
  <si>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</si>
  <si>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</si>
  <si>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</si>
  <si>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</si>
  <si>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</si>
  <si>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</si>
  <si>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</si>
  <si>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</si>
  <si>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</si>
  <si>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</si>
  <si>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</si>
  <si>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</si>
  <si>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</si>
  <si>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</si>
  <si>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</si>
  <si>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</si>
  <si>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</si>
  <si>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</si>
  <si>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</si>
  <si>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</si>
  <si>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</si>
  <si>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</si>
  <si>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</si>
  <si>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</si>
  <si>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</si>
  <si>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</si>
  <si>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</si>
  <si>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</si>
  <si>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</si>
  <si>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</si>
  <si>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</si>
  <si>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</si>
  <si>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</si>
  <si>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</si>
  <si>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</si>
  <si>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</si>
  <si>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</si>
  <si>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</si>
  <si>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</si>
  <si>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</si>
  <si>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</si>
  <si>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</si>
  <si>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</si>
  <si>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</si>
  <si>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</si>
  <si>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</si>
  <si>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</si>
  <si>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</si>
  <si>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</si>
  <si>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</si>
  <si>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</si>
  <si>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</si>
  <si>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</si>
  <si>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</si>
  <si>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</si>
  <si>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</si>
  <si>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</si>
  <si>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</si>
  <si>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</si>
  <si>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</si>
  <si>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</si>
  <si>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</si>
  <si>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</si>
  <si>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</si>
  <si>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</si>
  <si>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</si>
  <si>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</si>
  <si>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</si>
  <si>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</si>
  <si>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</si>
  <si>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</si>
  <si>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</si>
  <si>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</si>
  <si>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</si>
  <si>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</si>
  <si>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</si>
  <si>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</si>
  <si>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</si>
  <si>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</si>
  <si>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</si>
  <si>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</si>
  <si>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</si>
  <si>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</si>
  <si>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</si>
  <si>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</si>
  <si>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</si>
  <si>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</si>
  <si>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</si>
  <si>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</si>
  <si>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</si>
  <si>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</si>
  <si>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</si>
  <si>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</si>
  <si>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</si>
  <si>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</si>
  <si>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</si>
  <si>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</si>
  <si>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</si>
  <si>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</si>
  <si>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</si>
  <si>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</si>
  <si>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</si>
  <si>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</si>
  <si>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</si>
  <si>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</si>
  <si>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</si>
  <si>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</si>
  <si>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</si>
  <si>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</si>
  <si>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</si>
  <si>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</si>
  <si>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</si>
  <si>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</si>
  <si>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</si>
  <si>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</si>
  <si>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</si>
  <si>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</si>
  <si>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</si>
  <si>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</si>
  <si>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</si>
  <si>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</si>
  <si>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</si>
  <si>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</si>
  <si>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</si>
  <si>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</si>
  <si>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</si>
  <si>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</si>
  <si>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</si>
  <si>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</si>
  <si>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</si>
  <si>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</si>
  <si>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</si>
  <si>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</si>
  <si>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</si>
  <si>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</si>
  <si>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</si>
  <si>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</si>
  <si>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</si>
  <si>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</si>
  <si>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</si>
  <si>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</si>
  <si>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</si>
  <si>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</si>
  <si>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</si>
  <si>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</si>
  <si>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</si>
  <si>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</si>
  <si>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</si>
  <si>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</si>
  <si>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</si>
  <si>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</si>
  <si>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</si>
  <si>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</si>
  <si>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</si>
  <si>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</si>
  <si>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</si>
  <si>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</si>
  <si>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</si>
  <si>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</si>
  <si>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</si>
  <si>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</si>
  <si>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</si>
  <si>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</si>
  <si>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</si>
  <si>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</si>
  <si>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</si>
  <si>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</si>
  <si>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</si>
  <si>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</si>
  <si>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</si>
  <si>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</si>
  <si>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</si>
  <si>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</si>
  <si>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</si>
  <si>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</si>
  <si>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</si>
  <si>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</si>
  <si>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</si>
  <si>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</si>
  <si>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</si>
  <si>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</si>
  <si>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</si>
  <si>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</si>
  <si>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</si>
  <si>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</si>
  <si>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</si>
  <si>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</si>
  <si>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</si>
  <si>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</si>
  <si>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</si>
  <si>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</si>
  <si>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</si>
  <si>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</si>
  <si>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</si>
  <si>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</si>
  <si>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</si>
  <si>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</si>
  <si>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</si>
  <si>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</si>
  <si>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</si>
  <si>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</si>
  <si>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</si>
  <si>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</si>
  <si>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</si>
  <si>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</si>
  <si>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</si>
  <si>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</si>
  <si>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</si>
  <si>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</si>
  <si>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</si>
  <si>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</si>
  <si>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</si>
  <si>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</si>
  <si>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</si>
  <si>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</si>
  <si>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</si>
  <si>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</si>
  <si>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</si>
  <si>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</si>
  <si>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</si>
  <si>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</si>
  <si>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</si>
  <si>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</si>
  <si>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</si>
  <si>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</si>
  <si>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</si>
  <si>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</si>
  <si>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</si>
  <si>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</si>
  <si>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</si>
  <si>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</si>
  <si>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</si>
  <si>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</si>
  <si>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</si>
  <si>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</si>
  <si>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</si>
  <si>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</si>
  <si>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</si>
  <si>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</si>
  <si>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</si>
  <si>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</si>
  <si>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</si>
  <si>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</si>
  <si>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</si>
  <si>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</si>
  <si>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</si>
  <si>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</si>
  <si>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</si>
  <si>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</si>
  <si>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</si>
  <si>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</si>
  <si>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</si>
  <si>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</si>
  <si>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</si>
  <si>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</si>
  <si>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</si>
  <si>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</si>
  <si>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</si>
  <si>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</si>
  <si>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</si>
  <si>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</si>
  <si>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</si>
  <si>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</si>
  <si>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</si>
  <si>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</si>
  <si>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</si>
  <si>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</si>
  <si>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</si>
  <si>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</si>
  <si>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</si>
  <si>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</si>
  <si>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</si>
  <si>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</si>
  <si>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</si>
  <si>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</si>
  <si>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</si>
  <si>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</si>
  <si>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</si>
  <si>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</si>
  <si>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</si>
  <si>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</si>
  <si>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</si>
  <si>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</si>
  <si>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</si>
  <si>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</si>
  <si>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</si>
  <si>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</si>
  <si>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</si>
  <si>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</si>
  <si>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</si>
  <si>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</si>
  <si>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</si>
  <si>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</si>
  <si>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</si>
  <si>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</si>
  <si>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</si>
  <si>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</si>
  <si>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</si>
  <si>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</si>
  <si>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</si>
  <si>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</si>
  <si>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</si>
  <si>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</si>
  <si>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</si>
  <si>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</si>
  <si>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</si>
  <si>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</si>
  <si>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</si>
  <si>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</si>
  <si>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</si>
  <si>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</si>
  <si>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</si>
  <si>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</si>
  <si>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</si>
  <si>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</si>
  <si>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</si>
  <si>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</si>
  <si>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</si>
  <si>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</si>
  <si>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</si>
  <si>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</si>
  <si>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</si>
  <si>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</si>
  <si>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</si>
  <si>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</si>
  <si>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</si>
  <si>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</si>
  <si>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</si>
  <si>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</si>
  <si>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</si>
  <si>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</si>
  <si>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</si>
  <si>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</si>
  <si>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</si>
  <si>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</si>
  <si>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</si>
  <si>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</si>
  <si>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</si>
  <si>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</si>
  <si>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</si>
  <si>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</si>
  <si>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</si>
  <si>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</si>
  <si>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</si>
  <si>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</si>
  <si>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</si>
  <si>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</si>
  <si>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</si>
  <si>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</si>
  <si>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</si>
  <si>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</si>
  <si>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</si>
  <si>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</si>
  <si>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</si>
  <si>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</si>
  <si>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</si>
  <si>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</si>
  <si>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</si>
  <si>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</si>
  <si>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</si>
  <si>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</si>
  <si>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</si>
  <si>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</si>
  <si>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</si>
  <si>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</si>
  <si>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</si>
  <si>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</si>
  <si>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</si>
  <si>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</si>
  <si>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</si>
  <si>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</si>
  <si>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</si>
  <si>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</si>
  <si>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</si>
  <si>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</si>
  <si>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</si>
  <si>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</si>
  <si>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</si>
  <si>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</si>
  <si>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</si>
  <si>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</si>
  <si>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</si>
  <si>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</si>
  <si>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</si>
  <si>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</si>
  <si>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</si>
  <si>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</si>
  <si>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</si>
  <si>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</si>
  <si>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</si>
  <si>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</si>
  <si>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</si>
  <si>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</si>
  <si>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</si>
  <si>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</si>
  <si>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</si>
  <si>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</si>
  <si>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</si>
  <si>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</si>
  <si>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</si>
  <si>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</si>
  <si>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</si>
  <si>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</si>
  <si>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</si>
  <si>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</si>
  <si>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</si>
  <si>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</si>
  <si>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</si>
  <si>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</si>
  <si>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</si>
  <si>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</si>
  <si>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</si>
  <si>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</si>
  <si>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</si>
  <si>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</si>
  <si>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</si>
  <si>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</si>
  <si>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</si>
  <si>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</si>
  <si>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</si>
  <si>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</si>
  <si>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</si>
  <si>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</si>
  <si>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</si>
  <si>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</si>
  <si>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</si>
  <si>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</si>
  <si>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</si>
  <si>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</si>
  <si>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</si>
  <si>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</si>
  <si>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</si>
  <si>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</si>
  <si>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</si>
  <si>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</si>
  <si>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</si>
  <si>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</si>
  <si>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</si>
  <si>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</si>
  <si>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</si>
  <si>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</si>
  <si>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</si>
  <si>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</si>
  <si>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</si>
  <si>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</si>
  <si>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</si>
  <si>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</si>
  <si>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</si>
  <si>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</si>
  <si>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</si>
  <si>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</si>
  <si>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</si>
  <si>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</si>
  <si>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</si>
  <si>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</si>
  <si>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</si>
  <si>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</si>
  <si>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</si>
  <si>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</si>
  <si>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</si>
  <si>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</si>
  <si>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</si>
  <si>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</si>
  <si>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</si>
  <si>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</si>
  <si>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</si>
  <si>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</si>
  <si>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</si>
  <si>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</si>
  <si>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</si>
  <si>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</si>
  <si>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</si>
  <si>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</si>
  <si>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</si>
  <si>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</si>
  <si>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</si>
  <si>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</si>
  <si>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</si>
  <si>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</si>
  <si>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</si>
  <si>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</si>
  <si>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</si>
  <si>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</si>
  <si>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</si>
  <si>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</si>
  <si>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</si>
  <si>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</si>
  <si>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</si>
  <si>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</si>
  <si>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</si>
  <si>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</si>
  <si>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</si>
  <si>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</si>
  <si>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</si>
  <si>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</si>
  <si>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</si>
  <si>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</si>
  <si>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</si>
  <si>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</si>
  <si>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</si>
  <si>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</si>
  <si>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</si>
  <si>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</si>
  <si>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</si>
  <si>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</si>
  <si>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</si>
  <si>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</si>
  <si>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</si>
  <si>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</si>
  <si>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</si>
  <si>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</si>
  <si>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</si>
  <si>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</si>
  <si>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</si>
  <si>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</si>
  <si>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</si>
  <si>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</si>
  <si>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</si>
  <si>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</si>
  <si>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</si>
  <si>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</si>
  <si>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</si>
  <si>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</si>
  <si>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</si>
  <si>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</si>
  <si>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</si>
  <si>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</si>
  <si>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</si>
  <si>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</si>
  <si>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</si>
  <si>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</si>
  <si>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</si>
  <si>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</si>
  <si>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</si>
  <si>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</si>
  <si>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</si>
  <si>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</si>
  <si>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</si>
  <si>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</si>
  <si>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</si>
  <si>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</si>
  <si>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</si>
  <si>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</si>
  <si>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</si>
  <si>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</si>
  <si>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</si>
  <si>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</si>
  <si>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</si>
  <si>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</si>
  <si>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</si>
  <si>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</si>
  <si>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</si>
  <si>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</si>
  <si>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</si>
  <si>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</si>
  <si>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</si>
  <si>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</si>
  <si>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</si>
  <si>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</si>
  <si>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</si>
  <si>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</si>
  <si>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</si>
  <si>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</si>
  <si>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</si>
  <si>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</si>
  <si>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</si>
  <si>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</si>
  <si>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</si>
  <si>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</si>
  <si>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</si>
  <si>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</si>
  <si>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</si>
  <si>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</si>
  <si>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</si>
  <si>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</si>
  <si>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</si>
  <si>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</si>
  <si>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</si>
  <si>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</si>
  <si>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</si>
  <si>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</si>
  <si>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</si>
  <si>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</si>
  <si>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</si>
  <si>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</si>
  <si>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</si>
  <si>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</si>
  <si>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</si>
  <si>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</si>
  <si>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</si>
  <si>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</si>
  <si>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</si>
  <si>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</si>
  <si>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</si>
  <si>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</si>
  <si>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</si>
  <si>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</si>
  <si>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</si>
  <si>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</si>
  <si>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</si>
  <si>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</si>
  <si>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</si>
  <si>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</si>
  <si>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</si>
  <si>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</si>
  <si>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</si>
  <si>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</si>
  <si>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</si>
  <si>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</si>
  <si>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</si>
  <si>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</si>
  <si>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</si>
  <si>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</si>
  <si>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</si>
  <si>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</si>
  <si>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</si>
  <si>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</si>
  <si>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</si>
  <si>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</si>
  <si>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</si>
  <si>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</si>
  <si>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</si>
  <si>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</si>
  <si>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</si>
  <si>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</si>
  <si>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</si>
  <si>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</si>
  <si>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</si>
  <si>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</si>
  <si>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</si>
  <si>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</si>
  <si>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</si>
  <si>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</si>
  <si>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</si>
  <si>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</si>
  <si>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</si>
  <si>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</si>
  <si>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</si>
  <si>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</si>
  <si>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</si>
  <si>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</si>
  <si>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</si>
  <si>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</si>
  <si>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</si>
  <si>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</si>
  <si>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</si>
  <si>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</si>
  <si>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</si>
  <si>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</si>
  <si>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</si>
  <si>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</si>
  <si>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</si>
  <si>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</si>
  <si>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</si>
  <si>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</si>
  <si>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</si>
  <si>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</si>
  <si>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</si>
  <si>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</si>
  <si>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</si>
  <si>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</si>
  <si>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</si>
  <si>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</si>
  <si>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</si>
  <si>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</si>
  <si>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</si>
  <si>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</si>
  <si>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</si>
  <si>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</si>
  <si>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</si>
  <si>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</si>
  <si>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</si>
  <si>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</si>
  <si>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</si>
  <si>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</si>
  <si>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</si>
  <si>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</si>
  <si>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</si>
  <si>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</si>
  <si>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</si>
  <si>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</si>
  <si>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</si>
  <si>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</si>
  <si>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</si>
  <si>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</si>
  <si>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</si>
  <si>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</si>
  <si>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</si>
  <si>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</si>
  <si>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</si>
  <si>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</si>
  <si>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</si>
  <si>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</si>
  <si>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</si>
  <si>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</si>
  <si>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</si>
  <si>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</si>
  <si>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</si>
  <si>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</si>
  <si>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</si>
  <si>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</si>
  <si>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</si>
  <si>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</si>
  <si>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</si>
  <si>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</si>
  <si>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</si>
  <si>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</si>
  <si>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</si>
  <si>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</si>
  <si>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</si>
  <si>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</si>
  <si>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</si>
  <si>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</si>
  <si>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</si>
  <si>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</si>
  <si>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</si>
  <si>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</si>
  <si>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</si>
  <si>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</si>
  <si>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</si>
  <si>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</si>
  <si>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</si>
  <si>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</si>
  <si>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</si>
  <si>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</si>
  <si>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</si>
  <si>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</si>
  <si>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</si>
  <si>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</si>
  <si>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</si>
  <si>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</si>
  <si>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</si>
  <si>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</si>
  <si>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</si>
  <si>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</si>
  <si>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</si>
  <si>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</si>
  <si>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</si>
  <si>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</si>
  <si>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</si>
  <si>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</si>
  <si>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</si>
  <si>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</si>
  <si>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</si>
  <si>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</si>
  <si>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</si>
  <si>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</si>
  <si>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</si>
  <si>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</si>
  <si>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</si>
  <si>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</si>
  <si>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</si>
  <si>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</si>
  <si>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</si>
  <si>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</si>
  <si>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</si>
  <si>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</si>
  <si>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</si>
  <si>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</si>
  <si>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</si>
  <si>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</si>
  <si>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</si>
  <si>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</si>
  <si>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</si>
  <si>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</si>
  <si>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</si>
  <si>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</si>
  <si>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</si>
  <si>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</si>
  <si>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</si>
  <si>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</si>
  <si>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</si>
  <si>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</si>
  <si>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</si>
  <si>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</si>
  <si>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</si>
  <si>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</si>
  <si>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</si>
  <si>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</si>
  <si>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</si>
  <si>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</si>
  <si>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</si>
  <si>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</si>
  <si>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</si>
  <si>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</si>
  <si>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</si>
  <si>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</si>
  <si>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</si>
  <si>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</si>
  <si>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</si>
  <si>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</si>
  <si>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</si>
  <si>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</si>
  <si>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</si>
  <si>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</si>
  <si>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</si>
  <si>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</si>
  <si>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</si>
  <si>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</si>
  <si>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</si>
  <si>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</si>
  <si>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</si>
  <si>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</si>
  <si>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</si>
  <si>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</si>
  <si>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</si>
  <si>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</si>
  <si>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</si>
  <si>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</si>
  <si>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</si>
  <si>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</si>
  <si>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</si>
  <si>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</si>
  <si>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</si>
  <si>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</si>
  <si>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</si>
  <si>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</si>
  <si>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</si>
  <si>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</si>
  <si>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</si>
  <si>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</si>
  <si>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</si>
  <si>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</si>
  <si>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</si>
  <si>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</si>
  <si>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</si>
  <si>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</si>
  <si>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</si>
  <si>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</si>
  <si>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</si>
  <si>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</si>
  <si>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</si>
  <si>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</si>
  <si>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</si>
  <si>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</si>
  <si>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</si>
  <si>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</si>
  <si>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</si>
  <si>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</si>
  <si>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</si>
  <si>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</si>
  <si>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</si>
  <si>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</si>
  <si>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</si>
  <si>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</si>
  <si>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</si>
  <si>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</si>
  <si>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</si>
  <si>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</si>
  <si>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</si>
  <si>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</si>
  <si>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</si>
  <si>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</si>
  <si>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</si>
  <si>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</si>
  <si>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</si>
  <si>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</si>
  <si>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</si>
  <si>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</si>
  <si>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</si>
  <si>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</si>
  <si>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</si>
  <si>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</si>
  <si>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</si>
  <si>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</si>
  <si>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</si>
  <si>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</si>
  <si>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</si>
  <si>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</si>
  <si>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</si>
  <si>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</si>
  <si>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</si>
  <si>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</si>
  <si>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</si>
  <si>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</si>
  <si>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</si>
  <si>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</si>
  <si>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</si>
  <si>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</si>
  <si>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</si>
  <si>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</si>
  <si>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</si>
  <si>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</si>
  <si>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</si>
  <si>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</si>
  <si>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</si>
  <si>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</si>
  <si>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</si>
  <si>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</si>
  <si>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</si>
  <si>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</si>
  <si>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</si>
  <si>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</si>
  <si>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</si>
  <si>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</si>
  <si>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</si>
  <si>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</si>
  <si>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</si>
  <si>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</si>
  <si>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</si>
  <si>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</si>
  <si>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</si>
  <si>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</si>
  <si>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</si>
  <si>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</si>
  <si>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</si>
  <si>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</si>
  <si>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</si>
  <si>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</si>
  <si>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</si>
  <si>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</si>
  <si>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</si>
  <si>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</si>
  <si>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</si>
  <si>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</si>
  <si>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</si>
  <si>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</si>
  <si>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</si>
  <si>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</si>
  <si>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</si>
  <si>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</si>
  <si>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</si>
  <si>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</si>
  <si>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</si>
  <si>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</si>
  <si>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</si>
  <si>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</si>
  <si>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</si>
  <si>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</si>
  <si>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</si>
  <si>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</si>
  <si>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</si>
  <si>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</si>
  <si>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</si>
  <si>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</si>
  <si>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</si>
  <si>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</si>
  <si>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</si>
  <si>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</si>
  <si>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</si>
  <si>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</si>
  <si>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</si>
  <si>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</si>
  <si>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</si>
  <si>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</si>
  <si>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</si>
  <si>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</si>
  <si>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</si>
  <si>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</si>
  <si>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</si>
  <si>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</si>
  <si>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</si>
  <si>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</si>
  <si>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</si>
  <si>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</si>
  <si>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</si>
  <si>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</si>
  <si>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</si>
  <si>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</si>
  <si>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</si>
  <si>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</si>
  <si>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</si>
  <si>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</si>
  <si>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</si>
  <si>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</si>
  <si>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</si>
  <si>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</si>
  <si>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</si>
  <si>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</si>
  <si>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</si>
  <si>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</si>
  <si>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</si>
  <si>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</si>
  <si>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</si>
  <si>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</si>
  <si>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</si>
  <si>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</si>
  <si>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</si>
  <si>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</si>
  <si>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</si>
  <si>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</si>
  <si>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</si>
  <si>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</si>
  <si>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</si>
  <si>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</si>
  <si>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</si>
  <si>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</si>
  <si>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</si>
  <si>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</si>
  <si>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</si>
  <si>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</si>
  <si>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</si>
  <si>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</si>
  <si>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</si>
  <si>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</si>
  <si>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</si>
  <si>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</si>
  <si>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</si>
  <si>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</si>
  <si>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</si>
  <si>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</si>
  <si>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</si>
  <si>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</si>
  <si>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</si>
  <si>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</si>
  <si>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</si>
  <si>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</si>
  <si>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</si>
  <si>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</si>
  <si>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</si>
  <si>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</si>
  <si>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</si>
  <si>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</si>
  <si>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</si>
  <si>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</si>
  <si>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</si>
  <si>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</si>
  <si>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</si>
  <si>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</si>
  <si>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</si>
  <si>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</si>
  <si>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</si>
  <si>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</si>
  <si>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</si>
  <si>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</si>
  <si>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</si>
  <si>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</si>
  <si>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</si>
  <si>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</si>
  <si>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</si>
  <si>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</si>
  <si>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</si>
  <si>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</si>
  <si>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</si>
  <si>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</si>
  <si>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</si>
  <si>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</si>
  <si>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</si>
  <si>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</si>
  <si>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</si>
  <si>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</si>
  <si>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</si>
  <si>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</si>
  <si>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</si>
  <si>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</si>
  <si>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</si>
  <si>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</si>
  <si>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</si>
  <si>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</si>
  <si>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</si>
  <si>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</si>
  <si>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</si>
  <si>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</si>
  <si>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</si>
  <si>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</si>
  <si>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</si>
  <si>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</si>
  <si>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</si>
  <si>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</si>
  <si>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</si>
  <si>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</si>
  <si>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</si>
  <si>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</si>
  <si>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</si>
  <si>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</si>
  <si>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</si>
  <si>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</si>
  <si>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</si>
  <si>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</si>
  <si>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</si>
  <si>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</si>
  <si>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</si>
  <si>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</si>
  <si>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</si>
  <si>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</si>
  <si>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</si>
  <si>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</si>
  <si>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</si>
  <si>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</si>
  <si>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</si>
  <si>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</si>
  <si>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</si>
  <si>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</si>
  <si>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</si>
  <si>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</si>
  <si>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</si>
  <si>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</si>
  <si>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</si>
  <si>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</si>
  <si>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</si>
  <si>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</si>
  <si>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</si>
  <si>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</si>
  <si>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</si>
  <si>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</si>
  <si>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</si>
  <si>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</si>
  <si>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</si>
  <si>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</si>
  <si>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</si>
  <si>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</si>
  <si>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</si>
  <si>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</si>
  <si>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</si>
  <si>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</si>
  <si>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</si>
  <si>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</si>
  <si>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</si>
  <si>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</si>
  <si>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</si>
  <si>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</si>
  <si>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</si>
  <si>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</si>
  <si>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</si>
  <si>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</si>
  <si>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</si>
  <si>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</si>
  <si>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</si>
  <si>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</si>
  <si>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</si>
  <si>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</si>
  <si>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</si>
  <si>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</si>
  <si>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</si>
  <si>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</si>
  <si>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</si>
  <si>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</si>
  <si>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</si>
  <si>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</si>
  <si>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</si>
  <si>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</si>
  <si>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</si>
  <si>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</si>
  <si>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</si>
  <si>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</si>
  <si>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</si>
  <si>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</si>
  <si>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</si>
  <si>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</si>
  <si>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</si>
  <si>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</si>
  <si>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</si>
  <si>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</si>
  <si>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</si>
  <si>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</si>
  <si>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</si>
  <si>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</si>
  <si>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</si>
  <si>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</si>
  <si>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</si>
  <si>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</si>
  <si>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</si>
  <si>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</si>
  <si>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</si>
  <si>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</si>
  <si>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</si>
  <si>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</si>
  <si>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</si>
  <si>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</si>
  <si>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</si>
  <si>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</si>
  <si>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</si>
  <si>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</si>
  <si>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</si>
  <si>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</si>
  <si>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</si>
  <si>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</si>
  <si>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</si>
  <si>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</si>
  <si>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</si>
  <si>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</si>
  <si>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</si>
  <si>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</si>
  <si>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</si>
  <si>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</si>
  <si>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</si>
  <si>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</si>
  <si>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</si>
  <si>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</si>
  <si>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</si>
  <si>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</si>
  <si>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</si>
  <si>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</si>
  <si>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</si>
  <si>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</si>
  <si>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</si>
  <si>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</si>
  <si>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</si>
  <si>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</si>
  <si>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</si>
  <si>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</si>
  <si>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</si>
  <si>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</si>
  <si>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</si>
  <si>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</si>
  <si>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</si>
  <si>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</si>
  <si>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</si>
  <si>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</si>
  <si>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</si>
  <si>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</si>
  <si>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</si>
  <si>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</si>
  <si>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</si>
  <si>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</si>
  <si>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</si>
  <si>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</si>
  <si>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</si>
  <si>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</si>
  <si>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</si>
  <si>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</si>
  <si>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</si>
  <si>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</si>
  <si>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</si>
  <si>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</si>
  <si>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</si>
  <si>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</si>
  <si>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</si>
  <si>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</si>
  <si>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</si>
  <si>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</si>
  <si>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</si>
  <si>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</si>
  <si>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</si>
  <si>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</si>
  <si>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</si>
  <si>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</si>
  <si>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</si>
  <si>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</si>
  <si>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</si>
  <si>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</si>
  <si>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</si>
  <si>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</si>
  <si>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</si>
  <si>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</si>
  <si>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</si>
  <si>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</si>
  <si>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</si>
  <si>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</si>
  <si>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</si>
  <si>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</si>
  <si>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</si>
  <si>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</si>
  <si>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</si>
  <si>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</si>
  <si>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</si>
  <si>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</si>
  <si>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</si>
  <si>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</si>
  <si>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</si>
  <si>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</si>
  <si>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</si>
  <si>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</si>
  <si>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</si>
  <si>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</si>
  <si>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</si>
  <si>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</si>
  <si>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</si>
  <si>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</si>
  <si>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</si>
  <si>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</si>
  <si>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</si>
  <si>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</si>
  <si>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</si>
  <si>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</si>
  <si>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</si>
  <si>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</si>
  <si>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</si>
  <si>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</si>
  <si>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</si>
  <si>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</si>
  <si>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</si>
  <si>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</si>
  <si>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</si>
  <si>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</si>
  <si>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</si>
  <si>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</si>
  <si>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</si>
  <si>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</si>
  <si>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</si>
  <si>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</si>
  <si>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</si>
  <si>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</si>
  <si>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</si>
  <si>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</si>
  <si>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</si>
  <si>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</si>
  <si>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</si>
  <si>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</si>
  <si>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</si>
  <si>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</si>
  <si>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</si>
  <si>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</si>
  <si>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</si>
  <si>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</si>
  <si>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</si>
  <si>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</si>
  <si>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</si>
  <si>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</si>
  <si>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</si>
  <si>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</si>
  <si>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</si>
  <si>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</si>
  <si>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</si>
  <si>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</si>
  <si>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</si>
  <si>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</si>
  <si>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</si>
  <si>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</si>
  <si>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</si>
  <si>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</si>
  <si>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</si>
  <si>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</si>
  <si>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</si>
  <si>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</si>
  <si>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</si>
  <si>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</si>
  <si>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</si>
  <si>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</si>
  <si>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</si>
  <si>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</si>
  <si>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</si>
  <si>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</si>
  <si>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</si>
  <si>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</si>
  <si>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</si>
  <si>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</si>
  <si>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</si>
  <si>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</si>
  <si>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</si>
  <si>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</si>
  <si>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</si>
  <si>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</si>
  <si>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</si>
  <si>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</si>
  <si>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</si>
  <si>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</si>
  <si>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</si>
  <si>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</si>
  <si>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</si>
  <si>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</si>
  <si>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</si>
  <si>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</si>
  <si>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</si>
  <si>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</si>
  <si>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</si>
  <si>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</si>
  <si>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</si>
  <si>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</si>
  <si>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</si>
  <si>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</si>
  <si>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</si>
  <si>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</si>
  <si>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</si>
  <si>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</si>
  <si>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</si>
  <si>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</si>
  <si>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</si>
  <si>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</si>
  <si>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</si>
  <si>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</si>
  <si>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</si>
  <si>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</si>
  <si>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</si>
  <si>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</si>
  <si>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</si>
  <si>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</si>
  <si>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</si>
  <si>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</si>
  <si>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</si>
  <si>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</si>
  <si>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</si>
  <si>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</si>
  <si>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</si>
  <si>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</si>
  <si>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</si>
  <si>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</si>
  <si>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</si>
  <si>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</si>
  <si>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</si>
  <si>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</si>
  <si>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</si>
  <si>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</si>
  <si>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</si>
  <si>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</si>
  <si>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</si>
  <si>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</si>
  <si>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</si>
  <si>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</si>
  <si>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</si>
  <si>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</si>
  <si>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</si>
  <si>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</si>
  <si>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</si>
  <si>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</si>
  <si>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</si>
  <si>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</si>
  <si>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</si>
  <si>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</si>
  <si>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</si>
  <si>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</si>
  <si>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</si>
  <si>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</si>
  <si>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</si>
  <si>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</si>
  <si>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</si>
  <si>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</si>
  <si>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</si>
  <si>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</si>
  <si>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</si>
  <si>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</si>
  <si>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</si>
  <si>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</si>
  <si>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</si>
  <si>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</si>
  <si>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</si>
  <si>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</si>
  <si>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</si>
  <si>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</si>
  <si>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</si>
  <si>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</si>
  <si>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</si>
  <si>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</si>
  <si>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</si>
  <si>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</si>
  <si>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</si>
  <si>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</si>
  <si>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</si>
  <si>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</si>
  <si>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</si>
  <si>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</si>
  <si>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</si>
  <si>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</si>
  <si>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</si>
  <si>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</si>
  <si>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</si>
  <si>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</si>
  <si>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</si>
  <si>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</si>
  <si>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</si>
  <si>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</si>
  <si>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</si>
  <si>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</si>
  <si>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</si>
  <si>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</si>
  <si>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</si>
  <si>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</si>
  <si>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</si>
  <si>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</si>
  <si>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</si>
  <si>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</si>
  <si>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</si>
  <si>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</si>
  <si>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</si>
  <si>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</si>
  <si>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</si>
  <si>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</si>
  <si>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</si>
  <si>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</si>
  <si>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</si>
  <si>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</si>
  <si>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</si>
  <si>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</si>
  <si>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</si>
  <si>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</si>
  <si>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</si>
  <si>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</si>
  <si>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</si>
  <si>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</si>
  <si>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</si>
  <si>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</si>
  <si>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</si>
  <si>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</si>
  <si>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</si>
  <si>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</si>
  <si>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</si>
  <si>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</si>
  <si>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</si>
  <si>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</si>
  <si>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</si>
  <si>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</si>
  <si>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</si>
  <si>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</si>
  <si>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</si>
  <si>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</si>
  <si>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</si>
  <si>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</si>
  <si>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</si>
  <si>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</si>
  <si>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</si>
  <si>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</si>
  <si>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</si>
  <si>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</si>
  <si>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</si>
  <si>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</si>
  <si>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</si>
  <si>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</si>
  <si>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</si>
  <si>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</si>
  <si>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</si>
  <si>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</si>
  <si>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</si>
  <si>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</si>
  <si>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</si>
  <si>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</si>
  <si>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</si>
  <si>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</si>
  <si>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</si>
  <si>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</si>
  <si>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</si>
  <si>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</si>
  <si>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</si>
  <si>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</si>
  <si>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</si>
  <si>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</si>
  <si>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</si>
  <si>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</si>
  <si>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</si>
  <si>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</si>
  <si>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</si>
  <si>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</si>
  <si>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</si>
  <si>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</si>
  <si>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</si>
  <si>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</si>
  <si>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</si>
  <si>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</si>
  <si>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</si>
  <si>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</si>
  <si>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</si>
  <si>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</si>
  <si>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</si>
  <si>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</si>
  <si>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</si>
  <si>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</si>
  <si>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</si>
  <si>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</si>
  <si>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</si>
  <si>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</si>
  <si>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</si>
  <si>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</si>
  <si>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</si>
  <si>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</si>
  <si>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</si>
  <si>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</si>
  <si>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</si>
  <si>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</si>
  <si>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</si>
  <si>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</si>
  <si>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</si>
  <si>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</si>
  <si>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</si>
  <si>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</si>
  <si>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</si>
  <si>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</si>
  <si>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</si>
  <si>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</si>
  <si>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</si>
  <si>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</si>
  <si>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</si>
  <si>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</si>
  <si>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</si>
  <si>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</si>
  <si>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</si>
  <si>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</si>
  <si>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</si>
  <si>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</si>
  <si>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</si>
  <si>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</si>
  <si>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</si>
  <si>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</si>
  <si>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</si>
  <si>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</si>
  <si>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</si>
  <si>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</si>
  <si>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</si>
  <si>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</si>
  <si>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</si>
  <si>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</si>
  <si>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</si>
  <si>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</si>
  <si>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</si>
  <si>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</si>
  <si>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</si>
  <si>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</si>
  <si>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</si>
  <si>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</si>
  <si>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</si>
  <si>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</si>
  <si>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</si>
  <si>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</si>
  <si>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</si>
  <si>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</si>
  <si>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</si>
  <si>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</si>
  <si>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</si>
  <si>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</si>
  <si>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</si>
  <si>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</si>
  <si>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</si>
  <si>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</si>
  <si>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</si>
  <si>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</si>
  <si>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</si>
  <si>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</si>
  <si>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</si>
  <si>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</si>
  <si>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</si>
  <si>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</si>
  <si>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</si>
  <si>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</si>
  <si>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</si>
  <si>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</si>
  <si>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</si>
  <si>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</si>
  <si>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</si>
  <si>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</si>
  <si>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</si>
  <si>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</si>
  <si>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</si>
  <si>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</si>
  <si>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</si>
  <si>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</si>
  <si>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</si>
  <si>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</si>
  <si>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</si>
  <si>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</si>
  <si>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</si>
  <si>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</si>
  <si>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</si>
  <si>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</si>
  <si>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</si>
  <si>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</si>
  <si>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</si>
  <si>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</si>
  <si>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</si>
  <si>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</si>
  <si>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</si>
  <si>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</si>
  <si>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</si>
  <si>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</si>
  <si>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</si>
  <si>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</si>
  <si>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</si>
  <si>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</si>
  <si>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</si>
  <si>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</si>
  <si>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</si>
  <si>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</si>
  <si>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</si>
  <si>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</si>
  <si>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</si>
  <si>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</si>
  <si>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</si>
  <si>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</si>
  <si>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</si>
  <si>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</si>
  <si>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</si>
  <si>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</si>
  <si>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</si>
  <si>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</si>
  <si>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</si>
  <si>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</si>
  <si>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</si>
  <si>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</si>
  <si>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</si>
  <si>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</si>
  <si>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</si>
  <si>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</si>
  <si>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</si>
  <si>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</si>
  <si>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</si>
  <si>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</si>
  <si>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</si>
  <si>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</si>
  <si>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</si>
  <si>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</si>
  <si>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</si>
  <si>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</si>
  <si>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</si>
  <si>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</si>
  <si>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</si>
  <si>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</si>
  <si>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</si>
  <si>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</si>
  <si>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</si>
  <si>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</si>
  <si>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</si>
  <si>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</si>
  <si>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</si>
  <si>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</si>
  <si>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</si>
  <si>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</si>
  <si>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</si>
  <si>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</si>
  <si>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</si>
  <si>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</si>
  <si>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</si>
  <si>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</si>
  <si>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</si>
  <si>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</si>
  <si>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</si>
  <si>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</si>
  <si>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</si>
  <si>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</si>
  <si>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</si>
  <si>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</si>
  <si>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</si>
  <si>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</si>
  <si>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</si>
  <si>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</si>
  <si>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</si>
  <si>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</si>
  <si>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</si>
  <si>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</si>
  <si>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</si>
  <si>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</si>
  <si>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</si>
  <si>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</si>
  <si>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</si>
  <si>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</si>
  <si>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</si>
  <si>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</si>
  <si>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</si>
  <si>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</si>
  <si>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</si>
  <si>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</si>
  <si>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</si>
  <si>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</si>
  <si>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</si>
  <si>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</si>
  <si>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</si>
  <si>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</si>
  <si>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</si>
  <si>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</si>
  <si>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</si>
  <si>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</si>
  <si>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</si>
  <si>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</si>
  <si>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</si>
  <si>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</si>
  <si>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</si>
  <si>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</si>
  <si>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</si>
  <si>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</si>
  <si>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</si>
  <si>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</si>
  <si>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</si>
  <si>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</si>
  <si>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</si>
  <si>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</si>
  <si>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</si>
  <si>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</si>
  <si>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</si>
  <si>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</si>
  <si>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</si>
  <si>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</si>
  <si>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</si>
  <si>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</si>
  <si>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</si>
  <si>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</si>
  <si>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</si>
  <si>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</si>
  <si>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</si>
  <si>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</si>
  <si>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</si>
  <si>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</si>
  <si>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</si>
  <si>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</si>
  <si>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</si>
  <si>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</si>
  <si>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</si>
  <si>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</si>
  <si>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</si>
  <si>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</si>
  <si>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</si>
  <si>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</si>
  <si>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</si>
  <si>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</si>
  <si>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</si>
  <si>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</si>
  <si>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</si>
  <si>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</si>
  <si>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</si>
  <si>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</si>
  <si>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</si>
  <si>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</si>
  <si>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</si>
  <si>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</si>
  <si>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</si>
  <si>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</si>
  <si>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</si>
  <si>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</si>
  <si>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</si>
  <si>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</si>
  <si>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</si>
  <si>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</si>
  <si>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</si>
  <si>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</si>
  <si>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</si>
  <si>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</si>
  <si>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</si>
  <si>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</si>
  <si>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</si>
  <si>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</si>
  <si>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</si>
  <si>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</si>
  <si>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</si>
  <si>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</si>
  <si>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</si>
  <si>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</si>
  <si>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</si>
  <si>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</si>
  <si>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</si>
  <si>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</si>
  <si>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</si>
  <si>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</si>
  <si>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</si>
  <si>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</si>
  <si>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</si>
  <si>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</si>
  <si>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</si>
  <si>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</si>
  <si>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</si>
  <si>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</si>
  <si>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</si>
  <si>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</si>
  <si>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</si>
  <si>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</si>
  <si>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</si>
  <si>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</si>
  <si>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</si>
  <si>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</si>
  <si>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</si>
  <si>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</si>
  <si>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</si>
  <si>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</si>
  <si>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</si>
  <si>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</si>
  <si>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</si>
  <si>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</si>
  <si>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</si>
  <si>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</si>
  <si>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</si>
  <si>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</si>
  <si>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</si>
  <si>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</si>
  <si>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</si>
  <si>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</si>
  <si>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</si>
  <si>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</si>
  <si>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</si>
  <si>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</si>
  <si>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</si>
  <si>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</si>
  <si>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</si>
  <si>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</si>
  <si>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</si>
  <si>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</si>
  <si>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</si>
  <si>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</si>
  <si>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</si>
  <si>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</si>
  <si>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</si>
  <si>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</si>
  <si>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</si>
  <si>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</si>
  <si>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</si>
  <si>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</si>
  <si>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</si>
  <si>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</si>
  <si>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</si>
  <si>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</si>
  <si>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</si>
  <si>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</si>
  <si>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</si>
  <si>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</si>
  <si>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</si>
  <si>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</si>
  <si>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</si>
  <si>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</si>
  <si>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</si>
  <si>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</si>
  <si>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</si>
  <si>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</si>
  <si>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</si>
  <si>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</si>
  <si>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</si>
  <si>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</si>
  <si>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</si>
  <si>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</si>
  <si>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</si>
  <si>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</si>
  <si>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</si>
  <si>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</si>
  <si>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</si>
  <si>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</si>
  <si>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</si>
  <si>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</si>
  <si>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</si>
  <si>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</si>
  <si>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</si>
  <si>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</si>
  <si>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</si>
  <si>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</si>
  <si>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</si>
  <si>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</si>
  <si>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</si>
  <si>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</si>
  <si>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</si>
  <si>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</si>
  <si>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</si>
  <si>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</si>
  <si>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</si>
  <si>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</si>
  <si>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</si>
  <si>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</si>
  <si>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</si>
  <si>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</si>
  <si>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</si>
  <si>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</si>
  <si>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</si>
  <si>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</si>
  <si>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</si>
  <si>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</si>
  <si>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</si>
  <si>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</si>
  <si>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</si>
  <si>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</si>
  <si>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</si>
  <si>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</si>
  <si>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</si>
  <si>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</si>
  <si>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</si>
  <si>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</si>
  <si>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</si>
  <si>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</si>
  <si>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</si>
  <si>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</si>
  <si>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</si>
  <si>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</si>
  <si>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</si>
  <si>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</si>
  <si>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</si>
  <si>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</si>
  <si>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</si>
  <si>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</si>
  <si>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</si>
  <si>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</si>
  <si>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</si>
  <si>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</si>
  <si>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</si>
  <si>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</si>
  <si>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</si>
  <si>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</si>
  <si>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</si>
  <si>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</si>
  <si>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</si>
  <si>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</si>
  <si>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</si>
  <si>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</si>
  <si>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</si>
  <si>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</si>
  <si>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</si>
  <si>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</si>
  <si>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</si>
  <si>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</si>
  <si>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</si>
  <si>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</si>
  <si>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</si>
  <si>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</si>
  <si>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</si>
  <si>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</si>
  <si>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</si>
  <si>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</si>
  <si>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</si>
  <si>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</si>
  <si>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</si>
  <si>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</si>
  <si>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</si>
  <si>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</si>
  <si>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</si>
  <si>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</si>
  <si>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</si>
  <si>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</si>
  <si>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</si>
  <si>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</si>
  <si>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</si>
  <si>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</si>
  <si>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</si>
  <si>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</si>
  <si>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</si>
  <si>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</si>
  <si>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</si>
  <si>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</si>
  <si>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</si>
  <si>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</si>
  <si>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</si>
  <si>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</si>
  <si>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</si>
  <si>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</si>
  <si>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</si>
  <si>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</si>
  <si>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</si>
  <si>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</si>
  <si>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</si>
  <si>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</si>
  <si>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</si>
  <si>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</si>
  <si>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</si>
  <si>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</si>
  <si>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</si>
  <si>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</si>
  <si>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</si>
  <si>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</si>
  <si>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</si>
  <si>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</si>
  <si>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</si>
  <si>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</si>
  <si>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</si>
  <si>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</si>
  <si>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</si>
  <si>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</si>
  <si>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</si>
  <si>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</si>
  <si>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</si>
  <si>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</si>
  <si>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</si>
  <si>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</si>
  <si>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</si>
  <si>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</si>
  <si>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</si>
  <si>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</si>
  <si>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</si>
  <si>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</si>
  <si>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</si>
  <si>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</si>
  <si>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</si>
  <si>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</si>
  <si>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</si>
  <si>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</si>
  <si>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</si>
  <si>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</si>
  <si>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</si>
  <si>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</si>
  <si>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</si>
  <si>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</si>
  <si>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</si>
  <si>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</si>
  <si>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</si>
  <si>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</si>
  <si>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</si>
  <si>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</si>
  <si>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</si>
  <si>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</si>
  <si>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</si>
  <si>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</si>
  <si>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</si>
  <si>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</si>
  <si>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</si>
  <si>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</si>
  <si>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</si>
  <si>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</si>
  <si>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</si>
  <si>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</si>
  <si>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</si>
  <si>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</si>
  <si>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</si>
  <si>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</si>
  <si>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</si>
  <si>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</si>
  <si>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</si>
  <si>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</si>
  <si>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</si>
  <si>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</si>
  <si>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</si>
  <si>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</si>
  <si>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</si>
  <si>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</si>
  <si>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</si>
  <si>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</si>
  <si>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</si>
  <si>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</si>
  <si>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</si>
  <si>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</si>
  <si>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</si>
  <si>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</si>
  <si>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</si>
  <si>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</si>
  <si>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</si>
  <si>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</si>
  <si>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</si>
  <si>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</si>
  <si>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</si>
  <si>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</si>
  <si>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</si>
  <si>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</si>
  <si>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</si>
  <si>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</si>
  <si>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</si>
  <si>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</si>
  <si>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</si>
  <si>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</si>
  <si>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</si>
  <si>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</si>
  <si>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</si>
  <si>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</si>
  <si>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</si>
  <si>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</si>
  <si>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</si>
  <si>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</si>
  <si>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</si>
  <si>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</si>
  <si>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</si>
  <si>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</si>
  <si>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</si>
  <si>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</si>
  <si>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</si>
  <si>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</si>
  <si>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</si>
  <si>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</si>
  <si>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</si>
  <si>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</si>
  <si>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</si>
  <si>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</si>
  <si>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</si>
  <si>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</si>
  <si>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</si>
  <si>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</si>
  <si>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</si>
  <si>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</si>
  <si>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</si>
  <si>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</si>
  <si>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</si>
  <si>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</si>
  <si>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</si>
  <si>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</si>
  <si>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</si>
  <si>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</si>
  <si>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</si>
  <si>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</si>
  <si>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</si>
  <si>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</si>
  <si>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</si>
  <si>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</si>
  <si>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</si>
  <si>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</si>
  <si>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</si>
  <si>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</si>
  <si>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</si>
  <si>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</si>
  <si>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</si>
  <si>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</si>
  <si>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</si>
  <si>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</si>
  <si>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</si>
  <si>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</si>
  <si>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</si>
  <si>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</si>
  <si>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</si>
  <si>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</si>
  <si>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</si>
  <si>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</si>
  <si>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</si>
  <si>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</si>
  <si>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</si>
  <si>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</si>
  <si>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</si>
  <si>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</si>
  <si>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</si>
  <si>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</si>
  <si>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</si>
  <si>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</si>
  <si>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</si>
  <si>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</si>
  <si>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</si>
  <si>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</si>
  <si>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</si>
  <si>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</si>
  <si>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</si>
  <si>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</si>
  <si>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</si>
  <si>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</si>
  <si>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</si>
  <si>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</si>
  <si>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</si>
  <si>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</si>
  <si>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</si>
  <si>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</si>
  <si>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</si>
  <si>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</si>
  <si>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</si>
  <si>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</si>
  <si>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</si>
  <si>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</si>
  <si>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</si>
  <si>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</si>
  <si>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</si>
  <si>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</si>
  <si>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</si>
  <si>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</si>
  <si>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</si>
  <si>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</si>
  <si>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</si>
  <si>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</si>
  <si>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</si>
  <si>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</si>
  <si>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</si>
  <si>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</si>
  <si>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</si>
  <si>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</si>
  <si>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</si>
  <si>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</si>
  <si>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</si>
  <si>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</si>
  <si>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</si>
  <si>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</si>
  <si>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</si>
  <si>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</si>
  <si>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</si>
  <si>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</si>
  <si>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</si>
  <si>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</si>
  <si>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</si>
  <si>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</si>
  <si>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</si>
  <si>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</si>
  <si>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</si>
  <si>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</si>
  <si>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</si>
  <si>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</si>
  <si>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</si>
  <si>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</si>
  <si>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</si>
  <si>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</si>
  <si>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</si>
  <si>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</si>
  <si>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</si>
  <si>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</si>
  <si>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</si>
  <si>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</si>
  <si>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</si>
  <si>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</si>
  <si>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</si>
  <si>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</si>
  <si>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</si>
  <si>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</si>
  <si>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</si>
  <si>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</si>
  <si>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</si>
  <si>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</si>
  <si>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</si>
  <si>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</si>
  <si>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</si>
  <si>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</si>
  <si>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</si>
  <si>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</si>
  <si>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</si>
  <si>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</si>
  <si>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</si>
  <si>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</si>
  <si>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</si>
  <si>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</si>
  <si>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</si>
  <si>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</si>
  <si>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</si>
  <si>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</si>
  <si>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</si>
  <si>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</si>
  <si>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</si>
  <si>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</si>
  <si>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</si>
  <si>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</si>
  <si>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</si>
  <si>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</si>
  <si>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</si>
  <si>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</si>
  <si>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</si>
  <si>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</si>
  <si>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</si>
  <si>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</si>
  <si>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</si>
  <si>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</si>
  <si>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</si>
  <si>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</si>
  <si>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</si>
  <si>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</si>
  <si>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</si>
  <si>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</si>
  <si>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</si>
  <si>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</si>
  <si>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</si>
  <si>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</si>
  <si>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</si>
  <si>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</si>
  <si>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</si>
  <si>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</si>
  <si>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</si>
  <si>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</si>
  <si>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</si>
  <si>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</si>
  <si>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</si>
  <si>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</si>
  <si>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</si>
  <si>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</si>
  <si>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</si>
  <si>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</si>
  <si>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</si>
  <si>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</si>
  <si>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</si>
  <si>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</si>
  <si>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</si>
  <si>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</si>
  <si>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</si>
  <si>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</si>
  <si>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</si>
  <si>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</si>
  <si>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</si>
  <si>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</si>
  <si>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</si>
  <si>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</si>
  <si>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</si>
  <si>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</si>
  <si>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</si>
  <si>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</si>
  <si>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</si>
  <si>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</si>
  <si>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</si>
  <si>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</si>
  <si>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</si>
  <si>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</si>
  <si>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</si>
  <si>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</si>
  <si>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</si>
  <si>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</si>
  <si>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</si>
  <si>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</si>
  <si>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</si>
  <si>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</si>
  <si>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</si>
  <si>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</si>
  <si>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</si>
  <si>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</si>
  <si>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</si>
  <si>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</si>
  <si>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</si>
  <si>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</si>
  <si>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</si>
  <si>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</si>
  <si>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</si>
  <si>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</si>
  <si>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</si>
  <si>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</si>
  <si>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</si>
  <si>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</si>
  <si>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</si>
  <si>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</si>
  <si>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</si>
  <si>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</si>
  <si>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</si>
  <si>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</si>
  <si>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</si>
  <si>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</si>
  <si>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</si>
  <si>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</si>
  <si>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</si>
  <si>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</si>
  <si>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</si>
  <si>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</si>
  <si>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</si>
  <si>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</si>
  <si>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</si>
  <si>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</si>
  <si>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</si>
  <si>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</si>
  <si>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</si>
  <si>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</si>
  <si>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</si>
  <si>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</si>
  <si>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</si>
  <si>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</si>
  <si>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</si>
  <si>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</si>
  <si>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</si>
  <si>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</si>
  <si>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</si>
  <si>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</si>
  <si>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</si>
  <si>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</si>
  <si>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</si>
  <si>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</si>
  <si>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</si>
  <si>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</si>
  <si>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</si>
  <si>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</si>
  <si>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</si>
  <si>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</si>
  <si>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</si>
  <si>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</si>
  <si>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</si>
  <si>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</si>
  <si>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</si>
  <si>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</si>
  <si>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</si>
  <si>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</si>
  <si>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</si>
  <si>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</si>
  <si>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</si>
  <si>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</si>
  <si>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</si>
  <si>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</si>
  <si>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</si>
  <si>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</si>
  <si>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</si>
  <si>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</si>
  <si>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</si>
  <si>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</si>
  <si>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</si>
  <si>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</si>
  <si>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</si>
  <si>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</si>
  <si>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</si>
  <si>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</si>
  <si>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</si>
  <si>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</si>
  <si>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</si>
  <si>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</si>
  <si>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</si>
  <si>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</si>
  <si>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</si>
  <si>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</si>
  <si>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</si>
  <si>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</si>
  <si>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</si>
  <si>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</si>
  <si>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</si>
  <si>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</si>
  <si>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</si>
  <si>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</si>
  <si>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</si>
  <si>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</si>
  <si>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</si>
  <si>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</si>
  <si>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</si>
  <si>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</si>
  <si>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</si>
  <si>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</si>
  <si>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</si>
  <si>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</si>
  <si>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</si>
  <si>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</si>
  <si>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</si>
  <si>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</si>
  <si>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</si>
  <si>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</si>
  <si>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</si>
  <si>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</si>
  <si>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</si>
  <si>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</si>
  <si>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</si>
  <si>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</si>
  <si>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</si>
  <si>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</si>
  <si>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</si>
  <si>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</si>
  <si>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</si>
  <si>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</si>
  <si>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</si>
  <si>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</si>
  <si>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</si>
  <si>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</si>
  <si>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</si>
  <si>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</si>
  <si>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</si>
  <si>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</si>
  <si>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</si>
  <si>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</si>
  <si>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</si>
  <si>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</si>
  <si>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</si>
  <si>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</si>
  <si>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</si>
  <si>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</si>
  <si>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</si>
  <si>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</si>
  <si>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</si>
  <si>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</si>
  <si>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</si>
  <si>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</si>
  <si>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</si>
  <si>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</si>
  <si>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</si>
  <si>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</si>
  <si>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</si>
  <si>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</si>
  <si>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</si>
  <si>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</si>
  <si>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</si>
  <si>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</si>
  <si>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</si>
  <si>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</si>
  <si>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</si>
  <si>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</si>
  <si>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</si>
  <si>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</si>
  <si>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</si>
  <si>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</si>
  <si>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</si>
  <si>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</si>
  <si>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</si>
  <si>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</si>
  <si>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</si>
  <si>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</si>
  <si>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</si>
  <si>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</si>
  <si>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</si>
  <si>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</si>
  <si>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</si>
  <si>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</si>
  <si>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</si>
  <si>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</si>
  <si>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</si>
  <si>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</si>
  <si>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</si>
  <si>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</si>
  <si>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</si>
  <si>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</si>
  <si>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</si>
  <si>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</si>
  <si>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</si>
  <si>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</si>
  <si>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</si>
  <si>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</si>
  <si>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</si>
  <si>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</si>
  <si>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</si>
  <si>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</si>
  <si>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</si>
  <si>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</si>
  <si>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</si>
  <si>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</si>
  <si>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</si>
  <si>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</si>
  <si>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</si>
  <si>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</si>
  <si>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</si>
  <si>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</si>
  <si>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</si>
  <si>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</si>
  <si>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</si>
  <si>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</si>
  <si>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</si>
  <si>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</si>
  <si>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</si>
  <si>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</si>
  <si>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</si>
  <si>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</si>
  <si>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</si>
  <si>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</si>
  <si>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</si>
  <si>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</si>
  <si>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</si>
  <si>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</si>
  <si>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</si>
  <si>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</si>
  <si>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</si>
  <si>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</si>
  <si>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</si>
  <si>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</si>
  <si>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</si>
  <si>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</si>
  <si>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</si>
  <si>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</si>
  <si>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</si>
  <si>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</si>
  <si>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</si>
  <si>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</si>
  <si>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</si>
  <si>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</si>
  <si>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</si>
  <si>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</si>
  <si>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</si>
  <si>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</si>
  <si>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</si>
  <si>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</si>
  <si>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</si>
  <si>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</si>
  <si>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</si>
  <si>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</si>
  <si>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</si>
  <si>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</si>
  <si>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</si>
  <si>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</si>
  <si>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</si>
  <si>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</si>
  <si>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</si>
  <si>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</si>
  <si>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</si>
  <si>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</si>
  <si>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</si>
  <si>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</si>
  <si>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</si>
  <si>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</si>
  <si>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</si>
  <si>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</si>
  <si>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</si>
  <si>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</si>
  <si>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</si>
  <si>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</si>
  <si>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</si>
  <si>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</si>
  <si>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</si>
  <si>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</si>
  <si>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</si>
  <si>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</si>
  <si>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</si>
  <si>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</si>
  <si>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</si>
  <si>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</si>
  <si>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</si>
  <si>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</si>
  <si>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</si>
  <si>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</si>
  <si>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</si>
  <si>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</si>
  <si>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</si>
  <si>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</si>
  <si>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</si>
  <si>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</si>
  <si>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</si>
  <si>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</si>
  <si>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</si>
  <si>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</si>
  <si>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</si>
  <si>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</si>
  <si>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</si>
  <si>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</si>
  <si>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</si>
  <si>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</si>
  <si>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</si>
  <si>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</si>
  <si>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</si>
  <si>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</si>
  <si>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</si>
  <si>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</si>
  <si>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</si>
  <si>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</si>
  <si>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</si>
  <si>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</si>
  <si>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</si>
  <si>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</si>
  <si>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</si>
  <si>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</si>
  <si>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</si>
  <si>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</si>
  <si>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</si>
  <si>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</si>
  <si>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</si>
  <si>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</si>
  <si>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</si>
  <si>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</si>
  <si>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</si>
  <si>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</si>
  <si>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</si>
  <si>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</si>
  <si>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</si>
  <si>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</si>
  <si>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</si>
  <si>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</si>
  <si>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</si>
  <si>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</si>
  <si>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</si>
  <si>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</si>
  <si>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</si>
  <si>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</si>
  <si>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</si>
  <si>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</si>
  <si>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</si>
  <si>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</si>
  <si>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</si>
  <si>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</si>
  <si>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</si>
  <si>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</si>
  <si>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</si>
  <si>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</si>
  <si>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</si>
  <si>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</si>
  <si>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</si>
  <si>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</si>
  <si>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</si>
  <si>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</si>
  <si>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</si>
  <si>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</si>
  <si>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</si>
  <si>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</si>
  <si>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</si>
  <si>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</si>
  <si>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</si>
  <si>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</si>
  <si>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</si>
  <si>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</si>
  <si>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</si>
  <si>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</si>
  <si>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</si>
  <si>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</si>
  <si>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</si>
  <si>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</si>
  <si>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</si>
  <si>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</si>
  <si>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</si>
  <si>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</si>
  <si>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</si>
  <si>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</si>
  <si>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</si>
  <si>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</si>
  <si>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</si>
  <si>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</si>
  <si>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</si>
  <si>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</si>
  <si>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</si>
  <si>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</si>
  <si>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</si>
  <si>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</si>
  <si>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</si>
  <si>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</si>
  <si>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</si>
  <si>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</si>
  <si>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</si>
  <si>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</si>
  <si>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</si>
  <si>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</si>
  <si>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</si>
  <si>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</si>
  <si>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</si>
  <si>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</si>
  <si>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</si>
  <si>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</si>
  <si>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</si>
  <si>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</si>
  <si>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</si>
  <si>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</si>
  <si>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</si>
  <si>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</si>
  <si>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</si>
  <si>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</si>
  <si>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</si>
  <si>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</si>
  <si>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</si>
  <si>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</si>
  <si>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</si>
  <si>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</si>
  <si>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</si>
  <si>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</si>
  <si>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</si>
  <si>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</si>
  <si>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</si>
  <si>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</si>
  <si>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</si>
  <si>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</si>
  <si>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</si>
  <si>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</si>
  <si>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</si>
  <si>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</si>
  <si>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</si>
  <si>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</si>
  <si>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</si>
  <si>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</si>
  <si>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</si>
  <si>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</si>
  <si>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</si>
  <si>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</si>
  <si>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</si>
  <si>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</si>
  <si>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</si>
  <si>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</si>
  <si>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</si>
  <si>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</si>
  <si>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</si>
  <si>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</si>
  <si>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</si>
  <si>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</si>
  <si>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</si>
  <si>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</si>
  <si>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</si>
  <si>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</si>
  <si>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</si>
  <si>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</si>
  <si>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</si>
  <si>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</si>
  <si>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</si>
  <si>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</si>
  <si>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</si>
  <si>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</si>
  <si>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</si>
  <si>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</si>
  <si>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</si>
  <si>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</si>
  <si>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</si>
  <si>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</si>
  <si>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</si>
  <si>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</si>
  <si>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</si>
  <si>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</si>
  <si>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</si>
  <si>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</si>
  <si>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</si>
  <si>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</si>
  <si>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</si>
  <si>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</si>
  <si>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</si>
  <si>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</si>
  <si>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</si>
  <si>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</si>
  <si>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</si>
  <si>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</si>
  <si>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</si>
  <si>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</si>
  <si>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</si>
  <si>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</si>
  <si>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</si>
  <si>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</si>
  <si>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</si>
  <si>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</si>
  <si>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</si>
  <si>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</si>
  <si>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</si>
  <si>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</si>
  <si>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</si>
  <si>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</si>
  <si>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</si>
  <si>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</si>
  <si>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</si>
  <si>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</si>
  <si>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</si>
  <si>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</si>
  <si>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</si>
  <si>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</si>
  <si>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</si>
  <si>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</si>
  <si>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</si>
  <si>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</si>
  <si>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</si>
  <si>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</si>
  <si>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</si>
  <si>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</si>
  <si>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</si>
  <si>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</si>
  <si>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</si>
  <si>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</si>
  <si>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</si>
  <si>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</si>
  <si>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</si>
  <si>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</si>
  <si>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</si>
  <si>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</si>
  <si>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</si>
  <si>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</si>
  <si>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</si>
  <si>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</si>
  <si>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</si>
  <si>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</si>
  <si>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</si>
  <si>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</si>
  <si>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</si>
  <si>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</si>
  <si>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</si>
  <si>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</si>
  <si>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</si>
  <si>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</si>
  <si>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</si>
  <si>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</si>
  <si>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</si>
  <si>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</si>
  <si>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</si>
  <si>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</si>
  <si>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</si>
  <si>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</si>
  <si>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</si>
  <si>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</si>
  <si>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</si>
  <si>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</si>
  <si>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</si>
  <si>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</si>
  <si>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</si>
  <si>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</si>
  <si>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</si>
  <si>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</si>
  <si>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</si>
  <si>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</si>
  <si>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</si>
  <si>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</si>
  <si>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</si>
  <si>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</si>
  <si>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</si>
  <si>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</si>
  <si>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</si>
  <si>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</si>
  <si>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</si>
  <si>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</si>
  <si>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</si>
  <si>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</si>
  <si>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</si>
  <si>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</si>
  <si>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</si>
  <si>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</si>
  <si>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</si>
  <si>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</si>
  <si>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</si>
  <si>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</si>
  <si>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</si>
  <si>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</si>
  <si>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</si>
  <si>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</si>
  <si>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</si>
  <si>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</si>
  <si>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</si>
  <si>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</si>
  <si>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</si>
  <si>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</si>
  <si>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</si>
  <si>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</si>
  <si>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</si>
  <si>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</si>
  <si>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</si>
  <si>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</si>
  <si>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</si>
  <si>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</si>
  <si>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</si>
  <si>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</si>
  <si>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</si>
  <si>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</si>
  <si>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</si>
  <si>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</si>
  <si>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</si>
  <si>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</si>
  <si>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</si>
  <si>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</si>
  <si>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</si>
  <si>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</si>
  <si>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</si>
  <si>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</si>
  <si>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</si>
  <si>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</si>
  <si>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</si>
  <si>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</si>
  <si>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</si>
  <si>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</si>
  <si>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</si>
  <si>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</si>
  <si>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</si>
  <si>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</si>
  <si>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</si>
  <si>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</si>
  <si>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</si>
  <si>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</si>
  <si>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</si>
  <si>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</si>
  <si>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</si>
  <si>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</si>
  <si>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</si>
  <si>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</si>
  <si>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</si>
  <si>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</si>
  <si>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</si>
  <si>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</si>
  <si>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</si>
  <si>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</si>
  <si>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</si>
  <si>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</si>
  <si>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</si>
  <si>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</si>
  <si>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</si>
  <si>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</si>
  <si>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</si>
  <si>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</si>
  <si>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</si>
  <si>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</si>
  <si>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</si>
  <si>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</si>
  <si>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</si>
  <si>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</si>
  <si>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</si>
  <si>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</si>
  <si>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</si>
  <si>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</si>
  <si>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</si>
  <si>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</si>
  <si>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</si>
  <si>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</si>
  <si>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</si>
  <si>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</si>
  <si>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</si>
  <si>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</si>
  <si>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</si>
  <si>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</si>
  <si>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</si>
  <si>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</si>
  <si>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</si>
  <si>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</si>
  <si>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</si>
  <si>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</si>
  <si>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</si>
  <si>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</si>
  <si>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</si>
  <si>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</si>
  <si>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</si>
  <si>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</si>
  <si>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</si>
  <si>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</si>
  <si>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</si>
  <si>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</si>
  <si>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</si>
  <si>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</si>
  <si>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</si>
  <si>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</si>
  <si>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</si>
  <si>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</si>
  <si>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</si>
  <si>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</si>
  <si>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</si>
  <si>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</si>
  <si>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</si>
  <si>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</si>
  <si>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</si>
  <si>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</si>
  <si>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</si>
  <si>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</si>
  <si>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</si>
  <si>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</si>
  <si>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</si>
  <si>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</si>
  <si>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</si>
  <si>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</si>
  <si>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</si>
  <si>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</si>
  <si>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</si>
  <si>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</si>
  <si>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</si>
  <si>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</si>
  <si>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</si>
  <si>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</si>
  <si>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</si>
  <si>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</si>
  <si>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</si>
  <si>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</si>
  <si>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</si>
  <si>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</si>
  <si>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</si>
  <si>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</si>
  <si>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</si>
  <si>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</si>
  <si>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</si>
  <si>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</si>
  <si>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</si>
  <si>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</si>
  <si>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</si>
  <si>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</si>
  <si>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</si>
  <si>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</si>
  <si>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</si>
  <si>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</si>
  <si>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</si>
  <si>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</si>
  <si>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</si>
  <si>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</si>
  <si>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</si>
  <si>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</si>
  <si>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</si>
  <si>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</si>
  <si>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</si>
  <si>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</si>
  <si>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</si>
  <si>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</si>
  <si>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</si>
  <si>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</si>
  <si>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</si>
  <si>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</si>
  <si>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</si>
  <si>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</si>
  <si>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</si>
  <si>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</si>
  <si>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</si>
  <si>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</si>
  <si>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</si>
  <si>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</si>
  <si>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</si>
  <si>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</si>
  <si>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</si>
  <si>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</si>
  <si>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</si>
  <si>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</si>
  <si>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</si>
  <si>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</si>
  <si>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</si>
  <si>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</si>
  <si>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</si>
  <si>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</si>
  <si>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</si>
  <si>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</si>
  <si>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</si>
  <si>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</si>
  <si>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</si>
  <si>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</si>
  <si>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</si>
  <si>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</si>
  <si>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</si>
  <si>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</si>
  <si>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</si>
  <si>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</si>
  <si>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</si>
  <si>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</si>
  <si>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</si>
  <si>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</si>
  <si>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</si>
  <si>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</si>
  <si>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</si>
  <si>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</si>
  <si>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</si>
  <si>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</si>
  <si>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</si>
  <si>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</si>
  <si>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</si>
  <si>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</si>
  <si>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</si>
  <si>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</si>
  <si>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</si>
  <si>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</si>
  <si>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</si>
  <si>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</si>
  <si>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</si>
  <si>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</si>
  <si>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</si>
  <si>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</si>
  <si>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</si>
  <si>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</si>
  <si>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</si>
  <si>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</si>
  <si>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</si>
  <si>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</si>
  <si>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</si>
  <si>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</si>
  <si>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</si>
  <si>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</si>
  <si>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</si>
  <si>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</si>
  <si>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</si>
  <si>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</si>
  <si>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</si>
  <si>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</si>
  <si>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</si>
  <si>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</si>
  <si>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</si>
  <si>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</si>
  <si>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</si>
  <si>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</si>
  <si>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</si>
  <si>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</si>
  <si>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</si>
  <si>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</si>
  <si>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</si>
  <si>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</si>
  <si>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</si>
  <si>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</si>
  <si>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</si>
  <si>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</si>
  <si>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</si>
  <si>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</si>
  <si>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</si>
  <si>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</si>
  <si>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</si>
  <si>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</si>
  <si>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</si>
  <si>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</si>
  <si>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</si>
  <si>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</si>
  <si>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</si>
  <si>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</si>
  <si>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</si>
  <si>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</si>
  <si>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</si>
  <si>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</si>
  <si>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</si>
  <si>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</si>
  <si>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</si>
  <si>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</si>
  <si>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</si>
  <si>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</si>
  <si>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</si>
  <si>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</si>
  <si>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</si>
  <si>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</si>
  <si>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</si>
  <si>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</si>
  <si>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</si>
  <si>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</si>
  <si>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</si>
  <si>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</si>
  <si>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</si>
  <si>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</si>
  <si>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</si>
  <si>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</si>
  <si>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</si>
  <si>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</si>
  <si>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</si>
  <si>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</si>
  <si>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</si>
  <si>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</si>
  <si>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</si>
  <si>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</si>
  <si>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</si>
  <si>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</si>
  <si>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</si>
  <si>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</si>
  <si>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</si>
  <si>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</si>
  <si>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</si>
  <si>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</si>
  <si>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</si>
  <si>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</si>
  <si>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</si>
  <si>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</si>
  <si>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</si>
  <si>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</si>
  <si>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</si>
  <si>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</si>
  <si>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</si>
  <si>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</si>
  <si>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</si>
  <si>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</si>
  <si>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</si>
  <si>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</si>
  <si>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</si>
  <si>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</si>
  <si>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</si>
  <si>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</si>
  <si>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</si>
  <si>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</si>
  <si>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</si>
  <si>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</si>
  <si>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</si>
  <si>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</si>
  <si>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</si>
  <si>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</si>
  <si>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</si>
  <si>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</si>
  <si>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</si>
  <si>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</si>
  <si>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</si>
  <si>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</si>
  <si>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</si>
  <si>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</si>
  <si>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</si>
  <si>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</si>
  <si>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</si>
  <si>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</si>
  <si>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</si>
  <si>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</si>
  <si>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</si>
  <si>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</si>
  <si>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</si>
  <si>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</si>
  <si>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</si>
  <si>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</si>
  <si>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</si>
  <si>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</si>
  <si>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</si>
  <si>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</si>
  <si>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</si>
  <si>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</si>
  <si>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</si>
  <si>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</si>
  <si>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</si>
  <si>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</si>
  <si>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</si>
  <si>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</si>
  <si>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</si>
  <si>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</si>
  <si>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</si>
  <si>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</si>
  <si>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</si>
  <si>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</si>
  <si>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</si>
  <si>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</si>
  <si>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</si>
  <si>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</si>
  <si>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</si>
  <si>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</si>
  <si>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</si>
  <si>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</si>
  <si>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</si>
  <si>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</si>
  <si>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</si>
  <si>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</si>
  <si>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</si>
  <si>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</si>
  <si>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</si>
  <si>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</si>
  <si>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</si>
  <si>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</si>
  <si>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</si>
  <si>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</si>
  <si>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</si>
  <si>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</si>
  <si>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</si>
  <si>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</si>
  <si>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</si>
  <si>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</si>
  <si>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</si>
  <si>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</si>
  <si>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</si>
  <si>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</si>
  <si>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</si>
  <si>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</si>
  <si>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</si>
  <si>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</si>
  <si>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</si>
  <si>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</si>
  <si>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</si>
  <si>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</si>
  <si>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</si>
  <si>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</si>
  <si>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</si>
  <si>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</si>
  <si>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</si>
  <si>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</si>
  <si>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</si>
  <si>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</si>
  <si>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</si>
  <si>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</si>
  <si>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</si>
  <si>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</si>
  <si>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</si>
  <si>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</si>
  <si>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</si>
  <si>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</si>
  <si>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</si>
  <si>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</si>
  <si>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</si>
  <si>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</si>
  <si>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</si>
  <si>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</si>
  <si>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</si>
  <si>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</si>
  <si>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</si>
  <si>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</si>
  <si>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</si>
  <si>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</si>
  <si>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</si>
  <si>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</si>
  <si>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</si>
  <si>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</si>
  <si>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</si>
  <si>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</si>
  <si>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</si>
  <si>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</si>
  <si>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</si>
  <si>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</si>
  <si>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</si>
  <si>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</si>
  <si>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</si>
  <si>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</si>
  <si>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</si>
  <si>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</si>
  <si>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</si>
  <si>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</si>
  <si>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</si>
  <si>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</si>
  <si>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</si>
  <si>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</si>
  <si>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</si>
  <si>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</si>
  <si>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</si>
  <si>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</si>
  <si>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</si>
  <si>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</si>
  <si>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</si>
  <si>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</si>
  <si>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</si>
  <si>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</si>
  <si>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</si>
  <si>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</si>
  <si>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</si>
  <si>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</si>
  <si>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</si>
  <si>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</si>
  <si>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</si>
  <si>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</si>
  <si>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</si>
  <si>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</si>
  <si>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</si>
  <si>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</si>
  <si>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</si>
  <si>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</si>
  <si>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</si>
  <si>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</si>
  <si>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</si>
  <si>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</si>
  <si>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</si>
  <si>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</si>
  <si>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</si>
  <si>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</si>
  <si>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</si>
  <si>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</si>
  <si>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</si>
  <si>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</si>
  <si>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</si>
  <si>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</si>
  <si>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</si>
  <si>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</si>
  <si>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</si>
  <si>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</si>
  <si>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</si>
  <si>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</si>
  <si>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</si>
  <si>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</si>
  <si>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</si>
  <si>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</si>
  <si>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</si>
  <si>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</si>
  <si>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</si>
  <si>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</si>
  <si>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</si>
  <si>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</si>
  <si>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</si>
  <si>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</si>
  <si>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</si>
  <si>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</si>
  <si>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</si>
  <si>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</si>
  <si>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</si>
  <si>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</si>
  <si>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</si>
  <si>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</si>
  <si>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</si>
  <si>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</si>
  <si>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</si>
  <si>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</si>
  <si>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</si>
  <si>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</si>
  <si>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</si>
  <si>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</si>
  <si>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</si>
  <si>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</si>
  <si>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</si>
  <si>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</si>
  <si>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</si>
  <si>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</si>
  <si>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</si>
  <si>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</si>
  <si>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</si>
  <si>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</si>
  <si>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</si>
  <si>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</si>
  <si>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</si>
  <si>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</si>
  <si>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</si>
  <si>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</si>
  <si>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</si>
  <si>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</si>
  <si>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</si>
  <si>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</si>
  <si>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</si>
  <si>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</si>
  <si>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</si>
  <si>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</si>
  <si>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</si>
  <si>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</si>
  <si>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</si>
  <si>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</si>
  <si>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</si>
  <si>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</si>
  <si>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</si>
  <si>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</si>
  <si>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</si>
  <si>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</si>
  <si>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</si>
  <si>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</si>
  <si>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</si>
  <si>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</si>
  <si>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</si>
  <si>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</si>
  <si>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</si>
  <si>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</si>
  <si>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</si>
  <si>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</si>
  <si>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</si>
  <si>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</si>
  <si>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</si>
  <si>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</si>
  <si>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</si>
  <si>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</si>
  <si>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</si>
  <si>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</si>
  <si>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</si>
  <si>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</si>
  <si>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</si>
  <si>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</si>
  <si>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</si>
  <si>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</si>
  <si>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</si>
  <si>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</si>
  <si>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</si>
  <si>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</si>
  <si>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</si>
  <si>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</si>
  <si>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</si>
  <si>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</si>
  <si>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</si>
  <si>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</si>
  <si>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</si>
  <si>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</si>
  <si>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</si>
  <si>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</si>
  <si>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</si>
  <si>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</si>
  <si>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</si>
  <si>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</si>
  <si>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</si>
  <si>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</si>
  <si>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</si>
  <si>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</si>
  <si>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</si>
  <si>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</si>
  <si>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</si>
  <si>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</si>
  <si>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</si>
  <si>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</si>
  <si>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</si>
  <si>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</si>
  <si>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</si>
  <si>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</si>
  <si>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</si>
  <si>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</si>
  <si>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</si>
  <si>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</si>
  <si>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</si>
  <si>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</si>
  <si>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</si>
  <si>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</si>
  <si>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</si>
  <si>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</si>
  <si>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</si>
  <si>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</si>
  <si>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</si>
  <si>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</si>
  <si>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</si>
  <si>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</si>
  <si>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</si>
  <si>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</si>
  <si>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</si>
  <si>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</si>
  <si>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</si>
  <si>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</si>
  <si>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</si>
  <si>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</si>
  <si>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</si>
  <si>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</si>
  <si>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</si>
  <si>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</si>
  <si>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</si>
  <si>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</si>
  <si>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</si>
  <si>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</si>
  <si>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</si>
  <si>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</si>
  <si>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</si>
  <si>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</si>
  <si>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</si>
  <si>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</si>
  <si>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</si>
  <si>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</si>
  <si>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</si>
  <si>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</si>
  <si>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</si>
  <si>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</si>
  <si>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</si>
  <si>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</si>
  <si>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</si>
  <si>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</si>
  <si>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</si>
  <si>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</si>
  <si>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</si>
  <si>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</si>
  <si>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</si>
  <si>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</si>
  <si>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</si>
  <si>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</si>
  <si>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</si>
  <si>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</si>
  <si>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</si>
  <si>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</si>
  <si>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</si>
  <si>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</si>
  <si>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</si>
  <si>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</si>
  <si>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</si>
  <si>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</si>
  <si>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</si>
  <si>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</si>
  <si>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</si>
  <si>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</si>
  <si>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</si>
  <si>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</si>
  <si>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</si>
  <si>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</si>
  <si>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</si>
  <si>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</si>
  <si>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</si>
  <si>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</si>
  <si>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</si>
  <si>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</si>
  <si>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</si>
  <si>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</si>
  <si>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</si>
  <si>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</si>
  <si>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</si>
  <si>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</si>
  <si>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</si>
  <si>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</si>
  <si>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</si>
  <si>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</si>
  <si>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</si>
  <si>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</si>
  <si>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</si>
  <si>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</si>
  <si>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</si>
  <si>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</si>
  <si>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</si>
  <si>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</si>
  <si>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</si>
  <si>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</si>
  <si>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</si>
  <si>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</si>
  <si>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</si>
  <si>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</si>
  <si>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</si>
  <si>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</si>
  <si>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</si>
  <si>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</si>
  <si>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</si>
  <si>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</si>
  <si>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</si>
  <si>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</si>
  <si>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</si>
  <si>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</si>
  <si>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</si>
  <si>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</si>
  <si>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</si>
  <si>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</si>
  <si>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</si>
  <si>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</si>
  <si>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</si>
  <si>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</si>
  <si>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</si>
  <si>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</si>
  <si>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</si>
  <si>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</si>
  <si>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</si>
  <si>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</si>
  <si>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</si>
  <si>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</si>
  <si>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</si>
  <si>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</si>
  <si>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</si>
  <si>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</si>
  <si>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</si>
  <si>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</si>
  <si>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</si>
  <si>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</si>
  <si>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</si>
  <si>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</si>
  <si>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</si>
  <si>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</si>
  <si>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</si>
  <si>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</si>
  <si>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</si>
  <si>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</si>
  <si>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</si>
  <si>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</si>
  <si>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</si>
  <si>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</si>
  <si>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</si>
  <si>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</si>
  <si>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</si>
  <si>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</si>
  <si>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</si>
  <si>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</si>
  <si>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</si>
  <si>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</si>
  <si>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</si>
  <si>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</si>
  <si>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</si>
  <si>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</si>
  <si>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</si>
  <si>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</si>
  <si>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</si>
  <si>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</si>
  <si>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</si>
  <si>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</si>
  <si>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</si>
  <si>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</si>
  <si>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</si>
  <si>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</si>
  <si>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</si>
  <si>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</si>
  <si>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</si>
  <si>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</si>
  <si>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</si>
  <si>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</si>
  <si>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</si>
  <si>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</si>
  <si>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</si>
  <si>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</si>
  <si>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</si>
  <si>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</si>
  <si>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</si>
  <si>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</si>
  <si>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</si>
  <si>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</si>
  <si>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</si>
  <si>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</si>
  <si>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</si>
  <si>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</si>
  <si>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</si>
  <si>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</si>
  <si>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</si>
  <si>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</si>
  <si>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</si>
  <si>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</si>
  <si>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</si>
  <si>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</si>
  <si>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</si>
  <si>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</si>
  <si>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</si>
  <si>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</si>
  <si>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</si>
  <si>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</si>
  <si>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</si>
  <si>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</si>
  <si>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</si>
  <si>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</si>
  <si>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</si>
  <si>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</si>
  <si>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</si>
  <si>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</si>
  <si>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</si>
  <si>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</si>
  <si>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</si>
  <si>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</si>
  <si>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</si>
  <si>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</si>
  <si>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</si>
  <si>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</si>
  <si>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</si>
  <si>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</si>
  <si>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</si>
  <si>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</si>
  <si>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</si>
  <si>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</si>
  <si>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</si>
  <si>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</si>
  <si>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</si>
  <si>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</si>
  <si>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</si>
  <si>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</si>
  <si>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</si>
  <si>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</si>
  <si>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</si>
  <si>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</si>
  <si>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</si>
  <si>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</si>
  <si>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</si>
  <si>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</si>
  <si>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</si>
  <si>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</si>
  <si>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</si>
  <si>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</si>
  <si>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</si>
  <si>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</si>
  <si>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</si>
  <si>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</si>
  <si>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</si>
  <si>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</si>
  <si>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</si>
  <si>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</si>
  <si>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</si>
  <si>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</si>
  <si>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</si>
  <si>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</si>
  <si>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</si>
  <si>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</si>
  <si>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</si>
  <si>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</si>
  <si>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</si>
  <si>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</si>
  <si>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</si>
  <si>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</si>
  <si>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</si>
  <si>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</si>
  <si>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</si>
  <si>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</si>
  <si>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</si>
  <si>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</si>
  <si>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</si>
  <si>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</si>
  <si>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</si>
  <si>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</si>
  <si>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</si>
  <si>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</si>
  <si>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</si>
  <si>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</si>
  <si>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</si>
  <si>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</si>
  <si>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</si>
  <si>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</si>
  <si>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</si>
  <si>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</si>
  <si>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</si>
  <si>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</si>
  <si>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</si>
  <si>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</si>
  <si>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</si>
  <si>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</si>
  <si>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</si>
  <si>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</si>
  <si>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</si>
  <si>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</si>
  <si>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</si>
  <si>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</si>
  <si>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</si>
  <si>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</si>
  <si>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</si>
  <si>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</si>
  <si>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</si>
  <si>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</si>
  <si>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</si>
  <si>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</si>
  <si>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</si>
  <si>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</si>
  <si>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</si>
  <si>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</si>
  <si>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</si>
  <si>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</si>
  <si>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</si>
  <si>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</si>
  <si>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</si>
  <si>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</si>
  <si>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</si>
  <si>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</si>
  <si>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</si>
  <si>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</si>
  <si>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</si>
  <si>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</si>
  <si>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</si>
  <si>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</si>
  <si>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</si>
  <si>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</si>
  <si>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</si>
  <si>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</si>
  <si>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</si>
  <si>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</si>
  <si>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</si>
  <si>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</si>
  <si>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</si>
  <si>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</si>
  <si>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</si>
  <si>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</si>
  <si>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</si>
  <si>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</si>
  <si>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</si>
  <si>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</si>
  <si>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</si>
  <si>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</si>
  <si>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</si>
  <si>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</si>
  <si>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</si>
  <si>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</si>
  <si>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</si>
  <si>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</si>
  <si>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</si>
  <si>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</si>
  <si>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</si>
  <si>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</si>
  <si>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</si>
  <si>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</si>
  <si>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</si>
  <si>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</si>
  <si>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</si>
  <si>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</si>
  <si>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</si>
  <si>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</si>
  <si>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</si>
  <si>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</si>
  <si>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</si>
  <si>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</si>
  <si>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</si>
  <si>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</si>
  <si>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</si>
  <si>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</si>
  <si>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</si>
  <si>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</si>
  <si>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</si>
  <si>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</si>
  <si>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</si>
  <si>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</si>
  <si>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</si>
  <si>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</si>
  <si>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</si>
  <si>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</si>
  <si>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</si>
  <si>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</si>
  <si>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</si>
  <si>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</si>
  <si>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</si>
  <si>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</si>
  <si>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</si>
  <si>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</si>
  <si>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</si>
  <si>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</si>
  <si>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</si>
  <si>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</si>
  <si>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</si>
  <si>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</si>
  <si>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</si>
  <si>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</si>
  <si>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</si>
  <si>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</si>
  <si>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</si>
  <si>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</si>
  <si>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</si>
  <si>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</si>
  <si>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</si>
  <si>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</si>
  <si>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</si>
  <si>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</si>
  <si>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</si>
  <si>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</si>
  <si>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</si>
  <si>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</si>
  <si>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</si>
  <si>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</si>
  <si>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</si>
  <si>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</si>
  <si>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</si>
  <si>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</si>
  <si>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</si>
  <si>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</si>
  <si>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</si>
  <si>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</si>
  <si>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</si>
  <si>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</si>
  <si>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</si>
  <si>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</si>
  <si>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</si>
  <si>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</si>
  <si>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</si>
  <si>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</si>
  <si>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</si>
  <si>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</si>
  <si>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</si>
  <si>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</si>
  <si>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</si>
  <si>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</si>
  <si>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</si>
  <si>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</si>
  <si>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</si>
  <si>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</si>
  <si>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</si>
  <si>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</si>
  <si>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</si>
  <si>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</si>
  <si>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</si>
  <si>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</si>
  <si>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</si>
  <si>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</si>
  <si>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</si>
  <si>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</si>
  <si>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</si>
  <si>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</si>
  <si>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</si>
  <si>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</si>
  <si>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</si>
  <si>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</si>
  <si>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</si>
  <si>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</si>
  <si>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</si>
  <si>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</si>
  <si>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</si>
  <si>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</si>
  <si>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</si>
  <si>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</si>
  <si>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</si>
  <si>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</si>
  <si>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</si>
  <si>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</si>
  <si>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</si>
  <si>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</si>
  <si>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</si>
  <si>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</si>
  <si>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</si>
  <si>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</si>
  <si>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</si>
  <si>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</si>
  <si>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</si>
  <si>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</si>
  <si>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</si>
  <si>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</si>
  <si>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</si>
  <si>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</si>
  <si>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</si>
  <si>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</si>
  <si>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</si>
  <si>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</si>
  <si>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</si>
  <si>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</si>
  <si>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</si>
  <si>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</si>
  <si>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</si>
  <si>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</si>
  <si>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</si>
  <si>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</si>
  <si>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</si>
  <si>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</si>
  <si>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</si>
  <si>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</si>
  <si>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</si>
  <si>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</si>
  <si>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</si>
  <si>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</si>
  <si>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</si>
  <si>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</si>
  <si>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</si>
  <si>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</si>
  <si>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</si>
  <si>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</si>
  <si>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</si>
  <si>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</si>
  <si>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</si>
  <si>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</si>
  <si>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</si>
  <si>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</si>
  <si>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</si>
  <si>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</si>
  <si>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</si>
  <si>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</si>
  <si>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</si>
  <si>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</si>
  <si>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</si>
  <si>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</si>
  <si>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</si>
  <si>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</si>
  <si>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</si>
  <si>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</si>
  <si>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</si>
  <si>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</si>
  <si>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</si>
  <si>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</si>
  <si>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</si>
  <si>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</si>
  <si>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</si>
  <si>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</si>
  <si>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</si>
  <si>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</si>
  <si>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</si>
  <si>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</si>
  <si>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</si>
  <si>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</si>
  <si>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</si>
  <si>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</si>
  <si>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</si>
  <si>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</si>
  <si>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</si>
  <si>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</si>
  <si>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</si>
  <si>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</si>
  <si>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</si>
  <si>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</si>
  <si>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</si>
  <si>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</si>
  <si>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</si>
  <si>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</si>
  <si>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</si>
  <si>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</si>
  <si>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</si>
  <si>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</si>
  <si>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</si>
  <si>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</si>
  <si>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</si>
  <si>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</si>
  <si>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</si>
  <si>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</si>
  <si>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</si>
  <si>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</si>
  <si>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</si>
  <si>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</si>
  <si>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</si>
  <si>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</si>
  <si>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</si>
  <si>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</si>
  <si>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</si>
  <si>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</si>
  <si>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</si>
  <si>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</si>
  <si>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</si>
  <si>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</si>
  <si>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</si>
  <si>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</si>
  <si>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</si>
  <si>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</si>
  <si>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</si>
  <si>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</si>
  <si>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</si>
  <si>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</si>
  <si>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</si>
  <si>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</si>
  <si>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</si>
  <si>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</si>
  <si>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</si>
  <si>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</si>
  <si>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</si>
  <si>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</si>
  <si>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</si>
  <si>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</si>
  <si>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</si>
  <si>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</si>
  <si>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</si>
  <si>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</si>
  <si>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</si>
  <si>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</si>
  <si>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</si>
  <si>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</si>
  <si>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</si>
  <si>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</si>
  <si>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</si>
  <si>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</si>
  <si>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</si>
  <si>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</si>
  <si>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</si>
  <si>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</si>
  <si>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</si>
  <si>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</si>
  <si>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</si>
  <si>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</si>
  <si>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</si>
  <si>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</si>
  <si>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</si>
  <si>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</si>
  <si>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</si>
  <si>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</si>
  <si>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</si>
  <si>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</si>
  <si>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</si>
  <si>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</si>
  <si>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</si>
  <si>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</si>
  <si>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</si>
  <si>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</si>
  <si>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</si>
  <si>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</si>
  <si>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</si>
  <si>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</si>
  <si>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</si>
  <si>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</si>
  <si>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</si>
  <si>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</si>
  <si>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</si>
  <si>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</si>
  <si>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</si>
  <si>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</si>
  <si>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</si>
  <si>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</si>
  <si>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</si>
  <si>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</si>
  <si>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</si>
  <si>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</si>
  <si>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</si>
  <si>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</si>
  <si>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</si>
  <si>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</si>
  <si>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</si>
  <si>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</si>
  <si>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</si>
  <si>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</si>
  <si>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</si>
  <si>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</si>
  <si>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</si>
  <si>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</si>
  <si>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</si>
  <si>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</si>
  <si>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</si>
  <si>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</si>
  <si>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</si>
  <si>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</si>
  <si>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</si>
  <si>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</si>
  <si>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</si>
  <si>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</si>
  <si>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</si>
  <si>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</si>
  <si>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</si>
  <si>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</si>
  <si>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</si>
  <si>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</si>
  <si>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</si>
  <si>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</si>
  <si>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</si>
  <si>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</si>
  <si>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</si>
  <si>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</si>
  <si>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</si>
  <si>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</si>
  <si>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</si>
  <si>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</si>
  <si>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</si>
  <si>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</si>
  <si>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</si>
  <si>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</si>
  <si>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</si>
  <si>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</si>
  <si>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</si>
  <si>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</si>
  <si>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</si>
  <si>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</si>
  <si>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</si>
  <si>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</si>
  <si>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</si>
  <si>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</si>
  <si>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</si>
  <si>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</si>
  <si>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</si>
  <si>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</si>
  <si>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</si>
  <si>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</si>
  <si>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</si>
  <si>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</si>
  <si>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</si>
  <si>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</si>
  <si>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</si>
  <si>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</si>
  <si>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</si>
  <si>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</si>
  <si>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</si>
  <si>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</si>
  <si>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</si>
  <si>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</si>
  <si>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</si>
  <si>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</si>
  <si>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</si>
  <si>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</si>
  <si>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</si>
  <si>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</si>
  <si>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</si>
  <si>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</si>
  <si>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</si>
  <si>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</si>
  <si>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</si>
  <si>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</si>
  <si>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</si>
  <si>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</si>
  <si>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</si>
  <si>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</si>
  <si>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</si>
  <si>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</si>
  <si>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</si>
  <si>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</si>
  <si>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</si>
  <si>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</si>
  <si>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</si>
  <si>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</si>
  <si>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</si>
  <si>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</si>
  <si>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</si>
  <si>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</si>
  <si>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</si>
  <si>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</si>
  <si>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</si>
  <si>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</si>
  <si>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</si>
  <si>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</si>
  <si>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</si>
  <si>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</si>
  <si>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</si>
  <si>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</si>
  <si>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</si>
  <si>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</si>
  <si>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</si>
  <si>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</si>
  <si>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</si>
  <si>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</si>
  <si>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</si>
  <si>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</si>
  <si>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</si>
  <si>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</si>
  <si>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</si>
  <si>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</si>
  <si>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</si>
  <si>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</si>
  <si>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</si>
  <si>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</si>
  <si>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</si>
  <si>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</si>
  <si>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</si>
  <si>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</si>
  <si>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</si>
  <si>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</si>
  <si>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</si>
  <si>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</si>
  <si>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</si>
  <si>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</si>
  <si>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</si>
  <si>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</si>
  <si>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</si>
  <si>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</si>
  <si>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</si>
  <si>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</si>
  <si>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</si>
  <si>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</si>
  <si>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</si>
  <si>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</si>
  <si>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</si>
  <si>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</si>
  <si>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</si>
  <si>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</si>
  <si>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</si>
  <si>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</si>
  <si>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</si>
  <si>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</si>
  <si>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</si>
  <si>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</si>
  <si>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</si>
  <si>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</si>
  <si>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</si>
  <si>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</si>
  <si>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</si>
  <si>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</si>
  <si>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</si>
  <si>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</si>
  <si>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</si>
  <si>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</si>
  <si>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</si>
  <si>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</si>
  <si>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</si>
  <si>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</si>
  <si>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</si>
  <si>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</si>
  <si>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</si>
  <si>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</si>
  <si>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</si>
  <si>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</si>
  <si>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</si>
  <si>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</si>
  <si>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</si>
  <si>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</si>
  <si>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</si>
  <si>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</si>
  <si>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</si>
  <si>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</si>
  <si>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</si>
  <si>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</si>
  <si>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</si>
  <si>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</si>
  <si>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</si>
  <si>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</si>
  <si>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</si>
  <si>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</si>
  <si>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</si>
  <si>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</si>
  <si>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</si>
  <si>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</si>
  <si>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</si>
  <si>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</si>
  <si>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</si>
  <si>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</si>
  <si>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</si>
  <si>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</si>
  <si>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</si>
  <si>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</si>
  <si>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</si>
  <si>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</si>
  <si>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</si>
  <si>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</si>
  <si>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</si>
  <si>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</si>
  <si>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</si>
  <si>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</si>
  <si>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</si>
  <si>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</si>
  <si>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</si>
  <si>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</si>
  <si>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</si>
  <si>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</si>
  <si>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</si>
  <si>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</si>
  <si>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</si>
  <si>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</si>
  <si>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</si>
  <si>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</si>
  <si>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</si>
  <si>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</si>
  <si>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</si>
  <si>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</si>
  <si>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</si>
  <si>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</si>
  <si>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</si>
  <si>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</si>
  <si>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</si>
  <si>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</si>
  <si>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</si>
  <si>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</si>
  <si>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</si>
  <si>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</si>
  <si>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</si>
  <si>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</si>
  <si>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</si>
  <si>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</si>
  <si>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</si>
  <si>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</si>
  <si>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</si>
  <si>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</si>
  <si>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</si>
  <si>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</si>
  <si>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</si>
  <si>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</si>
  <si>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</si>
  <si>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</si>
  <si>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</si>
  <si>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</si>
  <si>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</si>
  <si>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</si>
  <si>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</si>
  <si>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</si>
  <si>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</si>
  <si>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</si>
  <si>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</si>
  <si>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</si>
  <si>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</si>
  <si>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</si>
  <si>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</si>
  <si>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</si>
  <si>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</si>
  <si>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</si>
  <si>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</si>
  <si>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</si>
  <si>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</si>
  <si>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</si>
  <si>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</si>
  <si>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</si>
  <si>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</si>
  <si>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</si>
  <si>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</si>
  <si>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</si>
  <si>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</si>
  <si>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</si>
  <si>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</si>
  <si>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</si>
  <si>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</si>
  <si>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</si>
  <si>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</si>
  <si>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</si>
  <si>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</si>
  <si>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</si>
  <si>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</si>
  <si>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</si>
  <si>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</si>
  <si>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</si>
  <si>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</si>
  <si>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</si>
  <si>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</si>
  <si>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</si>
  <si>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</si>
  <si>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</si>
  <si>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</si>
  <si>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</si>
  <si>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</si>
  <si>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</si>
  <si>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</si>
  <si>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</si>
  <si>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</si>
  <si>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</si>
  <si>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</si>
  <si>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</si>
  <si>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</si>
  <si>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</si>
  <si>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</si>
  <si>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</si>
  <si>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</si>
  <si>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</si>
  <si>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</si>
  <si>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</si>
  <si>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</si>
  <si>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</si>
  <si>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</si>
  <si>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</si>
  <si>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</si>
  <si>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</si>
  <si>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</si>
  <si>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</si>
  <si>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</si>
  <si>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</si>
  <si>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</si>
  <si>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</si>
  <si>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</si>
  <si>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</si>
  <si>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</si>
  <si>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</si>
  <si>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</si>
  <si>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</si>
  <si>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</si>
  <si>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</si>
  <si>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</si>
  <si>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</si>
  <si>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</si>
  <si>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</si>
  <si>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</si>
  <si>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</si>
  <si>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</si>
  <si>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</si>
  <si>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</si>
  <si>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</si>
  <si>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</si>
  <si>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</si>
  <si>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</si>
  <si>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</si>
  <si>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</si>
  <si>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</si>
  <si>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</si>
  <si>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</si>
  <si>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</si>
  <si>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</si>
  <si>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</si>
  <si>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</si>
  <si>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</si>
  <si>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</si>
  <si>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</si>
  <si>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</si>
  <si>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</si>
  <si>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</si>
  <si>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</si>
  <si>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</si>
  <si>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</si>
  <si>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</si>
  <si>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</si>
  <si>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</si>
  <si>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</si>
  <si>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</si>
  <si>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</si>
  <si>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</si>
  <si>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</si>
  <si>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</si>
  <si>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</si>
  <si>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</si>
  <si>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</si>
  <si>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</si>
  <si>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</si>
  <si>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</si>
  <si>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</si>
  <si>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</si>
  <si>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</si>
  <si>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</si>
  <si>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</si>
  <si>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</si>
  <si>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</si>
  <si>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</si>
  <si>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</si>
  <si>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</si>
  <si>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</si>
  <si>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</si>
  <si>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</si>
  <si>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</si>
  <si>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</si>
  <si>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</si>
  <si>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</si>
  <si>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</si>
  <si>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</si>
  <si>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</si>
  <si>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</si>
  <si>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</si>
  <si>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</si>
  <si>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</si>
  <si>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</si>
  <si>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</si>
  <si>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</si>
  <si>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</si>
  <si>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</si>
  <si>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</si>
  <si>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</si>
  <si>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</si>
  <si>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</si>
  <si>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</si>
  <si>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</si>
  <si>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</si>
  <si>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</si>
  <si>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</si>
  <si>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</si>
  <si>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</si>
  <si>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</si>
  <si>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</si>
  <si>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</si>
  <si>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</si>
  <si>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</si>
  <si>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</si>
  <si>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</si>
  <si>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</si>
  <si>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</si>
  <si>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</si>
  <si>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</si>
  <si>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</si>
  <si>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</si>
  <si>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</si>
  <si>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</si>
  <si>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</si>
  <si>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</si>
  <si>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</si>
  <si>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</si>
  <si>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</si>
  <si>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</si>
  <si>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</si>
  <si>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</si>
  <si>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</si>
  <si>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</si>
  <si>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</si>
  <si>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</si>
  <si>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</si>
  <si>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</si>
  <si>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</si>
  <si>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</si>
  <si>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</si>
  <si>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</si>
  <si>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</si>
  <si>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</si>
  <si>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</si>
  <si>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</si>
  <si>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</si>
  <si>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</si>
  <si>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</si>
  <si>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</si>
  <si>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</si>
  <si>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</si>
  <si>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</si>
  <si>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</si>
  <si>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</si>
  <si>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</si>
  <si>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</si>
  <si>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</si>
  <si>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</si>
  <si>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</si>
  <si>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</si>
  <si>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</si>
  <si>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</si>
  <si>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</si>
  <si>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</si>
  <si>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</si>
  <si>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</si>
  <si>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</si>
  <si>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</si>
  <si>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</si>
  <si>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</si>
  <si>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</si>
  <si>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</si>
  <si>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</si>
  <si>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</si>
  <si>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</si>
  <si>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</si>
  <si>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</si>
  <si>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</si>
  <si>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</si>
  <si>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</si>
  <si>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</si>
  <si>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</si>
  <si>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</si>
  <si>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</si>
  <si>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</si>
  <si>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</si>
  <si>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</si>
  <si>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</si>
  <si>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</si>
  <si>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</si>
  <si>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</si>
  <si>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</si>
  <si>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</si>
  <si>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</si>
  <si>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</si>
  <si>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</si>
  <si>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</si>
  <si>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</si>
  <si>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</si>
  <si>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</si>
  <si>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</si>
  <si>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</si>
  <si>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</si>
  <si>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</si>
  <si>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</si>
  <si>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</si>
  <si>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</si>
  <si>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</si>
  <si>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</si>
  <si>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</si>
  <si>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</si>
  <si>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</si>
  <si>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</si>
  <si>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</si>
  <si>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</si>
  <si>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</si>
  <si>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</si>
  <si>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</si>
  <si>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</si>
  <si>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</si>
  <si>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</si>
  <si>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</si>
  <si>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</si>
  <si>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</si>
  <si>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</si>
  <si>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</si>
  <si>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</si>
  <si>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</si>
  <si>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</si>
  <si>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</si>
  <si>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</si>
  <si>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</si>
  <si>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</si>
  <si>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</si>
  <si>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</si>
  <si>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</si>
  <si>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</si>
  <si>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</si>
  <si>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</si>
  <si>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</si>
  <si>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</si>
  <si>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</si>
  <si>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</si>
  <si>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</si>
  <si>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</si>
  <si>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</si>
  <si>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</si>
  <si>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</si>
  <si>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</si>
  <si>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</si>
  <si>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</si>
  <si>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</si>
  <si>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</si>
  <si>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</si>
  <si>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</si>
  <si>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</si>
  <si>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</si>
  <si>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</si>
  <si>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</si>
  <si>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</si>
  <si>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</si>
  <si>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</si>
  <si>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</si>
  <si>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</si>
  <si>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</si>
  <si>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</si>
  <si>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</si>
  <si>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</si>
  <si>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</si>
  <si>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</si>
  <si>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</si>
  <si>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</si>
  <si>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</si>
  <si>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</si>
  <si>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</si>
  <si>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</si>
  <si>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</si>
  <si>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</si>
  <si>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</si>
  <si>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</si>
  <si>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</si>
  <si>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</si>
  <si>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</si>
  <si>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</si>
  <si>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</si>
  <si>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</si>
  <si>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</si>
  <si>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</si>
  <si>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</si>
  <si>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</si>
  <si>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</si>
  <si>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</si>
  <si>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</si>
  <si>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</si>
  <si>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</si>
  <si>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</si>
  <si>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</si>
  <si>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</si>
  <si>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</si>
  <si>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</si>
  <si>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</si>
  <si>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</si>
  <si>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</si>
  <si>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</si>
  <si>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</si>
  <si>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</si>
  <si>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</si>
  <si>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</si>
  <si>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</si>
  <si>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</si>
  <si>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</si>
  <si>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</si>
  <si>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</si>
  <si>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</si>
  <si>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</si>
  <si>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</si>
  <si>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</si>
  <si>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</si>
  <si>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</si>
  <si>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</si>
  <si>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</si>
  <si>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</si>
  <si>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</si>
  <si>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</si>
  <si>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</si>
  <si>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</si>
  <si>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</si>
  <si>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</si>
  <si>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</si>
  <si>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</si>
  <si>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</si>
  <si>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</si>
  <si>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</si>
  <si>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</si>
  <si>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</si>
  <si>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</si>
  <si>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</si>
  <si>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</si>
  <si>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</si>
  <si>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</si>
  <si>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</si>
  <si>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</si>
  <si>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</si>
  <si>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</si>
  <si>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</si>
  <si>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</si>
  <si>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</si>
  <si>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</si>
  <si>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</si>
  <si>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</si>
  <si>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</si>
  <si>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</si>
  <si>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</si>
  <si>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</si>
  <si>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</si>
  <si>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</si>
  <si>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</si>
  <si>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</si>
  <si>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</si>
  <si>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</si>
  <si>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</si>
  <si>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</si>
  <si>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</si>
  <si>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</si>
  <si>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</si>
  <si>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</si>
  <si>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</si>
  <si>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</si>
  <si>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</si>
  <si>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</si>
  <si>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</si>
  <si>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</si>
  <si>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</si>
  <si>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</si>
  <si>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</si>
  <si>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</si>
  <si>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</si>
  <si>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</si>
  <si>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</si>
  <si>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</si>
  <si>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</si>
  <si>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</si>
  <si>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</si>
  <si>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</si>
  <si>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</si>
  <si>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</si>
  <si>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</si>
  <si>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</si>
  <si>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</si>
  <si>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</si>
  <si>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</si>
  <si>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</si>
  <si>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</si>
  <si>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</si>
  <si>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</si>
  <si>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</si>
  <si>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</si>
  <si>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</si>
  <si>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</si>
  <si>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</si>
  <si>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</si>
  <si>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</si>
  <si>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</si>
  <si>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</si>
  <si>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</si>
  <si>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</si>
  <si>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</si>
  <si>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</si>
  <si>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</si>
  <si>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</si>
  <si>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</si>
  <si>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</si>
  <si>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</si>
  <si>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</si>
  <si>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</si>
  <si>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</si>
  <si>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</si>
  <si>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</si>
  <si>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</si>
  <si>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</si>
  <si>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</si>
  <si>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</si>
  <si>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</si>
  <si>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</si>
  <si>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</si>
  <si>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</si>
  <si>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</si>
  <si>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</si>
  <si>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</si>
  <si>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</si>
  <si>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</si>
  <si>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</si>
  <si>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</si>
  <si>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</si>
  <si>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</si>
  <si>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</si>
  <si>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</si>
  <si>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</si>
  <si>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</si>
  <si>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</si>
  <si>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</si>
  <si>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</si>
  <si>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</si>
  <si>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</si>
  <si>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</si>
  <si>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</si>
  <si>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</si>
  <si>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</si>
  <si>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</si>
  <si>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</si>
  <si>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</si>
  <si>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</si>
  <si>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</si>
  <si>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</si>
  <si>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</si>
  <si>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</si>
  <si>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</si>
  <si>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</si>
  <si>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</si>
  <si>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</si>
  <si>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</si>
  <si>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</si>
  <si>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</si>
  <si>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</si>
  <si>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</si>
  <si>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</si>
  <si>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</si>
  <si>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</si>
  <si>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</si>
  <si>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</si>
  <si>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</si>
  <si>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</si>
  <si>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</si>
  <si>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</si>
  <si>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</si>
  <si>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</si>
  <si>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</si>
  <si>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</si>
  <si>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</si>
  <si>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</si>
  <si>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</si>
  <si>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</si>
  <si>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</si>
  <si>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</si>
  <si>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</si>
  <si>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</si>
  <si>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</si>
  <si>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</si>
  <si>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</si>
  <si>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</si>
  <si>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</si>
  <si>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</si>
  <si>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</si>
  <si>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</si>
  <si>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</si>
  <si>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</si>
  <si>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</si>
  <si>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</si>
  <si>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</si>
  <si>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</si>
  <si>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</si>
  <si>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</si>
  <si>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</si>
  <si>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</si>
  <si>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</si>
  <si>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</si>
  <si>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</si>
  <si>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</si>
  <si>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</si>
  <si>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</si>
  <si>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</si>
  <si>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</si>
  <si>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</si>
  <si>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</si>
  <si>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</si>
  <si>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</si>
  <si>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</si>
  <si>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</si>
  <si>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</si>
  <si>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</si>
  <si>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</si>
  <si>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</si>
  <si>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</si>
  <si>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</si>
  <si>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</si>
  <si>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</si>
  <si>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</si>
  <si>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</si>
  <si>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</si>
  <si>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</si>
  <si>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</si>
  <si>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</si>
  <si>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</si>
  <si>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</si>
  <si>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</si>
  <si>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</si>
  <si>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</si>
  <si>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</si>
  <si>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</si>
  <si>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</si>
  <si>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</si>
  <si>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</si>
  <si>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</si>
  <si>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</si>
  <si>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</si>
  <si>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</si>
  <si>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</si>
  <si>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</si>
  <si>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</si>
  <si>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</si>
  <si>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</si>
  <si>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</si>
  <si>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</si>
  <si>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</si>
  <si>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</si>
  <si>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</si>
  <si>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</si>
  <si>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</si>
  <si>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</si>
  <si>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</si>
  <si>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</si>
  <si>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</si>
  <si>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</si>
  <si>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</si>
  <si>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</si>
  <si>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</si>
  <si>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</si>
  <si>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</si>
  <si>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</si>
  <si>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</si>
  <si>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</si>
  <si>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</si>
  <si>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</si>
  <si>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</si>
  <si>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</si>
  <si>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</si>
  <si>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</si>
  <si>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</si>
  <si>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</si>
  <si>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</si>
  <si>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</si>
  <si>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</si>
  <si>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</si>
  <si>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</si>
  <si>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</si>
  <si>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</si>
  <si>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</si>
  <si>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</si>
  <si>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</si>
  <si>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</si>
  <si>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</si>
  <si>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</si>
  <si>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</si>
  <si>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</si>
  <si>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</si>
  <si>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</si>
  <si>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</si>
  <si>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</si>
  <si>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</si>
  <si>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</si>
  <si>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</si>
  <si>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</si>
  <si>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</si>
  <si>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</si>
  <si>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</si>
  <si>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</si>
  <si>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</si>
  <si>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</si>
  <si>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</si>
  <si>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</si>
  <si>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</si>
  <si>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</si>
  <si>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</si>
  <si>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</si>
  <si>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</si>
  <si>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</si>
  <si>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</si>
  <si>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</si>
  <si>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</si>
  <si>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</si>
  <si>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</si>
  <si>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</si>
  <si>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</si>
  <si>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</si>
  <si>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</si>
  <si>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</si>
  <si>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</si>
  <si>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</si>
  <si>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</si>
  <si>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</si>
  <si>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</si>
  <si>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</si>
  <si>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</si>
  <si>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</si>
  <si>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</si>
  <si>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</si>
  <si>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</si>
  <si>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</si>
  <si>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</si>
  <si>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</si>
  <si>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</si>
  <si>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</si>
  <si>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</si>
  <si>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</si>
  <si>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</si>
  <si>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</si>
  <si>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</si>
  <si>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</si>
  <si>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</si>
  <si>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</si>
  <si>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</si>
  <si>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</si>
  <si>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</si>
  <si>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</si>
  <si>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</si>
  <si>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</si>
  <si>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</si>
  <si>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</si>
  <si>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</si>
  <si>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</si>
  <si>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</si>
  <si>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</si>
  <si>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</si>
  <si>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</si>
  <si>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</si>
  <si>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</si>
  <si>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</si>
  <si>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</si>
  <si>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</si>
  <si>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</si>
  <si>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</si>
  <si>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</si>
  <si>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</si>
  <si>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</si>
  <si>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</si>
  <si>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</si>
  <si>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</si>
  <si>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</si>
  <si>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</si>
  <si>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</si>
  <si>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</si>
  <si>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</si>
  <si>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</si>
  <si>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061.jpg</t>
  </si>
  <si>
    <t>091.jpg</t>
  </si>
  <si>
    <t>031.jpg</t>
  </si>
  <si>
    <t>032.jpg</t>
  </si>
  <si>
    <t>062.jpg</t>
  </si>
  <si>
    <t>092.jpg</t>
  </si>
  <si>
    <t>033.jpg</t>
  </si>
  <si>
    <t>093.jpg</t>
  </si>
  <si>
    <t>081.jpg</t>
  </si>
  <si>
    <t>082.jpg</t>
  </si>
  <si>
    <t>083.jpg</t>
  </si>
  <si>
    <t>084.jpg</t>
  </si>
  <si>
    <t>063.jpg</t>
  </si>
  <si>
    <t>064.jpg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</si>
  <si>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</si>
  <si>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</si>
  <si>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</si>
  <si>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</si>
  <si>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</si>
  <si>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</si>
  <si>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</si>
  <si>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</si>
  <si>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https://webmoderna.com.ar/rerda/imagenes/</t>
  </si>
  <si>
    <t>Bolso morral</t>
  </si>
  <si>
    <t>1120710##</t>
  </si>
  <si>
    <t>1120711##</t>
  </si>
  <si>
    <t>1120910##</t>
  </si>
  <si>
    <t>1120911##</t>
  </si>
  <si>
    <t>8703257##</t>
  </si>
  <si>
    <t>071.jpg</t>
  </si>
  <si>
    <t>072.jpg</t>
  </si>
  <si>
    <t>073.jpg</t>
  </si>
  <si>
    <t>074.jpg</t>
  </si>
  <si>
    <t>2101566##</t>
  </si>
  <si>
    <t>2101568##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</si>
</sst>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ebmoderna.com.ar/rerda/imagene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38" activePane="bottomLeft" state="frozen"/>
      <selection pane="bottomLeft" activeCell="C53" sqref="C5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6981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7015</v>
      </c>
      <c r="E587" t="s">
        <v>7013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7016</v>
      </c>
      <c r="E588" t="s">
        <v>7014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7011</v>
      </c>
      <c r="E602" t="s">
        <v>7009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7012</v>
      </c>
      <c r="E603" t="s">
        <v>7010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7039</v>
      </c>
      <c r="E1076" t="s">
        <v>7040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6984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6984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6984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6985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6986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6987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7035</v>
      </c>
      <c r="D1844" t="s">
        <v>6840</v>
      </c>
      <c r="E1844" t="s">
        <v>7036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7037</v>
      </c>
      <c r="D1902" t="s">
        <v>6840</v>
      </c>
      <c r="E1902" t="s">
        <v>7038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7033</v>
      </c>
      <c r="D1903" t="s">
        <v>6840</v>
      </c>
      <c r="E1903" t="s">
        <v>7034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6988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6996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6997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6998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6982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6983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6989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7000</v>
      </c>
      <c r="D2395" t="s">
        <v>6999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6990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6992</v>
      </c>
      <c r="D2446" t="str">
        <f t="shared" ref="D2446:D2471" si="168">IF(RIGHT(LEFT(C2446,9),2)="##","",RIGHT(LEFT(C2446,10),2))</f>
        <v>09</v>
      </c>
      <c r="E2446" t="s">
        <v>6993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6991</v>
      </c>
      <c r="D2447" t="str">
        <f t="shared" si="168"/>
        <v>13</v>
      </c>
      <c r="E2447" t="s">
        <v>6994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7003</v>
      </c>
      <c r="D2768" t="str">
        <f t="shared" si="186"/>
        <v/>
      </c>
      <c r="E2768" t="s">
        <v>7001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7004</v>
      </c>
      <c r="D2769" t="str">
        <f t="shared" si="186"/>
        <v/>
      </c>
      <c r="E2769" t="s">
        <v>7002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6995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7017</v>
      </c>
      <c r="D2981" t="str">
        <f t="shared" si="197"/>
        <v/>
      </c>
      <c r="E2981" t="s">
        <v>7018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7007</v>
      </c>
      <c r="E3024" t="s">
        <v>7008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7006</v>
      </c>
      <c r="E3025" t="s">
        <v>7005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selection activeCell="A5" sqref="A5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</row>
    <row r="2" spans="1:10" x14ac:dyDescent="0.25">
      <c r="A2">
        <v>19599</v>
      </c>
      <c r="B2" t="s">
        <v>7</v>
      </c>
      <c r="C2" t="s">
        <v>7045</v>
      </c>
      <c r="D2" t="s">
        <v>6999</v>
      </c>
      <c r="F2">
        <v>1120910</v>
      </c>
      <c r="G2" s="9"/>
      <c r="H2">
        <v>3</v>
      </c>
      <c r="I2">
        <v>1</v>
      </c>
    </row>
    <row r="3" spans="1:10" x14ac:dyDescent="0.25">
      <c r="A3">
        <v>19589</v>
      </c>
      <c r="B3" t="s">
        <v>7</v>
      </c>
      <c r="C3" t="s">
        <v>7046</v>
      </c>
      <c r="F3">
        <v>1120910</v>
      </c>
      <c r="G3" s="9"/>
      <c r="H3">
        <v>3</v>
      </c>
      <c r="I3">
        <v>1</v>
      </c>
    </row>
    <row r="4" spans="1:10" x14ac:dyDescent="0.25">
      <c r="A4">
        <v>19589</v>
      </c>
      <c r="B4" t="s">
        <v>7</v>
      </c>
      <c r="C4" t="s">
        <v>7043</v>
      </c>
      <c r="F4">
        <v>1120710</v>
      </c>
      <c r="G4" s="9"/>
      <c r="H4">
        <v>3</v>
      </c>
      <c r="I4">
        <v>1</v>
      </c>
    </row>
    <row r="5" spans="1:10" x14ac:dyDescent="0.25">
      <c r="A5">
        <v>19589</v>
      </c>
      <c r="B5" t="s">
        <v>7</v>
      </c>
      <c r="C5" t="s">
        <v>7044</v>
      </c>
      <c r="F5">
        <v>1120710</v>
      </c>
      <c r="H5">
        <v>3</v>
      </c>
      <c r="I5">
        <v>1</v>
      </c>
    </row>
    <row r="52" spans="1:8" x14ac:dyDescent="0.25">
      <c r="A52" s="2"/>
      <c r="B52" s="2"/>
      <c r="C52" s="2"/>
      <c r="D52" s="2"/>
      <c r="E52" s="2"/>
      <c r="F52" s="2"/>
      <c r="G52" s="2"/>
      <c r="H52" s="2"/>
    </row>
    <row r="53" spans="1:8" x14ac:dyDescent="0.25">
      <c r="A53" s="2"/>
      <c r="B53" s="2"/>
      <c r="C53" s="2"/>
      <c r="D53" s="2"/>
      <c r="E53" s="2"/>
      <c r="F53" s="2"/>
      <c r="G53" s="2"/>
      <c r="H53" s="2"/>
    </row>
    <row r="54" spans="1:8" x14ac:dyDescent="0.25">
      <c r="A54" s="2"/>
      <c r="B54" s="2"/>
      <c r="C54" s="2"/>
      <c r="D54" s="2"/>
      <c r="E54" s="2"/>
      <c r="F54" s="2"/>
      <c r="G54" s="2"/>
      <c r="H54" s="2"/>
    </row>
    <row r="55" spans="1:8" x14ac:dyDescent="0.25">
      <c r="A55" s="2"/>
      <c r="B55" s="2"/>
      <c r="C55" s="2"/>
      <c r="D55" s="2"/>
      <c r="E55" s="2"/>
      <c r="F55" s="2"/>
      <c r="G55" s="2"/>
      <c r="H55" s="2"/>
    </row>
    <row r="56" spans="1:8" x14ac:dyDescent="0.25">
      <c r="A56" s="2"/>
      <c r="B56" s="2"/>
      <c r="C56" s="2"/>
      <c r="D56" s="2"/>
      <c r="E56" s="2"/>
      <c r="F56" s="2"/>
      <c r="G56" s="2"/>
      <c r="H56" s="2"/>
    </row>
    <row r="57" spans="1:8" x14ac:dyDescent="0.25">
      <c r="H57" s="2"/>
    </row>
    <row r="58" spans="1:8" x14ac:dyDescent="0.25">
      <c r="H58" s="2"/>
    </row>
    <row r="59" spans="1:8" x14ac:dyDescent="0.25">
      <c r="H59" s="2"/>
    </row>
    <row r="68" spans="8:8" x14ac:dyDescent="0.25">
      <c r="H68" s="2"/>
    </row>
    <row r="69" spans="8:8" x14ac:dyDescent="0.25">
      <c r="H69" s="2"/>
    </row>
    <row r="70" spans="8:8" x14ac:dyDescent="0.25">
      <c r="H70" s="2"/>
    </row>
    <row r="71" spans="8:8" x14ac:dyDescent="0.25">
      <c r="H71" s="2"/>
    </row>
    <row r="103" spans="6:6" x14ac:dyDescent="0.25">
      <c r="F103" s="3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155" spans="11:11" x14ac:dyDescent="0.25">
      <c r="K155" s="4"/>
    </row>
    <row r="156" spans="11:11" x14ac:dyDescent="0.25">
      <c r="K156" s="4"/>
    </row>
    <row r="157" spans="11:11" x14ac:dyDescent="0.25">
      <c r="K157" s="4"/>
    </row>
    <row r="158" spans="1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4"/>
  <sheetViews>
    <sheetView workbookViewId="0">
      <selection activeCell="F2" sqref="F2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2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26" x14ac:dyDescent="0.25">
      <c r="A2">
        <v>20508</v>
      </c>
      <c r="B2" t="s">
        <v>7</v>
      </c>
      <c r="C2" t="s">
        <v>7047</v>
      </c>
      <c r="D2" t="s">
        <v>6840</v>
      </c>
      <c r="E2" t="s">
        <v>7042</v>
      </c>
      <c r="F2">
        <v>8703257</v>
      </c>
      <c r="G2" s="7"/>
      <c r="H2" s="7">
        <v>18</v>
      </c>
      <c r="I2" s="11" t="s">
        <v>7021</v>
      </c>
      <c r="J2" s="11" t="s">
        <v>7022</v>
      </c>
      <c r="K2" s="11" t="s">
        <v>7025</v>
      </c>
      <c r="L2" s="11" t="s">
        <v>7019</v>
      </c>
      <c r="M2" s="11" t="s">
        <v>7023</v>
      </c>
      <c r="N2" s="11" t="s">
        <v>7031</v>
      </c>
      <c r="O2" s="11" t="s">
        <v>7032</v>
      </c>
      <c r="P2" s="11" t="s">
        <v>7048</v>
      </c>
      <c r="Q2" s="11" t="s">
        <v>7049</v>
      </c>
      <c r="R2" s="11" t="s">
        <v>7050</v>
      </c>
      <c r="S2" s="11" t="s">
        <v>7051</v>
      </c>
      <c r="T2" s="11" t="s">
        <v>7027</v>
      </c>
      <c r="U2" s="11" t="s">
        <v>7028</v>
      </c>
      <c r="V2" s="11" t="s">
        <v>7029</v>
      </c>
      <c r="W2" s="11" t="s">
        <v>7030</v>
      </c>
      <c r="X2" s="11" t="s">
        <v>7020</v>
      </c>
      <c r="Y2" s="11" t="s">
        <v>7024</v>
      </c>
      <c r="Z2" s="11" t="s">
        <v>7026</v>
      </c>
    </row>
    <row r="3" spans="1:26" x14ac:dyDescent="0.25">
      <c r="G3" s="7"/>
      <c r="H3" s="7"/>
    </row>
    <row r="4" spans="1:26" x14ac:dyDescent="0.25">
      <c r="G4" s="7"/>
      <c r="H4" s="7"/>
    </row>
    <row r="5" spans="1:26" x14ac:dyDescent="0.25">
      <c r="G5" s="7"/>
      <c r="H5" s="7"/>
    </row>
    <row r="6" spans="1:26" x14ac:dyDescent="0.25">
      <c r="G6" s="7"/>
      <c r="H6" s="7"/>
    </row>
    <row r="7" spans="1:26" x14ac:dyDescent="0.25">
      <c r="G7" s="7"/>
      <c r="H7" s="7"/>
    </row>
    <row r="8" spans="1:26" x14ac:dyDescent="0.25">
      <c r="G8" s="7"/>
      <c r="H8" s="7"/>
    </row>
    <row r="9" spans="1:26" x14ac:dyDescent="0.25">
      <c r="G9" s="7"/>
      <c r="H9" s="7"/>
    </row>
    <row r="10" spans="1:26" x14ac:dyDescent="0.25">
      <c r="G10" s="7"/>
      <c r="H10" s="8"/>
    </row>
    <row r="11" spans="1:26" x14ac:dyDescent="0.25">
      <c r="G11" s="7"/>
      <c r="H11" s="7"/>
    </row>
    <row r="12" spans="1:26" x14ac:dyDescent="0.25">
      <c r="G12" s="7"/>
      <c r="H12" s="7"/>
    </row>
    <row r="13" spans="1:26" x14ac:dyDescent="0.25">
      <c r="G13" s="7"/>
      <c r="H13" s="7"/>
    </row>
    <row r="14" spans="1:26" x14ac:dyDescent="0.25">
      <c r="G14" s="7"/>
      <c r="H14" s="7"/>
    </row>
    <row r="15" spans="1:26" x14ac:dyDescent="0.25">
      <c r="G15" s="7"/>
      <c r="H15" s="7"/>
    </row>
    <row r="16" spans="1:26" x14ac:dyDescent="0.25">
      <c r="G16" s="7"/>
      <c r="H16" s="7"/>
    </row>
    <row r="17" spans="7:8" x14ac:dyDescent="0.25">
      <c r="G17" s="7"/>
      <c r="H17" s="7"/>
    </row>
    <row r="18" spans="7:8" x14ac:dyDescent="0.25">
      <c r="G18" s="7"/>
      <c r="H18" s="7"/>
    </row>
    <row r="19" spans="7:8" x14ac:dyDescent="0.25">
      <c r="G19" s="7"/>
      <c r="H19" s="7"/>
    </row>
    <row r="20" spans="7:8" x14ac:dyDescent="0.25">
      <c r="G20" s="7"/>
      <c r="H20" s="7"/>
    </row>
    <row r="21" spans="7:8" x14ac:dyDescent="0.25">
      <c r="G21" s="7"/>
      <c r="H21" s="7"/>
    </row>
    <row r="22" spans="7:8" x14ac:dyDescent="0.25">
      <c r="G22" s="7"/>
      <c r="H22" s="7"/>
    </row>
    <row r="23" spans="7:8" x14ac:dyDescent="0.25">
      <c r="G23" s="7"/>
      <c r="H23" s="7"/>
    </row>
    <row r="24" spans="7:8" x14ac:dyDescent="0.25">
      <c r="G24" s="7"/>
      <c r="H24" s="7"/>
    </row>
    <row r="25" spans="7:8" x14ac:dyDescent="0.25">
      <c r="G25" s="7"/>
      <c r="H25" s="7"/>
    </row>
    <row r="26" spans="7:8" x14ac:dyDescent="0.25">
      <c r="G26" s="7"/>
      <c r="H26" s="7"/>
    </row>
    <row r="27" spans="7:8" x14ac:dyDescent="0.25">
      <c r="G27" s="7"/>
      <c r="H27" s="7"/>
    </row>
    <row r="28" spans="7:8" x14ac:dyDescent="0.25">
      <c r="G28" s="7"/>
      <c r="H28" s="7"/>
    </row>
    <row r="29" spans="7:8" x14ac:dyDescent="0.25">
      <c r="G29" s="7"/>
      <c r="H29" s="7"/>
    </row>
    <row r="30" spans="7:8" x14ac:dyDescent="0.25">
      <c r="G30" s="7"/>
      <c r="H30" s="7"/>
    </row>
    <row r="31" spans="7:8" x14ac:dyDescent="0.25">
      <c r="G31" s="7"/>
      <c r="H31" s="7"/>
    </row>
    <row r="32" spans="7:8" x14ac:dyDescent="0.25">
      <c r="G32" s="7"/>
      <c r="H32" s="7"/>
    </row>
    <row r="33" spans="1:8" x14ac:dyDescent="0.25"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</sheetData>
  <sortState ref="A1:H5">
    <sortCondition descending="1"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tabSelected="1" workbookViewId="0">
      <selection activeCell="A5" sqref="A5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2.5703125" customWidth="1"/>
    <col min="5" max="5" width="38.85546875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2101567##</v>
      </c>
      <c r="F2">
        <v>2101567</v>
      </c>
      <c r="G2" s="9"/>
      <c r="H2">
        <v>5</v>
      </c>
    </row>
    <row r="3" spans="1:12" x14ac:dyDescent="0.25">
      <c r="A3">
        <v>16522</v>
      </c>
      <c r="B3" t="s">
        <v>4</v>
      </c>
      <c r="C3" t="s">
        <v>7053</v>
      </c>
      <c r="F3">
        <v>2101567</v>
      </c>
      <c r="G3" s="9"/>
      <c r="H3">
        <v>5</v>
      </c>
    </row>
    <row r="4" spans="1:12" x14ac:dyDescent="0.25">
      <c r="A4">
        <v>16522</v>
      </c>
      <c r="B4" t="s">
        <v>4</v>
      </c>
      <c r="C4" t="s">
        <v>7052</v>
      </c>
      <c r="F4">
        <v>2101567</v>
      </c>
      <c r="H4">
        <v>5</v>
      </c>
    </row>
    <row r="5" spans="1:12" x14ac:dyDescent="0.25">
      <c r="A5">
        <v>16522</v>
      </c>
      <c r="B5" t="s">
        <v>4</v>
      </c>
      <c r="C5" t="str">
        <f t="shared" ref="C5" si="0">CONCATENATE(F5,"##")</f>
        <v>2101565##</v>
      </c>
      <c r="F5">
        <v>2101565</v>
      </c>
      <c r="H5">
        <v>5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+B8</f>
        <v>https://webmoderna.com.ar/rerda/imagenes/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7041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6978</v>
      </c>
      <c r="B11" t="s">
        <v>6976</v>
      </c>
    </row>
    <row r="12" spans="1:2" x14ac:dyDescent="0.25">
      <c r="A12" s="5" t="s">
        <v>6979</v>
      </c>
      <c r="B12" t="s">
        <v>6977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2023-02-13T15:04:28Z</dcterms:modified>
</cp:coreProperties>
</file>