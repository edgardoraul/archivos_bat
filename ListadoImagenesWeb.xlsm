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2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Variables!$A$1:$J$492</definedName>
  </definedNames>
  <calcPr calcId="162913"/>
</workbook>
</file>

<file path=xl/calcChain.xml><?xml version="1.0" encoding="utf-8"?>
<calcChain xmlns="http://schemas.openxmlformats.org/spreadsheetml/2006/main">
  <c r="C218" i="4" l="1"/>
  <c r="E218" i="4" s="1"/>
  <c r="B218" i="4"/>
  <c r="C217" i="4"/>
  <c r="E217" i="4" s="1"/>
  <c r="B217" i="4"/>
  <c r="C507" i="3"/>
  <c r="E507" i="3" s="1"/>
  <c r="E506" i="3"/>
  <c r="E508" i="3"/>
  <c r="C505" i="3"/>
  <c r="E505" i="3" s="1"/>
  <c r="E502" i="3" l="1"/>
  <c r="E503" i="3"/>
  <c r="E504" i="3"/>
  <c r="C501" i="3"/>
  <c r="E501" i="3" s="1"/>
  <c r="E498" i="3"/>
  <c r="E499" i="3"/>
  <c r="E500" i="3"/>
  <c r="C497" i="3"/>
  <c r="E497" i="3" s="1"/>
  <c r="E494" i="3"/>
  <c r="E495" i="3"/>
  <c r="E496" i="3"/>
  <c r="C493" i="3"/>
  <c r="E493" i="3" s="1"/>
  <c r="B215" i="4" l="1"/>
  <c r="C215" i="4"/>
  <c r="E215" i="4" s="1"/>
  <c r="B216" i="4"/>
  <c r="C216" i="4"/>
  <c r="E216" i="4" s="1"/>
  <c r="C353" i="2" l="1"/>
  <c r="E353" i="2" s="1"/>
  <c r="C192" i="2" l="1"/>
  <c r="C193" i="2"/>
  <c r="C194" i="2"/>
  <c r="C191" i="2"/>
  <c r="C98" i="2" l="1"/>
  <c r="E98" i="2" s="1"/>
  <c r="C96" i="2"/>
  <c r="E96" i="2" s="1"/>
  <c r="C97" i="2"/>
  <c r="E97" i="2" s="1"/>
  <c r="C52" i="2"/>
  <c r="E52" i="2" s="1"/>
  <c r="C54" i="2"/>
  <c r="E54" i="2" s="1"/>
  <c r="C56" i="2"/>
  <c r="E56" i="2" s="1"/>
  <c r="C58" i="2"/>
  <c r="E58" i="2" s="1"/>
  <c r="C60" i="2"/>
  <c r="E60" i="2" s="1"/>
  <c r="C62" i="2"/>
  <c r="E62" i="2" s="1"/>
  <c r="C63" i="2"/>
  <c r="E63" i="2" s="1"/>
  <c r="C64" i="2"/>
  <c r="E64" i="2" s="1"/>
  <c r="C71" i="2"/>
  <c r="E71" i="2" s="1"/>
  <c r="C74" i="2"/>
  <c r="E74" i="2" s="1"/>
  <c r="C76" i="2"/>
  <c r="E76" i="2" s="1"/>
  <c r="C78" i="2"/>
  <c r="E78" i="2" s="1"/>
  <c r="C83" i="2"/>
  <c r="E83" i="2" s="1"/>
  <c r="C90" i="2"/>
  <c r="E90" i="2" s="1"/>
  <c r="C91" i="2"/>
  <c r="E91" i="2" s="1"/>
  <c r="C92" i="2"/>
  <c r="E92" i="2" s="1"/>
  <c r="C93" i="2"/>
  <c r="E93" i="2" s="1"/>
  <c r="C94" i="2"/>
  <c r="E94" i="2" s="1"/>
  <c r="E95" i="2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48" i="2"/>
  <c r="E148" i="2" s="1"/>
  <c r="C150" i="2"/>
  <c r="E150" i="2" s="1"/>
  <c r="C152" i="2"/>
  <c r="E152" i="2" s="1"/>
  <c r="C156" i="2"/>
  <c r="E156" i="2" s="1"/>
  <c r="C158" i="2"/>
  <c r="E158" i="2" s="1"/>
  <c r="C161" i="2"/>
  <c r="E161" i="2" s="1"/>
  <c r="C165" i="2"/>
  <c r="E165" i="2" s="1"/>
  <c r="C169" i="2"/>
  <c r="E169" i="2" s="1"/>
  <c r="C197" i="2"/>
  <c r="E197" i="2" s="1"/>
  <c r="C640" i="2"/>
  <c r="E640" i="2" s="1"/>
  <c r="C660" i="2"/>
  <c r="E660" i="2" s="1"/>
  <c r="C662" i="2"/>
  <c r="E662" i="2" s="1"/>
  <c r="C664" i="2"/>
  <c r="E664" i="2" s="1"/>
  <c r="C666" i="2"/>
  <c r="E666" i="2" s="1"/>
  <c r="C668" i="2"/>
  <c r="E668" i="2" s="1"/>
  <c r="C670" i="2"/>
  <c r="E670" i="2" s="1"/>
  <c r="C672" i="2"/>
  <c r="E672" i="2" s="1"/>
  <c r="C674" i="2"/>
  <c r="E674" i="2" s="1"/>
  <c r="C676" i="2"/>
  <c r="E676" i="2" s="1"/>
  <c r="C678" i="2"/>
  <c r="E678" i="2" s="1"/>
  <c r="C680" i="2"/>
  <c r="E680" i="2" s="1"/>
  <c r="C682" i="2"/>
  <c r="E682" i="2" s="1"/>
  <c r="C50" i="2"/>
  <c r="E50" i="2" s="1"/>
  <c r="C51" i="2"/>
  <c r="E51" i="2" s="1"/>
  <c r="C53" i="2"/>
  <c r="E53" i="2" s="1"/>
  <c r="C55" i="2"/>
  <c r="E55" i="2" s="1"/>
  <c r="C57" i="2"/>
  <c r="E57" i="2" s="1"/>
  <c r="C59" i="2"/>
  <c r="E59" i="2" s="1"/>
  <c r="C61" i="2"/>
  <c r="E61" i="2" s="1"/>
  <c r="C65" i="2"/>
  <c r="E65" i="2" s="1"/>
  <c r="C66" i="2"/>
  <c r="E66" i="2" s="1"/>
  <c r="C67" i="2"/>
  <c r="E67" i="2" s="1"/>
  <c r="E68" i="2"/>
  <c r="C69" i="2"/>
  <c r="E69" i="2" s="1"/>
  <c r="C70" i="2"/>
  <c r="E70" i="2" s="1"/>
  <c r="E72" i="2"/>
  <c r="C73" i="2"/>
  <c r="E73" i="2" s="1"/>
  <c r="C75" i="2"/>
  <c r="E75" i="2" s="1"/>
  <c r="C77" i="2"/>
  <c r="E77" i="2" s="1"/>
  <c r="C79" i="2"/>
  <c r="E79" i="2" s="1"/>
  <c r="C80" i="2"/>
  <c r="E80" i="2" s="1"/>
  <c r="C81" i="2"/>
  <c r="E81" i="2" s="1"/>
  <c r="C82" i="2"/>
  <c r="E82" i="2" s="1"/>
  <c r="C84" i="2"/>
  <c r="E84" i="2" s="1"/>
  <c r="C85" i="2"/>
  <c r="E85" i="2" s="1"/>
  <c r="E490" i="3" l="1"/>
  <c r="E491" i="3"/>
  <c r="E492" i="3"/>
  <c r="E474" i="3"/>
  <c r="C473" i="3"/>
  <c r="E473" i="3" s="1"/>
  <c r="E475" i="3"/>
  <c r="E454" i="3"/>
  <c r="E455" i="3"/>
  <c r="E456" i="3"/>
  <c r="C457" i="3"/>
  <c r="E457" i="3" s="1"/>
  <c r="E458" i="3"/>
  <c r="E459" i="3"/>
  <c r="E460" i="3"/>
  <c r="C461" i="3"/>
  <c r="E461" i="3" s="1"/>
  <c r="E462" i="3"/>
  <c r="E463" i="3"/>
  <c r="E464" i="3"/>
  <c r="C465" i="3"/>
  <c r="E465" i="3" s="1"/>
  <c r="E466" i="3"/>
  <c r="E467" i="3"/>
  <c r="E468" i="3"/>
  <c r="C469" i="3"/>
  <c r="E469" i="3" s="1"/>
  <c r="E470" i="3"/>
  <c r="E471" i="3"/>
  <c r="E472" i="3"/>
  <c r="E476" i="3"/>
  <c r="C477" i="3"/>
  <c r="E477" i="3" s="1"/>
  <c r="E478" i="3"/>
  <c r="E479" i="3"/>
  <c r="E480" i="3"/>
  <c r="C481" i="3"/>
  <c r="E481" i="3" s="1"/>
  <c r="E482" i="3"/>
  <c r="E483" i="3"/>
  <c r="E484" i="3"/>
  <c r="C485" i="3"/>
  <c r="E485" i="3" s="1"/>
  <c r="E486" i="3"/>
  <c r="E487" i="3"/>
  <c r="E488" i="3"/>
  <c r="C489" i="3"/>
  <c r="E489" i="3" s="1"/>
  <c r="C453" i="3"/>
  <c r="E453" i="3" s="1"/>
  <c r="E444" i="3"/>
  <c r="E442" i="3"/>
  <c r="E443" i="3"/>
  <c r="C445" i="3"/>
  <c r="E445" i="3" s="1"/>
  <c r="E446" i="3"/>
  <c r="E447" i="3"/>
  <c r="E448" i="3"/>
  <c r="C449" i="3"/>
  <c r="E449" i="3" s="1"/>
  <c r="E450" i="3"/>
  <c r="E451" i="3"/>
  <c r="E452" i="3"/>
  <c r="C441" i="3"/>
  <c r="E441" i="3" s="1"/>
  <c r="E438" i="3" l="1"/>
  <c r="E439" i="3"/>
  <c r="E440" i="3"/>
  <c r="C437" i="3"/>
  <c r="E437" i="3" s="1"/>
  <c r="E436" i="3"/>
  <c r="E434" i="3"/>
  <c r="C433" i="3"/>
  <c r="E433" i="3" s="1"/>
  <c r="E435" i="3"/>
  <c r="E428" i="3"/>
  <c r="C429" i="3"/>
  <c r="E429" i="3" s="1"/>
  <c r="E430" i="3"/>
  <c r="C431" i="3"/>
  <c r="E431" i="3" s="1"/>
  <c r="E432" i="3"/>
  <c r="C427" i="3"/>
  <c r="E427" i="3" s="1"/>
  <c r="B214" i="4" l="1"/>
  <c r="C214" i="4"/>
  <c r="E214" i="4" s="1"/>
  <c r="B212" i="4"/>
  <c r="C212" i="4"/>
  <c r="E212" i="4" s="1"/>
  <c r="B213" i="4"/>
  <c r="C213" i="4"/>
  <c r="E213" i="4" s="1"/>
  <c r="B210" i="4"/>
  <c r="C210" i="4"/>
  <c r="E210" i="4" s="1"/>
  <c r="B211" i="4"/>
  <c r="C211" i="4"/>
  <c r="E211" i="4" s="1"/>
  <c r="B209" i="4"/>
  <c r="C209" i="4"/>
  <c r="E209" i="4" s="1"/>
  <c r="B208" i="4"/>
  <c r="C208" i="4"/>
  <c r="E208" i="4" s="1"/>
  <c r="B207" i="4"/>
  <c r="C207" i="4"/>
  <c r="E207" i="4" s="1"/>
  <c r="E426" i="3"/>
  <c r="C425" i="3"/>
  <c r="E425" i="3" s="1"/>
  <c r="E424" i="3"/>
  <c r="E420" i="3"/>
  <c r="C421" i="3"/>
  <c r="E421" i="3" s="1"/>
  <c r="E422" i="3"/>
  <c r="C423" i="3"/>
  <c r="E423" i="3" s="1"/>
  <c r="C419" i="3"/>
  <c r="E419" i="3" s="1"/>
  <c r="E400" i="3" l="1"/>
  <c r="C401" i="3"/>
  <c r="E401" i="3" s="1"/>
  <c r="E402" i="3"/>
  <c r="C403" i="3"/>
  <c r="E403" i="3" s="1"/>
  <c r="E404" i="3"/>
  <c r="C405" i="3"/>
  <c r="E405" i="3" s="1"/>
  <c r="E406" i="3"/>
  <c r="C407" i="3"/>
  <c r="E407" i="3" s="1"/>
  <c r="E408" i="3"/>
  <c r="C409" i="3"/>
  <c r="E409" i="3" s="1"/>
  <c r="E410" i="3"/>
  <c r="C411" i="3"/>
  <c r="E411" i="3" s="1"/>
  <c r="E412" i="3"/>
  <c r="C413" i="3"/>
  <c r="E413" i="3" s="1"/>
  <c r="E414" i="3"/>
  <c r="C415" i="3"/>
  <c r="E415" i="3" s="1"/>
  <c r="E416" i="3"/>
  <c r="C417" i="3"/>
  <c r="E417" i="3" s="1"/>
  <c r="E418" i="3"/>
  <c r="C399" i="3"/>
  <c r="E399" i="3" s="1"/>
  <c r="B132" i="4" l="1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C393" i="3"/>
  <c r="E393" i="3" s="1"/>
  <c r="E394" i="3"/>
  <c r="C395" i="3"/>
  <c r="E395" i="3" s="1"/>
  <c r="E396" i="3"/>
  <c r="C397" i="3"/>
  <c r="E397" i="3" s="1"/>
  <c r="E398" i="3"/>
  <c r="E391" i="3"/>
  <c r="E389" i="3"/>
  <c r="B118" i="4" l="1"/>
  <c r="C118" i="4"/>
  <c r="E118" i="4" s="1"/>
  <c r="B119" i="4"/>
  <c r="C119" i="4"/>
  <c r="E119" i="4" s="1"/>
  <c r="B120" i="4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16" i="4"/>
  <c r="C116" i="4"/>
  <c r="E116" i="4" s="1"/>
  <c r="B117" i="4"/>
  <c r="C117" i="4"/>
  <c r="E117" i="4" s="1"/>
  <c r="E328" i="3" l="1"/>
  <c r="E330" i="3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C388" i="3"/>
  <c r="E388" i="3" s="1"/>
  <c r="C390" i="3"/>
  <c r="E390" i="3" s="1"/>
  <c r="C392" i="3"/>
  <c r="E392" i="3" s="1"/>
  <c r="E386" i="3"/>
  <c r="E387" i="3"/>
  <c r="C385" i="3"/>
  <c r="E385" i="3" s="1"/>
  <c r="E382" i="3"/>
  <c r="E383" i="3"/>
  <c r="E384" i="3"/>
  <c r="C381" i="3"/>
  <c r="E381" i="3" s="1"/>
  <c r="E378" i="3"/>
  <c r="E379" i="3"/>
  <c r="E380" i="3"/>
  <c r="C377" i="3"/>
  <c r="E377" i="3" s="1"/>
  <c r="E374" i="3"/>
  <c r="E375" i="3"/>
  <c r="E376" i="3"/>
  <c r="C373" i="3"/>
  <c r="E373" i="3" s="1"/>
  <c r="C421" i="2" l="1"/>
  <c r="E421" i="2" s="1"/>
  <c r="C461" i="2"/>
  <c r="E461" i="2" s="1"/>
  <c r="C401" i="2"/>
  <c r="E401" i="2" s="1"/>
  <c r="C48" i="2"/>
  <c r="E48" i="2" s="1"/>
  <c r="C331" i="2"/>
  <c r="E331" i="2" s="1"/>
  <c r="C326" i="2"/>
  <c r="E326" i="2" s="1"/>
  <c r="C329" i="2"/>
  <c r="E329" i="2" s="1"/>
  <c r="C328" i="2"/>
  <c r="E328" i="2" s="1"/>
  <c r="C309" i="2"/>
  <c r="E309" i="2" s="1"/>
  <c r="C409" i="2"/>
  <c r="E409" i="2" s="1"/>
  <c r="C410" i="2"/>
  <c r="E410" i="2" s="1"/>
  <c r="C167" i="2"/>
  <c r="E167" i="2" s="1"/>
  <c r="C542" i="2"/>
  <c r="E542" i="2" s="1"/>
  <c r="C543" i="2"/>
  <c r="E543" i="2" s="1"/>
  <c r="C549" i="2"/>
  <c r="E549" i="2" s="1"/>
  <c r="C557" i="2"/>
  <c r="E557" i="2" s="1"/>
  <c r="C555" i="2"/>
  <c r="E555" i="2" s="1"/>
  <c r="C547" i="2"/>
  <c r="E547" i="2" s="1"/>
  <c r="C559" i="2"/>
  <c r="E559" i="2" s="1"/>
  <c r="C553" i="2"/>
  <c r="E553" i="2" s="1"/>
  <c r="C540" i="2"/>
  <c r="E540" i="2" s="1"/>
  <c r="C544" i="2"/>
  <c r="E544" i="2" s="1"/>
  <c r="C558" i="2"/>
  <c r="E558" i="2" s="1"/>
  <c r="C560" i="2"/>
  <c r="E560" i="2" s="1"/>
  <c r="C532" i="2"/>
  <c r="E532" i="2" s="1"/>
  <c r="C604" i="2"/>
  <c r="E604" i="2" s="1"/>
  <c r="C621" i="2"/>
  <c r="E621" i="2" s="1"/>
  <c r="C86" i="2"/>
  <c r="E86" i="2" s="1"/>
  <c r="C622" i="2"/>
  <c r="E622" i="2" s="1"/>
  <c r="C630" i="2"/>
  <c r="E630" i="2" s="1"/>
  <c r="C629" i="2"/>
  <c r="E629" i="2" s="1"/>
  <c r="E372" i="3" l="1"/>
  <c r="C371" i="3"/>
  <c r="E371" i="3" s="1"/>
  <c r="E368" i="3"/>
  <c r="E369" i="3"/>
  <c r="E370" i="3"/>
  <c r="C367" i="3"/>
  <c r="E367" i="3" s="1"/>
  <c r="B100" i="4"/>
  <c r="C100" i="4"/>
  <c r="E100" i="4" s="1"/>
  <c r="B101" i="4"/>
  <c r="C101" i="4"/>
  <c r="E101" i="4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99" i="4"/>
  <c r="C99" i="4"/>
  <c r="E99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2" i="4"/>
  <c r="C405" i="2" l="1"/>
  <c r="E405" i="2" s="1"/>
  <c r="C311" i="2" l="1"/>
  <c r="E311" i="2" s="1"/>
  <c r="C617" i="2"/>
  <c r="E617" i="2" s="1"/>
  <c r="B1" i="6"/>
  <c r="C623" i="2" l="1"/>
  <c r="E623" i="2" s="1"/>
  <c r="C530" i="2"/>
  <c r="E530" i="2" s="1"/>
  <c r="C548" i="2"/>
  <c r="E548" i="2" s="1"/>
  <c r="C609" i="2" l="1"/>
  <c r="E609" i="2" s="1"/>
  <c r="C612" i="2"/>
  <c r="E612" i="2" s="1"/>
  <c r="C647" i="2" l="1"/>
  <c r="E647" i="2" s="1"/>
  <c r="C551" i="2"/>
  <c r="E551" i="2" s="1"/>
  <c r="C585" i="2"/>
  <c r="E585" i="2" s="1"/>
  <c r="C535" i="2"/>
  <c r="E535" i="2" s="1"/>
  <c r="C537" i="2"/>
  <c r="E537" i="2" s="1"/>
  <c r="C574" i="2"/>
  <c r="E574" i="2" s="1"/>
  <c r="C570" i="2"/>
  <c r="E570" i="2" s="1"/>
  <c r="C583" i="2"/>
  <c r="E583" i="2" s="1"/>
  <c r="C581" i="2"/>
  <c r="E581" i="2" s="1"/>
  <c r="C577" i="2"/>
  <c r="E577" i="2" s="1"/>
  <c r="C582" i="2"/>
  <c r="E582" i="2" s="1"/>
  <c r="C564" i="2"/>
  <c r="E564" i="2" s="1"/>
  <c r="C526" i="2"/>
  <c r="E526" i="2" s="1"/>
  <c r="C579" i="2"/>
  <c r="E579" i="2" s="1"/>
  <c r="C571" i="2"/>
  <c r="E571" i="2" s="1"/>
  <c r="C573" i="2"/>
  <c r="E573" i="2" s="1"/>
  <c r="C569" i="2"/>
  <c r="E569" i="2" s="1"/>
  <c r="C567" i="2"/>
  <c r="E567" i="2" s="1"/>
  <c r="C566" i="2"/>
  <c r="E566" i="2" s="1"/>
  <c r="C563" i="2"/>
  <c r="E563" i="2" s="1"/>
  <c r="C572" i="2"/>
  <c r="E572" i="2" s="1"/>
  <c r="C313" i="2" l="1"/>
  <c r="E313" i="2" s="1"/>
  <c r="C315" i="2"/>
  <c r="E315" i="2" s="1"/>
  <c r="C316" i="2"/>
  <c r="E316" i="2" s="1"/>
  <c r="C317" i="2"/>
  <c r="E317" i="2" s="1"/>
  <c r="C312" i="2"/>
  <c r="E312" i="2" s="1"/>
  <c r="C318" i="2"/>
  <c r="E318" i="2" s="1"/>
  <c r="C314" i="2"/>
  <c r="E314" i="2" s="1"/>
  <c r="C529" i="2"/>
  <c r="E529" i="2" s="1"/>
  <c r="C646" i="2"/>
  <c r="E646" i="2" s="1"/>
  <c r="C319" i="2"/>
  <c r="E319" i="2" s="1"/>
  <c r="C565" i="2"/>
  <c r="E565" i="2" s="1"/>
  <c r="C321" i="2"/>
  <c r="E321" i="2" s="1"/>
  <c r="C310" i="2"/>
  <c r="E310" i="2" s="1"/>
  <c r="C435" i="2"/>
  <c r="E435" i="2" s="1"/>
  <c r="C445" i="2"/>
  <c r="E445" i="2" s="1"/>
  <c r="C434" i="2"/>
  <c r="E434" i="2" s="1"/>
  <c r="C436" i="2"/>
  <c r="E436" i="2" s="1"/>
  <c r="C429" i="2"/>
  <c r="E429" i="2" s="1"/>
  <c r="C430" i="2"/>
  <c r="E430" i="2" s="1"/>
  <c r="C448" i="2"/>
  <c r="E448" i="2" s="1"/>
  <c r="C447" i="2"/>
  <c r="E447" i="2" s="1"/>
  <c r="C591" i="2"/>
  <c r="E591" i="2" s="1"/>
  <c r="C426" i="2"/>
  <c r="E426" i="2" s="1"/>
  <c r="C433" i="2"/>
  <c r="E433" i="2" s="1"/>
  <c r="C438" i="2"/>
  <c r="E438" i="2" s="1"/>
  <c r="C444" i="2"/>
  <c r="E444" i="2" s="1"/>
  <c r="C452" i="2"/>
  <c r="E452" i="2" s="1"/>
  <c r="C450" i="2"/>
  <c r="E450" i="2" s="1"/>
  <c r="C427" i="2"/>
  <c r="E427" i="2" s="1"/>
  <c r="C562" i="2"/>
  <c r="E562" i="2" s="1"/>
  <c r="C424" i="2"/>
  <c r="E424" i="2" s="1"/>
  <c r="C425" i="2"/>
  <c r="E425" i="2" s="1"/>
  <c r="C590" i="2"/>
  <c r="E590" i="2" s="1"/>
  <c r="C443" i="2"/>
  <c r="E443" i="2" s="1"/>
  <c r="C439" i="2"/>
  <c r="E439" i="2" s="1"/>
  <c r="C442" i="2"/>
  <c r="E442" i="2" s="1"/>
  <c r="C440" i="2"/>
  <c r="E440" i="2" s="1"/>
  <c r="C441" i="2"/>
  <c r="E441" i="2" s="1"/>
  <c r="C594" i="2"/>
  <c r="E594" i="2" s="1"/>
  <c r="C432" i="2"/>
  <c r="E432" i="2" s="1"/>
  <c r="C446" i="2"/>
  <c r="E446" i="2" s="1"/>
  <c r="C423" i="2"/>
  <c r="E423" i="2" s="1"/>
  <c r="C431" i="2"/>
  <c r="E431" i="2" s="1"/>
  <c r="C593" i="2"/>
  <c r="E593" i="2" s="1"/>
  <c r="C561" i="2"/>
  <c r="E561" i="2" s="1"/>
  <c r="C538" i="2" l="1"/>
  <c r="E538" i="2" s="1"/>
  <c r="C539" i="2"/>
  <c r="E539" i="2" s="1"/>
  <c r="C605" i="2"/>
  <c r="E605" i="2" s="1"/>
  <c r="C113" i="2"/>
  <c r="E113" i="2" s="1"/>
  <c r="C627" i="2" l="1"/>
  <c r="E627" i="2" s="1"/>
  <c r="C536" i="2" l="1"/>
  <c r="E536" i="2" s="1"/>
  <c r="E364" i="3" l="1"/>
  <c r="E365" i="3"/>
  <c r="E366" i="3"/>
  <c r="C363" i="3"/>
  <c r="E363" i="3" s="1"/>
  <c r="E360" i="3"/>
  <c r="E361" i="3"/>
  <c r="E362" i="3"/>
  <c r="C359" i="3"/>
  <c r="E359" i="3" s="1"/>
  <c r="C356" i="3"/>
  <c r="E356" i="3" s="1"/>
  <c r="E357" i="3"/>
  <c r="E358" i="3"/>
  <c r="C253" i="2" l="1"/>
  <c r="E253" i="2" s="1"/>
  <c r="C265" i="2"/>
  <c r="E265" i="2" s="1"/>
  <c r="C244" i="2"/>
  <c r="E244" i="2" s="1"/>
  <c r="C248" i="2"/>
  <c r="E248" i="2" s="1"/>
  <c r="C228" i="2"/>
  <c r="E228" i="2" s="1"/>
  <c r="C3" i="2" l="1"/>
  <c r="E3" i="2" s="1"/>
  <c r="C242" i="2"/>
  <c r="E242" i="2" s="1"/>
  <c r="C4" i="2" l="1"/>
  <c r="E4" i="2" s="1"/>
  <c r="C481" i="2"/>
  <c r="E481" i="2" s="1"/>
  <c r="C523" i="2"/>
  <c r="E523" i="2" s="1"/>
  <c r="C324" i="2" l="1"/>
  <c r="E324" i="2" s="1"/>
  <c r="C97" i="4" l="1"/>
  <c r="E97" i="4" s="1"/>
  <c r="C98" i="4"/>
  <c r="E98" i="4" s="1"/>
  <c r="C354" i="3" l="1"/>
  <c r="E354" i="3" s="1"/>
  <c r="E355" i="3"/>
  <c r="C352" i="3"/>
  <c r="E352" i="3" s="1"/>
  <c r="E353" i="3"/>
  <c r="E347" i="3" l="1"/>
  <c r="C348" i="3"/>
  <c r="E348" i="3" s="1"/>
  <c r="C349" i="3"/>
  <c r="E349" i="3" s="1"/>
  <c r="E350" i="3"/>
  <c r="C351" i="3"/>
  <c r="E351" i="3" s="1"/>
  <c r="C367" i="2" l="1"/>
  <c r="E367" i="2" s="1"/>
  <c r="C368" i="2"/>
  <c r="E368" i="2" s="1"/>
  <c r="C366" i="2"/>
  <c r="E366" i="2" s="1"/>
  <c r="C363" i="2"/>
  <c r="E363" i="2" s="1"/>
  <c r="C365" i="2"/>
  <c r="E365" i="2" s="1"/>
  <c r="C364" i="2"/>
  <c r="E364" i="2" s="1"/>
  <c r="C362" i="2"/>
  <c r="E362" i="2" s="1"/>
  <c r="C411" i="2" l="1"/>
  <c r="E411" i="2" s="1"/>
  <c r="C413" i="2"/>
  <c r="E413" i="2" s="1"/>
  <c r="C415" i="2"/>
  <c r="E415" i="2" s="1"/>
  <c r="C412" i="2"/>
  <c r="E412" i="2" s="1"/>
  <c r="C414" i="2"/>
  <c r="E414" i="2" s="1"/>
  <c r="C416" i="2"/>
  <c r="E416" i="2" s="1"/>
  <c r="C96" i="4" l="1"/>
  <c r="E96" i="4" s="1"/>
  <c r="C94" i="4" l="1"/>
  <c r="E94" i="4" s="1"/>
  <c r="C95" i="4"/>
  <c r="E95" i="4" s="1"/>
  <c r="C422" i="2"/>
  <c r="E422" i="2" s="1"/>
  <c r="C7" i="2" l="1"/>
  <c r="E7" i="2" s="1"/>
  <c r="E346" i="3" l="1"/>
  <c r="C345" i="3"/>
  <c r="E345" i="3" s="1"/>
  <c r="E344" i="3" l="1"/>
  <c r="E342" i="3"/>
  <c r="C343" i="3"/>
  <c r="E343" i="3" s="1"/>
  <c r="C341" i="3"/>
  <c r="E341" i="3" s="1"/>
  <c r="E210" i="3"/>
  <c r="E340" i="3" l="1"/>
  <c r="C339" i="3"/>
  <c r="E339" i="3" s="1"/>
  <c r="E338" i="3"/>
  <c r="C337" i="3"/>
  <c r="E337" i="3" s="1"/>
  <c r="E336" i="3"/>
  <c r="C335" i="3"/>
  <c r="E335" i="3" s="1"/>
  <c r="E334" i="3"/>
  <c r="C333" i="3"/>
  <c r="E333" i="3" s="1"/>
  <c r="E332" i="3"/>
  <c r="C331" i="3"/>
  <c r="E331" i="3" s="1"/>
  <c r="C329" i="3"/>
  <c r="E329" i="3" s="1"/>
  <c r="C327" i="3"/>
  <c r="E327" i="3" s="1"/>
  <c r="C428" i="2" l="1"/>
  <c r="E428" i="2" s="1"/>
  <c r="E326" i="3" l="1"/>
  <c r="C325" i="3"/>
  <c r="E322" i="3" l="1"/>
  <c r="E323" i="3"/>
  <c r="C321" i="3"/>
  <c r="E321" i="3" s="1"/>
  <c r="E325" i="3"/>
  <c r="E324" i="3"/>
  <c r="C550" i="2" l="1"/>
  <c r="E550" i="2" s="1"/>
  <c r="C552" i="2"/>
  <c r="E552" i="2" s="1"/>
  <c r="C588" i="2"/>
  <c r="E588" i="2" s="1"/>
  <c r="C589" i="2"/>
  <c r="E589" i="2" s="1"/>
  <c r="C587" i="2"/>
  <c r="E587" i="2" s="1"/>
  <c r="C398" i="2" l="1"/>
  <c r="E398" i="2" s="1"/>
  <c r="E278" i="3" l="1"/>
  <c r="C277" i="3"/>
  <c r="E277" i="3" s="1"/>
  <c r="C14" i="2" l="1"/>
  <c r="E14" i="2" s="1"/>
  <c r="C15" i="2"/>
  <c r="E15" i="2" s="1"/>
  <c r="E320" i="3" l="1"/>
  <c r="C317" i="3"/>
  <c r="E317" i="3" s="1"/>
  <c r="E318" i="3"/>
  <c r="E319" i="3"/>
  <c r="C313" i="3"/>
  <c r="E313" i="3" s="1"/>
  <c r="E314" i="3"/>
  <c r="E315" i="3"/>
  <c r="E316" i="3"/>
  <c r="E310" i="3"/>
  <c r="E311" i="3"/>
  <c r="E312" i="3"/>
  <c r="C309" i="3"/>
  <c r="E309" i="3" s="1"/>
  <c r="E306" i="3"/>
  <c r="E307" i="3"/>
  <c r="E308" i="3"/>
  <c r="C305" i="3"/>
  <c r="E305" i="3" s="1"/>
  <c r="E302" i="3"/>
  <c r="E303" i="3"/>
  <c r="E304" i="3"/>
  <c r="C301" i="3"/>
  <c r="E301" i="3" s="1"/>
  <c r="E296" i="3" l="1"/>
  <c r="E300" i="3"/>
  <c r="E299" i="3"/>
  <c r="E298" i="3"/>
  <c r="C297" i="3"/>
  <c r="E297" i="3" s="1"/>
  <c r="E293" i="3"/>
  <c r="E294" i="3"/>
  <c r="E295" i="3"/>
  <c r="C292" i="3"/>
  <c r="E292" i="3" s="1"/>
  <c r="C285" i="3" l="1"/>
  <c r="E285" i="3" s="1"/>
  <c r="E286" i="3"/>
  <c r="E287" i="3"/>
  <c r="C288" i="3"/>
  <c r="E288" i="3" s="1"/>
  <c r="E289" i="3"/>
  <c r="E290" i="3"/>
  <c r="E291" i="3"/>
  <c r="C284" i="3"/>
  <c r="E284" i="3" s="1"/>
  <c r="E283" i="3"/>
  <c r="C282" i="3"/>
  <c r="E282" i="3" s="1"/>
  <c r="E281" i="3"/>
  <c r="C280" i="3"/>
  <c r="E280" i="3" s="1"/>
  <c r="E279" i="3"/>
  <c r="C276" i="3"/>
  <c r="E276" i="3" s="1"/>
  <c r="E275" i="3"/>
  <c r="E274" i="3"/>
  <c r="C273" i="3"/>
  <c r="E273" i="3" s="1"/>
  <c r="C335" i="2"/>
  <c r="E335" i="2" s="1"/>
  <c r="C333" i="2"/>
  <c r="E333" i="2" s="1"/>
  <c r="C336" i="2"/>
  <c r="E336" i="2" s="1"/>
  <c r="C406" i="2"/>
  <c r="E406" i="2" s="1"/>
  <c r="C195" i="2"/>
  <c r="E195" i="2" s="1"/>
  <c r="C334" i="2"/>
  <c r="E334" i="2" s="1"/>
  <c r="C332" i="2"/>
  <c r="E332" i="2" s="1"/>
  <c r="E272" i="3" l="1"/>
  <c r="C271" i="3"/>
  <c r="E271" i="3" s="1"/>
  <c r="E270" i="3"/>
  <c r="C269" i="3"/>
  <c r="E269" i="3" s="1"/>
  <c r="E266" i="3" l="1"/>
  <c r="E267" i="3"/>
  <c r="E268" i="3"/>
  <c r="C265" i="3"/>
  <c r="E265" i="3" s="1"/>
  <c r="E262" i="3"/>
  <c r="E263" i="3"/>
  <c r="E264" i="3"/>
  <c r="C261" i="3"/>
  <c r="E261" i="3" s="1"/>
  <c r="E258" i="3"/>
  <c r="E259" i="3"/>
  <c r="E260" i="3"/>
  <c r="C257" i="3"/>
  <c r="E257" i="3" s="1"/>
  <c r="E254" i="3"/>
  <c r="E255" i="3"/>
  <c r="E256" i="3"/>
  <c r="C253" i="3"/>
  <c r="E253" i="3" s="1"/>
  <c r="E251" i="3"/>
  <c r="E252" i="3"/>
  <c r="C250" i="3"/>
  <c r="E250" i="3" s="1"/>
  <c r="E247" i="3"/>
  <c r="E248" i="3"/>
  <c r="E249" i="3"/>
  <c r="C246" i="3"/>
  <c r="E246" i="3" s="1"/>
  <c r="E245" i="3"/>
  <c r="C244" i="3"/>
  <c r="E244" i="3" s="1"/>
  <c r="E241" i="3"/>
  <c r="E242" i="3"/>
  <c r="E243" i="3"/>
  <c r="C240" i="3"/>
  <c r="E240" i="3" s="1"/>
  <c r="E239" i="3"/>
  <c r="E238" i="3"/>
  <c r="C237" i="3"/>
  <c r="E237" i="3" s="1"/>
  <c r="E236" i="3"/>
  <c r="E235" i="3"/>
  <c r="C234" i="3"/>
  <c r="E234" i="3" s="1"/>
  <c r="E233" i="3"/>
  <c r="E232" i="3"/>
  <c r="E231" i="3"/>
  <c r="C230" i="3"/>
  <c r="E230" i="3" s="1"/>
  <c r="E229" i="3"/>
  <c r="E228" i="3"/>
  <c r="E227" i="3"/>
  <c r="C226" i="3"/>
  <c r="E226" i="3" s="1"/>
  <c r="C389" i="2" l="1"/>
  <c r="E389" i="2" s="1"/>
  <c r="C383" i="2"/>
  <c r="E383" i="2" s="1"/>
  <c r="C133" i="2" l="1"/>
  <c r="E133" i="2" s="1"/>
  <c r="C126" i="2"/>
  <c r="E126" i="2" s="1"/>
  <c r="C87" i="2" l="1"/>
  <c r="E87" i="2" s="1"/>
  <c r="C174" i="2" l="1"/>
  <c r="E174" i="2" s="1"/>
  <c r="C632" i="2"/>
  <c r="E632" i="2" s="1"/>
  <c r="C127" i="2" l="1"/>
  <c r="E127" i="2" s="1"/>
  <c r="C123" i="2" l="1"/>
  <c r="E123" i="2" s="1"/>
  <c r="C136" i="2"/>
  <c r="E136" i="2" s="1"/>
  <c r="C140" i="2"/>
  <c r="E140" i="2" s="1"/>
  <c r="C142" i="2"/>
  <c r="E142" i="2" s="1"/>
  <c r="C137" i="2"/>
  <c r="E137" i="2" s="1"/>
  <c r="C122" i="2"/>
  <c r="E122" i="2" s="1"/>
  <c r="C124" i="2"/>
  <c r="E124" i="2" s="1"/>
  <c r="C138" i="2"/>
  <c r="E138" i="2" s="1"/>
  <c r="C130" i="2"/>
  <c r="E130" i="2" s="1"/>
  <c r="C125" i="2"/>
  <c r="E125" i="2" s="1"/>
  <c r="C139" i="2"/>
  <c r="E139" i="2" s="1"/>
  <c r="C120" i="2" l="1"/>
  <c r="E120" i="2" s="1"/>
  <c r="C143" i="2"/>
  <c r="E143" i="2" s="1"/>
  <c r="C135" i="2"/>
  <c r="E135" i="2" s="1"/>
  <c r="C128" i="2" l="1"/>
  <c r="E128" i="2" s="1"/>
  <c r="C141" i="2" l="1"/>
  <c r="E141" i="2" s="1"/>
  <c r="C134" i="2" l="1"/>
  <c r="E134" i="2" s="1"/>
  <c r="C330" i="2"/>
  <c r="E330" i="2" s="1"/>
  <c r="C196" i="2" l="1"/>
  <c r="E196" i="2" s="1"/>
  <c r="C464" i="2"/>
  <c r="E464" i="2" s="1"/>
  <c r="C466" i="2"/>
  <c r="E466" i="2" s="1"/>
  <c r="C465" i="2"/>
  <c r="E465" i="2" s="1"/>
  <c r="C468" i="2"/>
  <c r="E468" i="2" s="1"/>
  <c r="C467" i="2"/>
  <c r="E467" i="2" s="1"/>
  <c r="C225" i="2" l="1"/>
  <c r="E225" i="2" s="1"/>
  <c r="C287" i="2"/>
  <c r="E287" i="2" s="1"/>
  <c r="C210" i="2"/>
  <c r="E210" i="2" s="1"/>
  <c r="C284" i="2" l="1"/>
  <c r="E284" i="2" s="1"/>
  <c r="C285" i="2"/>
  <c r="E285" i="2" s="1"/>
  <c r="C292" i="2" l="1"/>
  <c r="E292" i="2" s="1"/>
  <c r="C289" i="2"/>
  <c r="E289" i="2" s="1"/>
  <c r="C290" i="2"/>
  <c r="E290" i="2" s="1"/>
  <c r="C288" i="2"/>
  <c r="E288" i="2" s="1"/>
  <c r="C5" i="2"/>
  <c r="E5" i="2" s="1"/>
  <c r="C520" i="2" l="1"/>
  <c r="E520" i="2" s="1"/>
  <c r="C618" i="2" l="1"/>
  <c r="E618" i="2" s="1"/>
  <c r="C610" i="2" l="1"/>
  <c r="E610" i="2" s="1"/>
  <c r="C607" i="2" l="1"/>
  <c r="E607" i="2" s="1"/>
  <c r="C606" i="2" l="1"/>
  <c r="E606" i="2" s="1"/>
  <c r="C586" i="2" l="1"/>
  <c r="E586" i="2" s="1"/>
  <c r="C531" i="2" l="1"/>
  <c r="E531" i="2" s="1"/>
  <c r="C451" i="2"/>
  <c r="E451" i="2" s="1"/>
  <c r="C437" i="2"/>
  <c r="E437" i="2" s="1"/>
  <c r="C449" i="2"/>
  <c r="E449" i="2" s="1"/>
  <c r="C554" i="2" l="1"/>
  <c r="E554" i="2" s="1"/>
  <c r="C533" i="2" l="1"/>
  <c r="E533" i="2" s="1"/>
  <c r="C608" i="2"/>
  <c r="E608" i="2" s="1"/>
  <c r="C568" i="2" l="1"/>
  <c r="E568" i="2" s="1"/>
  <c r="C584" i="2"/>
  <c r="E584" i="2" s="1"/>
  <c r="C207" i="2" l="1"/>
  <c r="E207" i="2" s="1"/>
  <c r="C277" i="2"/>
  <c r="E277" i="2" s="1"/>
  <c r="C286" i="2"/>
  <c r="E286" i="2" s="1"/>
  <c r="C306" i="2" l="1"/>
  <c r="E306" i="2" s="1"/>
  <c r="C281" i="2" l="1"/>
  <c r="E281" i="2" s="1"/>
  <c r="C280" i="2"/>
  <c r="E280" i="2" s="1"/>
  <c r="C302" i="2"/>
  <c r="E302" i="2" s="1"/>
  <c r="C294" i="2" l="1"/>
  <c r="E294" i="2" s="1"/>
  <c r="C293" i="2"/>
  <c r="E293" i="2" s="1"/>
  <c r="C209" i="2"/>
  <c r="C493" i="2"/>
  <c r="E493" i="2" s="1"/>
  <c r="C475" i="2"/>
  <c r="E475" i="2" s="1"/>
  <c r="C471" i="2"/>
  <c r="E471" i="2" s="1"/>
  <c r="C473" i="2"/>
  <c r="E473" i="2" s="1"/>
  <c r="C479" i="2"/>
  <c r="E479" i="2" s="1"/>
  <c r="C472" i="2"/>
  <c r="E472" i="2" s="1"/>
  <c r="C477" i="2"/>
  <c r="E477" i="2" s="1"/>
  <c r="C496" i="2"/>
  <c r="E496" i="2" s="1"/>
  <c r="C494" i="2"/>
  <c r="C6" i="2" l="1"/>
  <c r="C305" i="2"/>
  <c r="C291" i="2"/>
  <c r="C395" i="2" l="1"/>
  <c r="E395" i="2" s="1"/>
  <c r="C382" i="2"/>
  <c r="E382" i="2" s="1"/>
  <c r="C278" i="2" l="1"/>
  <c r="E278" i="2" s="1"/>
  <c r="C279" i="2"/>
  <c r="E279" i="2" s="1"/>
  <c r="C371" i="2"/>
  <c r="C379" i="2"/>
  <c r="C394" i="2"/>
  <c r="C378" i="2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84" i="2"/>
  <c r="E384" i="2" s="1"/>
  <c r="C386" i="2"/>
  <c r="E386" i="2" s="1"/>
  <c r="C385" i="2"/>
  <c r="E385" i="2" s="1"/>
  <c r="C381" i="2"/>
  <c r="E381" i="2" s="1"/>
  <c r="C375" i="2"/>
  <c r="E375" i="2" s="1"/>
  <c r="C376" i="2"/>
  <c r="E376" i="2" s="1"/>
  <c r="C392" i="2" l="1"/>
  <c r="E392" i="2" s="1"/>
  <c r="C282" i="2" l="1"/>
  <c r="E282" i="2" s="1"/>
  <c r="C222" i="2"/>
  <c r="E222" i="2" s="1"/>
  <c r="C231" i="2"/>
  <c r="E231" i="2" s="1"/>
  <c r="C227" i="2"/>
  <c r="E227" i="2" s="1"/>
  <c r="C206" i="2"/>
  <c r="E206" i="2" s="1"/>
  <c r="C205" i="2"/>
  <c r="E205" i="2" s="1"/>
  <c r="E378" i="2"/>
  <c r="E394" i="2"/>
  <c r="E379" i="2"/>
  <c r="E371" i="2"/>
  <c r="E291" i="2"/>
  <c r="E305" i="2"/>
  <c r="E6" i="2"/>
  <c r="E494" i="2"/>
  <c r="E209" i="2"/>
  <c r="C235" i="2"/>
  <c r="E235" i="2" s="1"/>
  <c r="C232" i="2"/>
  <c r="E232" i="2" s="1"/>
  <c r="C198" i="2"/>
  <c r="E198" i="2" s="1"/>
  <c r="C200" i="2"/>
  <c r="E200" i="2" s="1"/>
  <c r="C199" i="2"/>
  <c r="E199" i="2" s="1"/>
  <c r="C35" i="2" l="1"/>
  <c r="E35" i="2" s="1"/>
  <c r="C391" i="2"/>
  <c r="E391" i="2" s="1"/>
  <c r="C390" i="2"/>
  <c r="E390" i="2" s="1"/>
  <c r="C396" i="2"/>
  <c r="E396" i="2" s="1"/>
  <c r="C393" i="2"/>
  <c r="E393" i="2" s="1"/>
  <c r="C388" i="2"/>
  <c r="E388" i="2" s="1"/>
  <c r="C387" i="2"/>
  <c r="E387" i="2" s="1"/>
  <c r="C492" i="2" l="1"/>
  <c r="E492" i="2" s="1"/>
  <c r="C2" i="2"/>
  <c r="E2" i="2" s="1"/>
  <c r="C360" i="2"/>
  <c r="E360" i="2" s="1"/>
  <c r="C359" i="2"/>
  <c r="E359" i="2" s="1"/>
  <c r="C356" i="2" l="1"/>
  <c r="E356" i="2" s="1"/>
  <c r="C482" i="2"/>
  <c r="E482" i="2" s="1"/>
  <c r="C515" i="2"/>
  <c r="E515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203" i="2" l="1"/>
  <c r="E203" i="2" s="1"/>
  <c r="E180" i="3" l="1"/>
  <c r="E163" i="3"/>
  <c r="C168" i="3"/>
  <c r="E168" i="3" s="1"/>
  <c r="E169" i="3"/>
  <c r="E170" i="3"/>
  <c r="E171" i="3"/>
  <c r="C172" i="3"/>
  <c r="E172" i="3" s="1"/>
  <c r="E173" i="3"/>
  <c r="E174" i="3"/>
  <c r="C178" i="3"/>
  <c r="E178" i="3" s="1"/>
  <c r="E179" i="3"/>
  <c r="E165" i="3"/>
  <c r="E140" i="3"/>
  <c r="E141" i="3"/>
  <c r="C144" i="3"/>
  <c r="E144" i="3" s="1"/>
  <c r="E145" i="3"/>
  <c r="E146" i="3"/>
  <c r="E147" i="3"/>
  <c r="C155" i="3"/>
  <c r="E155" i="3" s="1"/>
  <c r="E156" i="3"/>
  <c r="E157" i="3"/>
  <c r="E158" i="3"/>
  <c r="E159" i="3"/>
  <c r="C164" i="3"/>
  <c r="E164" i="3" s="1"/>
  <c r="E166" i="3"/>
  <c r="E167" i="3"/>
  <c r="C160" i="3"/>
  <c r="E160" i="3" s="1"/>
  <c r="E161" i="3"/>
  <c r="E162" i="3"/>
  <c r="C139" i="3"/>
  <c r="E139" i="3" s="1"/>
  <c r="E154" i="3"/>
  <c r="C85" i="3" l="1"/>
  <c r="E85" i="3" s="1"/>
  <c r="E86" i="3"/>
  <c r="E87" i="3"/>
  <c r="C109" i="3"/>
  <c r="E109" i="3" s="1"/>
  <c r="E110" i="3"/>
  <c r="E111" i="3"/>
  <c r="C116" i="3"/>
  <c r="C58" i="3"/>
  <c r="E58" i="3" s="1"/>
  <c r="E59" i="3"/>
  <c r="E60" i="3"/>
  <c r="C81" i="3"/>
  <c r="E81" i="3" s="1"/>
  <c r="E82" i="3"/>
  <c r="E83" i="3"/>
  <c r="E84" i="3"/>
  <c r="C72" i="3"/>
  <c r="E72" i="3" s="1"/>
  <c r="E73" i="3"/>
  <c r="E74" i="3"/>
  <c r="E75" i="3"/>
  <c r="C102" i="3"/>
  <c r="E102" i="3" s="1"/>
  <c r="E103" i="3"/>
  <c r="E104" i="3"/>
  <c r="E105" i="3"/>
  <c r="E116" i="3"/>
  <c r="E117" i="3"/>
  <c r="E118" i="3"/>
  <c r="C61" i="3"/>
  <c r="E61" i="3" s="1"/>
  <c r="E62" i="3"/>
  <c r="E63" i="3"/>
  <c r="E136" i="3"/>
  <c r="E137" i="3"/>
  <c r="E138" i="3"/>
  <c r="C135" i="3"/>
  <c r="E135" i="3" s="1"/>
  <c r="E132" i="3"/>
  <c r="E133" i="3"/>
  <c r="E134" i="3"/>
  <c r="C131" i="3"/>
  <c r="E131" i="3" s="1"/>
  <c r="E57" i="3" l="1"/>
  <c r="E56" i="3"/>
  <c r="E55" i="3"/>
  <c r="C54" i="3"/>
  <c r="E54" i="3" s="1"/>
  <c r="E130" i="3"/>
  <c r="E129" i="3"/>
  <c r="E128" i="3"/>
  <c r="C127" i="3"/>
  <c r="E127" i="3" s="1"/>
  <c r="E124" i="3"/>
  <c r="E125" i="3"/>
  <c r="E126" i="3"/>
  <c r="C123" i="3"/>
  <c r="E123" i="3" s="1"/>
  <c r="E115" i="3"/>
  <c r="E98" i="3"/>
  <c r="E100" i="3"/>
  <c r="C96" i="3"/>
  <c r="E96" i="3" s="1"/>
  <c r="E122" i="3"/>
  <c r="E95" i="3"/>
  <c r="E80" i="3"/>
  <c r="E67" i="3"/>
  <c r="E71" i="3"/>
  <c r="C49" i="2" l="1"/>
  <c r="E49" i="2" s="1"/>
  <c r="C628" i="2" l="1"/>
  <c r="E628" i="2" s="1"/>
  <c r="C626" i="2"/>
  <c r="E626" i="2" s="1"/>
  <c r="E99" i="3" l="1"/>
  <c r="E101" i="3"/>
  <c r="C97" i="3"/>
  <c r="E97" i="3" s="1"/>
  <c r="C144" i="2"/>
  <c r="E144" i="2" s="1"/>
  <c r="E191" i="2"/>
  <c r="E192" i="2"/>
  <c r="C490" i="2" l="1"/>
  <c r="E490" i="2" s="1"/>
  <c r="C486" i="2"/>
  <c r="E486" i="2" s="1"/>
  <c r="C489" i="2"/>
  <c r="E489" i="2" s="1"/>
  <c r="C488" i="2"/>
  <c r="E488" i="2" s="1"/>
  <c r="C491" i="2"/>
  <c r="E491" i="2" s="1"/>
  <c r="C487" i="2"/>
  <c r="E487" i="2" s="1"/>
  <c r="E193" i="2"/>
  <c r="E194" i="2"/>
  <c r="E143" i="3"/>
  <c r="C142" i="3"/>
  <c r="E142" i="3" s="1"/>
  <c r="C516" i="2" l="1"/>
  <c r="E516" i="2" s="1"/>
  <c r="E37" i="3" l="1"/>
  <c r="E35" i="3"/>
  <c r="E36" i="3"/>
  <c r="E150" i="3"/>
  <c r="E149" i="3"/>
  <c r="C148" i="3"/>
  <c r="E148" i="3" s="1"/>
  <c r="E177" i="3"/>
  <c r="C175" i="3"/>
  <c r="E175" i="3" s="1"/>
  <c r="E176" i="3"/>
  <c r="C39" i="2"/>
  <c r="E39" i="2" s="1"/>
  <c r="C131" i="2"/>
  <c r="E131" i="2" s="1"/>
  <c r="C129" i="2"/>
  <c r="E129" i="2" s="1"/>
  <c r="C117" i="2"/>
  <c r="E117" i="2" s="1"/>
  <c r="C147" i="2"/>
  <c r="E147" i="2" s="1"/>
  <c r="C151" i="2"/>
  <c r="E151" i="2" s="1"/>
  <c r="C153" i="2"/>
  <c r="E153" i="2" s="1"/>
  <c r="C168" i="2"/>
  <c r="E168" i="2" s="1"/>
  <c r="C149" i="2"/>
  <c r="E149" i="2" s="1"/>
  <c r="C154" i="2"/>
  <c r="E154" i="2" s="1"/>
  <c r="C155" i="2"/>
  <c r="E155" i="2" s="1"/>
  <c r="C159" i="2"/>
  <c r="E159" i="2" s="1"/>
  <c r="C160" i="2"/>
  <c r="E160" i="2" s="1"/>
  <c r="C157" i="2"/>
  <c r="E157" i="2" s="1"/>
  <c r="C164" i="2"/>
  <c r="E164" i="2" s="1"/>
  <c r="C166" i="2"/>
  <c r="E166" i="2" s="1"/>
  <c r="C171" i="2"/>
  <c r="E171" i="2" s="1"/>
  <c r="C172" i="2"/>
  <c r="E172" i="2" s="1"/>
  <c r="C181" i="2"/>
  <c r="E181" i="2" s="1"/>
  <c r="C611" i="2"/>
  <c r="E611" i="2" s="1"/>
  <c r="C323" i="2"/>
  <c r="E323" i="2" s="1"/>
  <c r="C322" i="2"/>
  <c r="E322" i="2" s="1"/>
  <c r="C325" i="2"/>
  <c r="E325" i="2" s="1"/>
  <c r="C338" i="2"/>
  <c r="E338" i="2" s="1"/>
  <c r="C337" i="2"/>
  <c r="E337" i="2" s="1"/>
  <c r="C339" i="2"/>
  <c r="E339" i="2" s="1"/>
  <c r="C342" i="2"/>
  <c r="E342" i="2" s="1"/>
  <c r="C346" i="2"/>
  <c r="E346" i="2" s="1"/>
  <c r="C407" i="2"/>
  <c r="E407" i="2" s="1"/>
  <c r="C408" i="2"/>
  <c r="E408" i="2" s="1"/>
  <c r="C527" i="2"/>
  <c r="E527" i="2" s="1"/>
  <c r="C541" i="2"/>
  <c r="E541" i="2" s="1"/>
  <c r="C576" i="2"/>
  <c r="E576" i="2" s="1"/>
  <c r="C534" i="2"/>
  <c r="E534" i="2" s="1"/>
  <c r="C580" i="2"/>
  <c r="E580" i="2" s="1"/>
  <c r="C578" i="2"/>
  <c r="E578" i="2" s="1"/>
  <c r="C595" i="2"/>
  <c r="E595" i="2" s="1"/>
  <c r="C596" i="2"/>
  <c r="E596" i="2" s="1"/>
  <c r="C597" i="2"/>
  <c r="E597" i="2" s="1"/>
  <c r="C598" i="2"/>
  <c r="E598" i="2" s="1"/>
  <c r="C600" i="2"/>
  <c r="E600" i="2" s="1"/>
  <c r="C633" i="2"/>
  <c r="E633" i="2" s="1"/>
  <c r="C634" i="2"/>
  <c r="E634" i="2" s="1"/>
  <c r="C635" i="2"/>
  <c r="E635" i="2" s="1"/>
  <c r="C636" i="2"/>
  <c r="E636" i="2" s="1"/>
  <c r="C638" i="2"/>
  <c r="E638" i="2" s="1"/>
  <c r="C637" i="2"/>
  <c r="E637" i="2" s="1"/>
  <c r="C639" i="2"/>
  <c r="E639" i="2" s="1"/>
  <c r="C641" i="2"/>
  <c r="E641" i="2" s="1"/>
  <c r="C642" i="2"/>
  <c r="E642" i="2" s="1"/>
  <c r="C643" i="2"/>
  <c r="E643" i="2" s="1"/>
  <c r="C644" i="2"/>
  <c r="E644" i="2" s="1"/>
  <c r="C665" i="2"/>
  <c r="E665" i="2" s="1"/>
  <c r="C667" i="2"/>
  <c r="E667" i="2" s="1"/>
  <c r="C669" i="2"/>
  <c r="E669" i="2" s="1"/>
  <c r="C671" i="2"/>
  <c r="E671" i="2" s="1"/>
  <c r="C673" i="2"/>
  <c r="E673" i="2" s="1"/>
  <c r="C675" i="2"/>
  <c r="E675" i="2" s="1"/>
  <c r="C677" i="2"/>
  <c r="E677" i="2" s="1"/>
  <c r="C679" i="2"/>
  <c r="E679" i="2" s="1"/>
  <c r="C681" i="2"/>
  <c r="E681" i="2" s="1"/>
  <c r="C659" i="2"/>
  <c r="E659" i="2" s="1"/>
  <c r="C661" i="2"/>
  <c r="E661" i="2" s="1"/>
  <c r="C663" i="2"/>
  <c r="E663" i="2" s="1"/>
  <c r="C683" i="2"/>
  <c r="E683" i="2" s="1"/>
  <c r="C684" i="2"/>
  <c r="E684" i="2" s="1"/>
  <c r="C480" i="2" l="1"/>
  <c r="E480" i="2" s="1"/>
  <c r="C518" i="2"/>
  <c r="E518" i="2" s="1"/>
  <c r="C519" i="2"/>
  <c r="E519" i="2" s="1"/>
  <c r="C497" i="2"/>
  <c r="E497" i="2" s="1"/>
  <c r="C484" i="2"/>
  <c r="E484" i="2" s="1"/>
  <c r="C521" i="2"/>
  <c r="E521" i="2" s="1"/>
  <c r="C476" i="2"/>
  <c r="E476" i="2" s="1"/>
  <c r="C470" i="2"/>
  <c r="E470" i="2" s="1"/>
  <c r="C505" i="2"/>
  <c r="E505" i="2" s="1"/>
  <c r="C506" i="2"/>
  <c r="E506" i="2" s="1"/>
  <c r="C474" i="2"/>
  <c r="E474" i="2" s="1"/>
  <c r="C507" i="2"/>
  <c r="E507" i="2" s="1"/>
  <c r="C508" i="2"/>
  <c r="E508" i="2" s="1"/>
  <c r="C478" i="2"/>
  <c r="E478" i="2" s="1"/>
  <c r="C495" i="2"/>
  <c r="E495" i="2" s="1"/>
  <c r="C509" i="2"/>
  <c r="E509" i="2" s="1"/>
  <c r="C510" i="2"/>
  <c r="E510" i="2" s="1"/>
  <c r="C498" i="2"/>
  <c r="E498" i="2" s="1"/>
  <c r="C511" i="2"/>
  <c r="E511" i="2" s="1"/>
  <c r="C513" i="2"/>
  <c r="E513" i="2" s="1"/>
  <c r="C512" i="2"/>
  <c r="E512" i="2" s="1"/>
  <c r="C517" i="2"/>
  <c r="E517" i="2" s="1"/>
  <c r="C514" i="2"/>
  <c r="E514" i="2" s="1"/>
  <c r="C522" i="2"/>
  <c r="E522" i="2" s="1"/>
  <c r="C483" i="2"/>
  <c r="E483" i="2" s="1"/>
  <c r="C462" i="2"/>
  <c r="E462" i="2" s="1"/>
  <c r="C485" i="2"/>
  <c r="E485" i="2" s="1"/>
  <c r="C499" i="2"/>
  <c r="E499" i="2" s="1"/>
  <c r="C500" i="2"/>
  <c r="E500" i="2" s="1"/>
  <c r="C501" i="2"/>
  <c r="E501" i="2" s="1"/>
  <c r="C502" i="2"/>
  <c r="E502" i="2" s="1"/>
  <c r="C503" i="2"/>
  <c r="E503" i="2" s="1"/>
  <c r="C504" i="2"/>
  <c r="E504" i="2" s="1"/>
  <c r="C296" i="2" l="1"/>
  <c r="E296" i="2" s="1"/>
  <c r="C300" i="2"/>
  <c r="E300" i="2" s="1"/>
  <c r="C298" i="2"/>
  <c r="E298" i="2" s="1"/>
  <c r="C299" i="2"/>
  <c r="E299" i="2" s="1"/>
  <c r="C295" i="2"/>
  <c r="E295" i="2" s="1"/>
  <c r="C297" i="2"/>
  <c r="E297" i="2" s="1"/>
  <c r="C249" i="2"/>
  <c r="E249" i="2" s="1"/>
  <c r="C245" i="2"/>
  <c r="E245" i="2" s="1"/>
  <c r="C212" i="2"/>
  <c r="E212" i="2" s="1"/>
  <c r="C211" i="2"/>
  <c r="E211" i="2" s="1"/>
  <c r="C229" i="2"/>
  <c r="E229" i="2" s="1"/>
  <c r="C234" i="2"/>
  <c r="E234" i="2" s="1"/>
  <c r="C250" i="2"/>
  <c r="E250" i="2" s="1"/>
  <c r="C220" i="2"/>
  <c r="E220" i="2" s="1"/>
  <c r="C208" i="2"/>
  <c r="E208" i="2" s="1"/>
  <c r="C247" i="2"/>
  <c r="E247" i="2" s="1"/>
  <c r="C221" i="2"/>
  <c r="E221" i="2" s="1"/>
  <c r="C226" i="2"/>
  <c r="E226" i="2" s="1"/>
  <c r="C241" i="2"/>
  <c r="E241" i="2" s="1"/>
  <c r="C230" i="2"/>
  <c r="E230" i="2" s="1"/>
  <c r="C233" i="2"/>
  <c r="E233" i="2" s="1"/>
  <c r="C236" i="2"/>
  <c r="E236" i="2" s="1"/>
  <c r="C237" i="2"/>
  <c r="E237" i="2" s="1"/>
  <c r="C240" i="2"/>
  <c r="E240" i="2" s="1"/>
  <c r="C254" i="2"/>
  <c r="E254" i="2" s="1"/>
  <c r="C252" i="2"/>
  <c r="E252" i="2" s="1"/>
  <c r="C303" i="2"/>
  <c r="E303" i="2" s="1"/>
  <c r="C251" i="2"/>
  <c r="E251" i="2" s="1"/>
  <c r="C255" i="2"/>
  <c r="E255" i="2" s="1"/>
  <c r="C224" i="2"/>
  <c r="E224" i="2" s="1"/>
  <c r="C261" i="2"/>
  <c r="E261" i="2" s="1"/>
  <c r="C267" i="2"/>
  <c r="E267" i="2" s="1"/>
  <c r="C257" i="2"/>
  <c r="E257" i="2" s="1"/>
  <c r="C223" i="2"/>
  <c r="E223" i="2" s="1"/>
  <c r="C271" i="2"/>
  <c r="E271" i="2" s="1"/>
  <c r="C256" i="2"/>
  <c r="E256" i="2" s="1"/>
  <c r="C246" i="2"/>
  <c r="E246" i="2" s="1"/>
  <c r="C243" i="2"/>
  <c r="E243" i="2" s="1"/>
  <c r="C307" i="2"/>
  <c r="E307" i="2" s="1"/>
  <c r="C264" i="2"/>
  <c r="E264" i="2" s="1"/>
  <c r="C262" i="2"/>
  <c r="E262" i="2" s="1"/>
  <c r="C268" i="2"/>
  <c r="E268" i="2" s="1"/>
  <c r="C270" i="2"/>
  <c r="E270" i="2" s="1"/>
  <c r="C239" i="2"/>
  <c r="E239" i="2" s="1"/>
  <c r="C258" i="2"/>
  <c r="E258" i="2" s="1"/>
  <c r="C214" i="2"/>
  <c r="E214" i="2" s="1"/>
  <c r="C216" i="2"/>
  <c r="E216" i="2" s="1"/>
  <c r="C217" i="2"/>
  <c r="E217" i="2" s="1"/>
  <c r="C213" i="2"/>
  <c r="E213" i="2" s="1"/>
  <c r="C218" i="2"/>
  <c r="E218" i="2" s="1"/>
  <c r="C283" i="2"/>
  <c r="E283" i="2" s="1"/>
  <c r="C215" i="2"/>
  <c r="E215" i="2" s="1"/>
  <c r="C219" i="2"/>
  <c r="E219" i="2" s="1"/>
  <c r="C260" i="2"/>
  <c r="E260" i="2" s="1"/>
  <c r="C266" i="2"/>
  <c r="E266" i="2" s="1"/>
  <c r="C263" i="2"/>
  <c r="E263" i="2" s="1"/>
  <c r="C269" i="2"/>
  <c r="E269" i="2" s="1"/>
  <c r="C238" i="2" l="1"/>
  <c r="E238" i="2" s="1"/>
  <c r="C301" i="2"/>
  <c r="E301" i="2" s="1"/>
  <c r="C259" i="2"/>
  <c r="E259" i="2" s="1"/>
  <c r="C272" i="2" l="1"/>
  <c r="E272" i="2" s="1"/>
  <c r="C274" i="2"/>
  <c r="E274" i="2" s="1"/>
  <c r="C276" i="2" l="1"/>
  <c r="E276" i="2" s="1"/>
  <c r="C304" i="2"/>
  <c r="E304" i="2" s="1"/>
  <c r="C273" i="2"/>
  <c r="E273" i="2" s="1"/>
  <c r="C275" i="2"/>
  <c r="E275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99" i="2" l="1"/>
  <c r="E599" i="2" s="1"/>
  <c r="C613" i="2"/>
  <c r="E613" i="2" s="1"/>
  <c r="C118" i="2"/>
  <c r="E118" i="2" s="1"/>
  <c r="C119" i="2"/>
  <c r="E119" i="2" s="1"/>
  <c r="C34" i="2" l="1"/>
  <c r="E34" i="2" s="1"/>
  <c r="C320" i="2" l="1"/>
  <c r="E320" i="2" s="1"/>
  <c r="C201" i="2" l="1"/>
  <c r="E201" i="2" s="1"/>
  <c r="C602" i="2" l="1"/>
  <c r="E602" i="2" s="1"/>
  <c r="C327" i="2" l="1"/>
  <c r="E327" i="2" s="1"/>
  <c r="C114" i="2" l="1"/>
  <c r="E114" i="2" s="1"/>
  <c r="C115" i="2"/>
  <c r="E115" i="2" s="1"/>
  <c r="C116" i="2"/>
  <c r="E116" i="2" s="1"/>
  <c r="C46" i="2"/>
  <c r="E46" i="2" s="1"/>
  <c r="C47" i="2"/>
  <c r="E47" i="2" s="1"/>
  <c r="C45" i="2"/>
  <c r="E45" i="2" s="1"/>
  <c r="E194" i="3" l="1"/>
  <c r="C453" i="2"/>
  <c r="E453" i="2" s="1"/>
  <c r="C121" i="2" l="1"/>
  <c r="E121" i="2" s="1"/>
  <c r="C340" i="2" l="1"/>
  <c r="E340" i="2" s="1"/>
  <c r="C344" i="2"/>
  <c r="E344" i="2" s="1"/>
  <c r="C345" i="2"/>
  <c r="E345" i="2" s="1"/>
  <c r="C341" i="2"/>
  <c r="E341" i="2" s="1"/>
  <c r="C343" i="2"/>
  <c r="E343" i="2" s="1"/>
  <c r="C84" i="4"/>
  <c r="E84" i="4" s="1"/>
  <c r="C83" i="4"/>
  <c r="E83" i="4" s="1"/>
  <c r="C82" i="4"/>
  <c r="E82" i="4" s="1"/>
  <c r="C80" i="4"/>
  <c r="E80" i="4" s="1"/>
  <c r="C81" i="4"/>
  <c r="E81" i="4" s="1"/>
  <c r="C202" i="2" l="1"/>
  <c r="E202" i="2" s="1"/>
  <c r="C460" i="2" l="1"/>
  <c r="E460" i="2" s="1"/>
  <c r="C162" i="2" l="1"/>
  <c r="E162" i="2" s="1"/>
  <c r="C43" i="2"/>
  <c r="E43" i="2" s="1"/>
  <c r="C44" i="2"/>
  <c r="E44" i="2" s="1"/>
  <c r="C625" i="2" l="1"/>
  <c r="E625" i="2" s="1"/>
  <c r="C38" i="2" l="1"/>
  <c r="E38" i="2" s="1"/>
  <c r="C170" i="2"/>
  <c r="E170" i="2" s="1"/>
  <c r="C456" i="2"/>
  <c r="E456" i="2" s="1"/>
  <c r="C455" i="2" l="1"/>
  <c r="E455" i="2" s="1"/>
  <c r="C404" i="2" l="1"/>
  <c r="E404" i="2" s="1"/>
  <c r="C75" i="4" l="1"/>
  <c r="E75" i="4" s="1"/>
  <c r="C76" i="4"/>
  <c r="E76" i="4" s="1"/>
  <c r="C77" i="4"/>
  <c r="E77" i="4" s="1"/>
  <c r="C78" i="4"/>
  <c r="E78" i="4" s="1"/>
  <c r="C79" i="4"/>
  <c r="E79" i="4" s="1"/>
  <c r="C525" i="2" l="1"/>
  <c r="E525" i="2" s="1"/>
  <c r="C524" i="2"/>
  <c r="E524" i="2" s="1"/>
  <c r="C40" i="2" l="1"/>
  <c r="E40" i="2" s="1"/>
  <c r="C42" i="2"/>
  <c r="E42" i="2" s="1"/>
  <c r="C41" i="2"/>
  <c r="E41" i="2" s="1"/>
  <c r="C528" i="2" l="1"/>
  <c r="E528" i="2" s="1"/>
  <c r="C132" i="2" l="1"/>
  <c r="E132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469" i="2" l="1"/>
  <c r="E469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463" i="2"/>
  <c r="E463" i="2" s="1"/>
  <c r="C624" i="2" l="1"/>
  <c r="E624" i="2" s="1"/>
  <c r="C37" i="2" l="1"/>
  <c r="E37" i="2" s="1"/>
  <c r="C603" i="2"/>
  <c r="E603" i="2" s="1"/>
  <c r="C457" i="2" l="1"/>
  <c r="E457" i="2" s="1"/>
  <c r="C112" i="2" l="1"/>
  <c r="E112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85" i="2" l="1"/>
  <c r="E185" i="2" s="1"/>
  <c r="C179" i="2"/>
  <c r="E179" i="2" s="1"/>
  <c r="C58" i="4" l="1"/>
  <c r="E58" i="4" s="1"/>
  <c r="C57" i="4"/>
  <c r="E57" i="4" s="1"/>
  <c r="C56" i="4"/>
  <c r="E56" i="4" s="1"/>
  <c r="C89" i="2" l="1"/>
  <c r="E89" i="2" s="1"/>
  <c r="C545" i="2"/>
  <c r="E54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90" i="2" l="1"/>
  <c r="E190" i="2" s="1"/>
  <c r="C419" i="2" l="1"/>
  <c r="E419" i="2" s="1"/>
  <c r="C418" i="2"/>
  <c r="E418" i="2" s="1"/>
  <c r="C417" i="2" l="1"/>
  <c r="E417" i="2" s="1"/>
  <c r="C601" i="2"/>
  <c r="E601" i="2" s="1"/>
  <c r="C616" i="2"/>
  <c r="E616" i="2" s="1"/>
  <c r="C420" i="2" l="1"/>
  <c r="E420" i="2" s="1"/>
  <c r="C173" i="2"/>
  <c r="E173" i="2" s="1"/>
  <c r="C111" i="2" l="1"/>
  <c r="E111" i="2" s="1"/>
  <c r="C204" i="2"/>
  <c r="E204" i="2" s="1"/>
  <c r="C41" i="4" l="1"/>
  <c r="E41" i="4" s="1"/>
  <c r="C184" i="2" l="1"/>
  <c r="E184" i="2" s="1"/>
  <c r="C183" i="2"/>
  <c r="E183" i="2" s="1"/>
  <c r="C182" i="2"/>
  <c r="E182" i="2" s="1"/>
  <c r="C399" i="2" l="1"/>
  <c r="E399" i="2" s="1"/>
  <c r="C614" i="2" l="1"/>
  <c r="E614" i="2" s="1"/>
  <c r="C615" i="2"/>
  <c r="E615" i="2" s="1"/>
  <c r="C592" i="2"/>
  <c r="E592" i="2" s="1"/>
  <c r="C146" i="2" l="1"/>
  <c r="E146" i="2" s="1"/>
  <c r="C145" i="2"/>
  <c r="E145" i="2" s="1"/>
  <c r="C163" i="2"/>
  <c r="E163" i="2" s="1"/>
  <c r="C631" i="2" l="1"/>
  <c r="E631" i="2" s="1"/>
  <c r="C556" i="2" l="1"/>
  <c r="E556" i="2" s="1"/>
  <c r="C48" i="4"/>
  <c r="E48" i="4" s="1"/>
  <c r="C49" i="4"/>
  <c r="E49" i="4" s="1"/>
  <c r="E218" i="3" l="1"/>
  <c r="C217" i="3"/>
  <c r="E217" i="3" s="1"/>
  <c r="E29" i="3"/>
  <c r="E30" i="3"/>
  <c r="E31" i="3"/>
  <c r="C28" i="3"/>
  <c r="E28" i="3" s="1"/>
  <c r="C658" i="2" l="1"/>
  <c r="E658" i="2" s="1"/>
  <c r="C458" i="2" l="1"/>
  <c r="E458" i="2" s="1"/>
  <c r="C454" i="2"/>
  <c r="E454" i="2" s="1"/>
  <c r="E48" i="3" l="1"/>
  <c r="E52" i="3"/>
  <c r="E51" i="3"/>
  <c r="E39" i="3"/>
  <c r="E197" i="3"/>
  <c r="E199" i="3"/>
  <c r="E211" i="3"/>
  <c r="E213" i="3"/>
  <c r="E215" i="3"/>
  <c r="E113" i="3"/>
  <c r="E114" i="3"/>
  <c r="E77" i="3"/>
  <c r="E78" i="3"/>
  <c r="E79" i="3"/>
  <c r="E89" i="3"/>
  <c r="E90" i="3"/>
  <c r="E107" i="3"/>
  <c r="E108" i="3"/>
  <c r="E92" i="3"/>
  <c r="E93" i="3"/>
  <c r="E94" i="3"/>
  <c r="E65" i="3"/>
  <c r="E66" i="3"/>
  <c r="E120" i="3"/>
  <c r="E121" i="3"/>
  <c r="E69" i="3"/>
  <c r="E70" i="3"/>
  <c r="E182" i="3"/>
  <c r="E183" i="3"/>
  <c r="E223" i="3"/>
  <c r="E225" i="3"/>
  <c r="E207" i="3"/>
  <c r="E201" i="3"/>
  <c r="E203" i="3"/>
  <c r="E7" i="3"/>
  <c r="E8" i="3"/>
  <c r="E9" i="3"/>
  <c r="E20" i="3"/>
  <c r="E21" i="3"/>
  <c r="E19" i="3"/>
  <c r="E11" i="3"/>
  <c r="E12" i="3"/>
  <c r="E13" i="3"/>
  <c r="E15" i="3"/>
  <c r="E16" i="3"/>
  <c r="E17" i="3"/>
  <c r="E189" i="3"/>
  <c r="E185" i="3"/>
  <c r="E187" i="3"/>
  <c r="E192" i="3"/>
  <c r="E23" i="3"/>
  <c r="E33" i="3"/>
  <c r="E25" i="3"/>
  <c r="E27" i="3"/>
  <c r="E3" i="3"/>
  <c r="E4" i="3"/>
  <c r="E5" i="3"/>
  <c r="E220" i="3"/>
  <c r="E152" i="3"/>
  <c r="E153" i="3"/>
  <c r="E45" i="3"/>
  <c r="E46" i="3"/>
  <c r="E47" i="3"/>
  <c r="E41" i="3"/>
  <c r="E42" i="3"/>
  <c r="E43" i="3"/>
  <c r="C189" i="2" l="1"/>
  <c r="E189" i="2" s="1"/>
  <c r="C403" i="2" l="1"/>
  <c r="E403" i="2" s="1"/>
  <c r="C575" i="2" l="1"/>
  <c r="E575" i="2" s="1"/>
  <c r="C645" i="2" l="1"/>
  <c r="E645" i="2" s="1"/>
  <c r="C177" i="2" l="1"/>
  <c r="E177" i="2" s="1"/>
  <c r="C178" i="2"/>
  <c r="E178" i="2" s="1"/>
  <c r="C176" i="2"/>
  <c r="E176" i="2" s="1"/>
  <c r="C175" i="2" l="1"/>
  <c r="E175" i="2" s="1"/>
  <c r="C88" i="2"/>
  <c r="E88" i="2" s="1"/>
  <c r="C402" i="2" l="1"/>
  <c r="E402" i="2" s="1"/>
  <c r="C400" i="2"/>
  <c r="E400" i="2" s="1"/>
  <c r="C546" i="2" l="1"/>
  <c r="E546" i="2" s="1"/>
  <c r="C40" i="3"/>
  <c r="E40" i="3" s="1"/>
  <c r="C44" i="3" l="1"/>
  <c r="E44" i="3" s="1"/>
  <c r="C151" i="3"/>
  <c r="E151" i="3" s="1"/>
  <c r="C36" i="2" l="1"/>
  <c r="E36" i="2" s="1"/>
  <c r="C459" i="2" l="1"/>
  <c r="E459" i="2" s="1"/>
  <c r="C45" i="4"/>
  <c r="E45" i="4" s="1"/>
  <c r="C46" i="4"/>
  <c r="E46" i="4" s="1"/>
  <c r="C47" i="4"/>
  <c r="E47" i="4" s="1"/>
  <c r="C219" i="3" l="1"/>
  <c r="E219" i="3" s="1"/>
  <c r="C186" i="2"/>
  <c r="E186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97" i="2" l="1"/>
  <c r="E397" i="2" s="1"/>
  <c r="C2" i="3" l="1"/>
  <c r="E2" i="3" s="1"/>
  <c r="C620" i="2" l="1"/>
  <c r="E620" i="2" s="1"/>
  <c r="C619" i="2" l="1"/>
  <c r="E61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654" i="2" l="1"/>
  <c r="E654" i="2" s="1"/>
  <c r="C657" i="2"/>
  <c r="E657" i="2" s="1"/>
  <c r="C649" i="2"/>
  <c r="E649" i="2" s="1"/>
  <c r="C651" i="2"/>
  <c r="E651" i="2" s="1"/>
  <c r="C650" i="2"/>
  <c r="E650" i="2" s="1"/>
  <c r="C648" i="2"/>
  <c r="E648" i="2" s="1"/>
  <c r="C653" i="2"/>
  <c r="E653" i="2" s="1"/>
  <c r="C652" i="2"/>
  <c r="E652" i="2" s="1"/>
  <c r="C656" i="2"/>
  <c r="E656" i="2" s="1"/>
  <c r="C655" i="2"/>
  <c r="E655" i="2" s="1"/>
  <c r="C26" i="3" l="1"/>
  <c r="E26" i="3" s="1"/>
  <c r="C24" i="3"/>
  <c r="E24" i="3" s="1"/>
  <c r="C188" i="2" l="1"/>
  <c r="E188" i="2" s="1"/>
  <c r="C187" i="2"/>
  <c r="E187" i="2" s="1"/>
  <c r="C180" i="2"/>
  <c r="E180" i="2" s="1"/>
  <c r="C308" i="2" l="1"/>
  <c r="E308" i="2" s="1"/>
  <c r="C50" i="3" l="1"/>
  <c r="E50" i="3" s="1"/>
  <c r="C32" i="3" l="1"/>
  <c r="E32" i="3" s="1"/>
  <c r="C22" i="3"/>
  <c r="E22" i="3" s="1"/>
  <c r="C209" i="3" l="1"/>
  <c r="E209" i="3" s="1"/>
  <c r="C355" i="2" l="1"/>
  <c r="E355" i="2" s="1"/>
  <c r="C358" i="2"/>
  <c r="E358" i="2" s="1"/>
  <c r="C357" i="2"/>
  <c r="E357" i="2" s="1"/>
  <c r="C221" i="3" l="1"/>
  <c r="E221" i="3" s="1"/>
  <c r="C184" i="3" l="1"/>
  <c r="E184" i="3" s="1"/>
  <c r="C186" i="3"/>
  <c r="E186" i="3" s="1"/>
  <c r="C195" i="3"/>
  <c r="E195" i="3" s="1"/>
  <c r="C193" i="3"/>
  <c r="E193" i="3" s="1"/>
  <c r="C188" i="3"/>
  <c r="E188" i="3" s="1"/>
  <c r="C14" i="3" l="1"/>
  <c r="E14" i="3" s="1"/>
  <c r="C10" i="3"/>
  <c r="E10" i="3" s="1"/>
  <c r="C6" i="3"/>
  <c r="E6" i="3" s="1"/>
  <c r="C18" i="3"/>
  <c r="E18" i="3" s="1"/>
  <c r="C205" i="3" l="1"/>
  <c r="E205" i="3" s="1"/>
  <c r="C208" i="3"/>
  <c r="E208" i="3" s="1"/>
  <c r="C204" i="3"/>
  <c r="E204" i="3" s="1"/>
  <c r="C202" i="3"/>
  <c r="E202" i="3" s="1"/>
  <c r="C206" i="3"/>
  <c r="E206" i="3" s="1"/>
  <c r="C200" i="3"/>
  <c r="E200" i="3" s="1"/>
  <c r="C361" i="2" l="1"/>
  <c r="E361" i="2" s="1"/>
  <c r="C347" i="2" l="1"/>
  <c r="E347" i="2" s="1"/>
  <c r="C348" i="2"/>
  <c r="E348" i="2" s="1"/>
  <c r="C354" i="2"/>
  <c r="E354" i="2" s="1"/>
  <c r="C349" i="2"/>
  <c r="E349" i="2" s="1"/>
  <c r="C350" i="2"/>
  <c r="E350" i="2" s="1"/>
  <c r="C352" i="2"/>
  <c r="E352" i="2" s="1"/>
  <c r="C224" i="3"/>
  <c r="E224" i="3" s="1"/>
  <c r="C222" i="3"/>
  <c r="E222" i="3" s="1"/>
  <c r="C181" i="3" l="1"/>
  <c r="E181" i="3" s="1"/>
  <c r="C112" i="3" l="1"/>
  <c r="E112" i="3" s="1"/>
  <c r="C76" i="3"/>
  <c r="E76" i="3" s="1"/>
  <c r="C88" i="3"/>
  <c r="E88" i="3" s="1"/>
  <c r="C106" i="3"/>
  <c r="E106" i="3" s="1"/>
  <c r="C91" i="3"/>
  <c r="E91" i="3" s="1"/>
  <c r="C64" i="3"/>
  <c r="E64" i="3" s="1"/>
  <c r="C119" i="3"/>
  <c r="E119" i="3" s="1"/>
  <c r="C68" i="3"/>
  <c r="E68" i="3" s="1"/>
  <c r="C214" i="3" l="1"/>
  <c r="E214" i="3" s="1"/>
  <c r="C216" i="3"/>
  <c r="E216" i="3" s="1"/>
  <c r="C212" i="3"/>
  <c r="E212" i="3" s="1"/>
  <c r="C198" i="3" l="1"/>
  <c r="E198" i="3" s="1"/>
  <c r="C196" i="3"/>
  <c r="E196" i="3" s="1"/>
  <c r="C38" i="3" l="1"/>
  <c r="E38" i="3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90" i="3" l="1"/>
  <c r="E190" i="3" s="1"/>
  <c r="C191" i="3"/>
  <c r="E191" i="3" s="1"/>
  <c r="C53" i="3"/>
  <c r="E53" i="3" s="1"/>
  <c r="C49" i="3"/>
  <c r="E49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<sst xmlns="http://schemas.openxmlformats.org/spreadsheetml/2006/main" count="26526" uniqueCount="14342">
  <si>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</si>
  <si>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</si>
  <si>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</si>
  <si>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</si>
  <si>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</si>
  <si>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</si>
  <si>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</si>
  <si>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</si>
  <si>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</si>
  <si>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</si>
  <si>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</si>
  <si>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</si>
  <si>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</si>
  <si>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</si>
  <si>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</si>
  <si>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</si>
  <si>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</si>
  <si>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</si>
  <si>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</si>
  <si>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</si>
  <si>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</si>
  <si>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</si>
  <si>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</si>
  <si>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</si>
  <si>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</si>
  <si>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</si>
  <si>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</si>
  <si>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</si>
  <si>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</si>
  <si>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</si>
  <si>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</si>
  <si>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</si>
  <si>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</si>
  <si>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</si>
  <si>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</si>
  <si>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</si>
  <si>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</si>
  <si>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</si>
  <si>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</si>
  <si>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</si>
  <si>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</si>
  <si>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</si>
  <si>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</si>
  <si>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</si>
  <si>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</si>
  <si>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</si>
  <si>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</si>
  <si>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</si>
  <si>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</si>
  <si>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</si>
  <si>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</si>
  <si>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</si>
  <si>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</si>
  <si>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</si>
  <si>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</si>
  <si>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</si>
  <si>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</si>
  <si>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</si>
  <si>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</si>
  <si>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</si>
  <si>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</si>
  <si>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</si>
  <si>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</si>
  <si>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</si>
  <si>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</si>
  <si>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</si>
  <si>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</si>
  <si>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</si>
  <si>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</si>
  <si>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</si>
  <si>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</si>
  <si>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</si>
  <si>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</si>
  <si>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</si>
  <si>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</si>
  <si>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</si>
  <si>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</si>
  <si>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</si>
  <si>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</si>
  <si>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</si>
  <si>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</si>
  <si>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</si>
  <si>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</si>
  <si>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</si>
  <si>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</si>
  <si>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</si>
  <si>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</si>
  <si>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</si>
  <si>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</si>
  <si>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</si>
  <si>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</si>
  <si>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</si>
  <si>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</si>
  <si>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</si>
  <si>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</si>
  <si>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</si>
  <si>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</si>
  <si>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</si>
  <si>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</si>
  <si>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</si>
  <si>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</si>
  <si>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</si>
  <si>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</si>
  <si>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</si>
  <si>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</si>
  <si>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</si>
  <si>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</si>
  <si>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</si>
  <si>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</si>
  <si>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</si>
  <si>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</si>
  <si>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</si>
  <si>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</si>
  <si>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</si>
  <si>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</si>
  <si>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</si>
  <si>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</si>
  <si>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</si>
  <si>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</si>
  <si>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</si>
  <si>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</si>
  <si>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</si>
  <si>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</si>
  <si>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</si>
  <si>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</si>
  <si>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</si>
  <si>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</si>
  <si>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</si>
  <si>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</si>
  <si>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</si>
  <si>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</si>
  <si>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</si>
  <si>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</si>
  <si>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</si>
  <si>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</si>
  <si>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</si>
  <si>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</si>
  <si>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</si>
  <si>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</si>
  <si>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</si>
  <si>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</si>
  <si>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</si>
  <si>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</si>
  <si>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</si>
  <si>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</si>
  <si>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</si>
  <si>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</si>
  <si>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</si>
  <si>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</si>
  <si>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</si>
  <si>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</si>
  <si>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</si>
  <si>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</si>
  <si>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</si>
  <si>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</si>
  <si>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</si>
  <si>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</si>
  <si>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</si>
  <si>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</si>
  <si>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</si>
  <si>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</si>
  <si>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</si>
  <si>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</si>
  <si>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</si>
  <si>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</si>
  <si>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</si>
  <si>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</si>
  <si>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</si>
  <si>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</si>
  <si>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</si>
  <si>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</si>
  <si>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</si>
  <si>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</si>
  <si>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</si>
  <si>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</si>
  <si>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</si>
  <si>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</si>
  <si>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</si>
  <si>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</si>
  <si>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</si>
  <si>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</si>
  <si>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</si>
  <si>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</si>
  <si>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</si>
  <si>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</si>
  <si>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</si>
  <si>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</si>
  <si>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</si>
  <si>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</si>
  <si>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</si>
  <si>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</si>
  <si>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</si>
  <si>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</si>
  <si>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</si>
  <si>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</si>
  <si>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</si>
  <si>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</si>
  <si>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</si>
  <si>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</si>
  <si>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</si>
  <si>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</si>
  <si>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</si>
  <si>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</si>
  <si>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</si>
  <si>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</si>
  <si>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</si>
  <si>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</si>
  <si>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</si>
  <si>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</si>
  <si>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</si>
  <si>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</si>
  <si>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</si>
  <si>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</si>
  <si>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</si>
  <si>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</si>
  <si>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</si>
  <si>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</si>
  <si>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</si>
  <si>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</si>
  <si>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</si>
  <si>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</si>
  <si>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</si>
  <si>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</si>
  <si>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</si>
  <si>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</si>
  <si>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</si>
  <si>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</si>
  <si>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</si>
  <si>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</si>
  <si>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</si>
  <si>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</si>
  <si>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</si>
  <si>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</si>
  <si>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</si>
  <si>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</si>
  <si>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</si>
  <si>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</si>
  <si>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</si>
  <si>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</si>
  <si>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</si>
  <si>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</si>
  <si>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</si>
  <si>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</si>
  <si>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</si>
  <si>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</si>
  <si>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</si>
  <si>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</si>
  <si>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</si>
  <si>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</si>
  <si>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</si>
  <si>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</si>
  <si>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</si>
  <si>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</si>
  <si>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</si>
  <si>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</si>
  <si>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</si>
  <si>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</si>
  <si>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</si>
  <si>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</si>
  <si>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</si>
  <si>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</si>
  <si>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</si>
  <si>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</si>
  <si>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</si>
  <si>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</si>
  <si>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</si>
  <si>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</si>
  <si>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</si>
  <si>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</si>
  <si>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</si>
  <si>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</si>
  <si>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</si>
  <si>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</si>
  <si>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</si>
  <si>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</si>
  <si>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</si>
  <si>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</si>
  <si>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</si>
  <si>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</si>
  <si>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</si>
  <si>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</si>
  <si>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</si>
  <si>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</si>
  <si>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</si>
  <si>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</si>
  <si>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</si>
  <si>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</si>
  <si>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</si>
  <si>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</si>
  <si>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</si>
  <si>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</si>
  <si>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</si>
  <si>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</si>
  <si>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</si>
  <si>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</si>
  <si>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</si>
  <si>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</si>
  <si>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</si>
  <si>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</si>
  <si>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</si>
  <si>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</si>
  <si>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</si>
  <si>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</si>
  <si>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</si>
  <si>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</si>
  <si>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</si>
  <si>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</si>
  <si>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</si>
  <si>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</si>
  <si>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</si>
  <si>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</si>
  <si>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</si>
  <si>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</si>
  <si>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</si>
  <si>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</si>
  <si>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</si>
  <si>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</si>
  <si>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</si>
  <si>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</si>
  <si>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</si>
  <si>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</si>
  <si>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</si>
  <si>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</si>
  <si>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</si>
  <si>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</si>
  <si>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</si>
  <si>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</si>
  <si>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</si>
  <si>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</si>
  <si>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</si>
  <si>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</si>
  <si>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</si>
  <si>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</si>
  <si>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</si>
  <si>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</si>
  <si>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</si>
  <si>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</si>
  <si>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</si>
  <si>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</si>
  <si>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</si>
  <si>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</si>
  <si>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</si>
  <si>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</si>
  <si>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</si>
  <si>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</si>
  <si>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</si>
  <si>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</si>
  <si>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</si>
  <si>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</si>
  <si>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</si>
  <si>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</si>
  <si>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</si>
  <si>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</si>
  <si>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</si>
  <si>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</si>
  <si>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</si>
  <si>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</si>
  <si>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</si>
  <si>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</si>
  <si>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</si>
  <si>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</si>
  <si>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</si>
  <si>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</si>
  <si>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</si>
  <si>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</si>
  <si>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</si>
  <si>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</si>
  <si>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</si>
  <si>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</si>
  <si>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</si>
  <si>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</si>
  <si>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</si>
  <si>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</si>
  <si>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</si>
  <si>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</si>
  <si>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</si>
  <si>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</si>
  <si>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</si>
  <si>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</si>
  <si>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</si>
  <si>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</si>
  <si>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</si>
  <si>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</si>
  <si>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</si>
  <si>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</si>
  <si>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</si>
  <si>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</si>
  <si>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</si>
  <si>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</si>
  <si>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</si>
  <si>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</si>
  <si>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</si>
  <si>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</si>
  <si>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</si>
  <si>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</si>
  <si>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</si>
  <si>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</si>
  <si>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</si>
  <si>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</si>
  <si>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</si>
  <si>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</si>
  <si>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</si>
  <si>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</si>
  <si>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</si>
  <si>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</si>
  <si>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</si>
  <si>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</si>
  <si>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</si>
  <si>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</si>
  <si>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</si>
  <si>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</si>
  <si>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</si>
  <si>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</si>
  <si>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</si>
  <si>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</si>
  <si>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</si>
  <si>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</si>
  <si>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</si>
  <si>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</si>
  <si>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</si>
  <si>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</si>
  <si>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</si>
  <si>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</si>
  <si>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</si>
  <si>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</si>
  <si>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</si>
  <si>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</si>
  <si>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</si>
  <si>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</si>
  <si>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</si>
  <si>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</si>
  <si>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</si>
  <si>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</si>
  <si>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</si>
  <si>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</si>
  <si>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</si>
  <si>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</si>
  <si>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</si>
  <si>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</si>
  <si>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</si>
  <si>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</si>
  <si>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</si>
  <si>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</si>
  <si>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</si>
  <si>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</si>
  <si>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</si>
  <si>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</si>
  <si>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</si>
  <si>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</si>
  <si>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</si>
  <si>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</si>
  <si>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</si>
  <si>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</si>
  <si>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</si>
  <si>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</si>
  <si>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</si>
  <si>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</si>
  <si>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</si>
  <si>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</si>
  <si>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</si>
  <si>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</si>
  <si>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</si>
  <si>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</si>
  <si>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</si>
  <si>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</si>
  <si>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</si>
  <si>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</si>
  <si>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</si>
  <si>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</si>
  <si>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</si>
  <si>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</si>
  <si>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</si>
  <si>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</si>
  <si>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</si>
  <si>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</si>
  <si>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</si>
  <si>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</si>
  <si>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</si>
  <si>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</si>
  <si>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</si>
  <si>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</si>
  <si>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</si>
  <si>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</si>
  <si>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</si>
  <si>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</si>
  <si>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</si>
  <si>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</si>
  <si>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</si>
  <si>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</si>
  <si>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</si>
  <si>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</si>
  <si>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</si>
  <si>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</si>
  <si>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</si>
  <si>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</si>
  <si>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</si>
  <si>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</si>
  <si>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</si>
  <si>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</si>
  <si>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</si>
  <si>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</si>
  <si>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</si>
  <si>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</si>
  <si>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</si>
  <si>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</si>
  <si>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</si>
  <si>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</si>
  <si>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</si>
  <si>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</si>
  <si>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</si>
  <si>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</si>
  <si>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</si>
  <si>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</si>
  <si>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</si>
  <si>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</si>
  <si>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</si>
  <si>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</si>
  <si>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</si>
  <si>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</si>
  <si>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</si>
  <si>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</si>
  <si>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</si>
  <si>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</si>
  <si>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</si>
  <si>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</si>
  <si>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</si>
  <si>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</si>
  <si>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</si>
  <si>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</si>
  <si>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</si>
  <si>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</si>
  <si>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</si>
  <si>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</si>
  <si>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</si>
  <si>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</si>
  <si>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</si>
  <si>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</si>
  <si>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</si>
  <si>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</si>
  <si>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</si>
  <si>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</si>
  <si>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</si>
  <si>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</si>
  <si>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</si>
  <si>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</si>
  <si>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</si>
  <si>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</si>
  <si>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</si>
  <si>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</si>
  <si>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</si>
  <si>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</si>
  <si>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</si>
  <si>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</si>
  <si>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</si>
  <si>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</si>
  <si>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</si>
  <si>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</si>
  <si>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</si>
  <si>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</si>
  <si>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</si>
  <si>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</si>
  <si>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</si>
  <si>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</si>
  <si>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</si>
  <si>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</si>
  <si>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</si>
  <si>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</si>
  <si>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</si>
  <si>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</si>
  <si>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</si>
  <si>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</si>
  <si>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</si>
  <si>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</si>
  <si>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</si>
  <si>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</si>
  <si>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</si>
  <si>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</si>
  <si>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</si>
  <si>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</si>
  <si>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</si>
  <si>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</si>
  <si>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</si>
  <si>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</si>
  <si>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</si>
  <si>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</si>
  <si>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</si>
  <si>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</si>
  <si>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</si>
  <si>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</si>
  <si>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</si>
  <si>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</si>
  <si>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</si>
  <si>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</si>
  <si>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</si>
  <si>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</si>
  <si>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</si>
  <si>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</si>
  <si>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</si>
  <si>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</si>
  <si>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</si>
  <si>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</si>
  <si>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</si>
  <si>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</si>
  <si>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</si>
  <si>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</si>
  <si>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</si>
  <si>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</si>
  <si>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</si>
  <si>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</si>
  <si>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</si>
  <si>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</si>
  <si>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</si>
  <si>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</si>
  <si>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</si>
  <si>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</si>
  <si>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</si>
  <si>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</si>
  <si>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</si>
  <si>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</si>
  <si>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</si>
  <si>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</si>
  <si>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</si>
  <si>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</si>
  <si>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</si>
  <si>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</si>
  <si>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</si>
  <si>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</si>
  <si>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</si>
  <si>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</si>
  <si>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</si>
  <si>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</si>
  <si>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</si>
  <si>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</si>
  <si>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</si>
  <si>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</si>
  <si>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</si>
  <si>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</si>
  <si>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</si>
  <si>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</si>
  <si>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</si>
  <si>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</si>
  <si>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</si>
  <si>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</si>
  <si>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</si>
  <si>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</si>
  <si>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</si>
  <si>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</si>
  <si>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</si>
  <si>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</si>
  <si>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</si>
  <si>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</si>
  <si>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</si>
  <si>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</si>
  <si>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</si>
  <si>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</si>
  <si>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</si>
  <si>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</si>
  <si>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</si>
  <si>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</si>
  <si>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</si>
  <si>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</si>
  <si>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</si>
  <si>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</si>
  <si>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</si>
  <si>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</si>
  <si>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</si>
  <si>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</si>
  <si>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</si>
  <si>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</si>
  <si>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</si>
  <si>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</si>
  <si>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</si>
  <si>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</si>
  <si>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</si>
  <si>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</si>
  <si>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</si>
  <si>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</si>
  <si>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</si>
  <si>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</si>
  <si>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</si>
  <si>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</si>
  <si>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</si>
  <si>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</si>
  <si>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</si>
  <si>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</si>
  <si>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</si>
  <si>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</si>
  <si>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</si>
  <si>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</si>
  <si>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</si>
  <si>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</si>
  <si>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</si>
  <si>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</si>
  <si>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</si>
  <si>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</si>
  <si>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</si>
  <si>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</si>
  <si>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</si>
  <si>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</si>
  <si>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</si>
  <si>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</si>
  <si>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</si>
  <si>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</si>
  <si>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</si>
  <si>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</si>
  <si>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</si>
  <si>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</si>
  <si>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</si>
  <si>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</si>
  <si>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</si>
  <si>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</si>
  <si>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</si>
  <si>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</si>
  <si>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</si>
  <si>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</si>
  <si>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</si>
  <si>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</si>
  <si>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</si>
  <si>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</si>
  <si>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</si>
  <si>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</si>
  <si>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</si>
  <si>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</si>
  <si>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</si>
  <si>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</si>
  <si>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</si>
  <si>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</si>
  <si>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</si>
  <si>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</si>
  <si>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</si>
  <si>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</si>
  <si>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</si>
  <si>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</si>
  <si>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</si>
  <si>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</si>
  <si>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</si>
  <si>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</si>
  <si>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</si>
  <si>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</si>
  <si>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</si>
  <si>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</si>
  <si>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</si>
  <si>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</si>
  <si>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</si>
  <si>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</si>
  <si>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</si>
  <si>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</si>
  <si>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</si>
  <si>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</si>
  <si>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</si>
  <si>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</si>
  <si>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</si>
  <si>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</si>
  <si>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</si>
  <si>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</si>
  <si>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</si>
  <si>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</si>
  <si>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</si>
  <si>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</si>
  <si>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</si>
  <si>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</si>
  <si>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</si>
  <si>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</si>
  <si>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</si>
  <si>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</si>
  <si>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</si>
  <si>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</si>
  <si>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</si>
  <si>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</si>
  <si>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</si>
  <si>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</si>
  <si>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</si>
  <si>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</si>
  <si>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</si>
  <si>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</si>
  <si>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</si>
  <si>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</si>
  <si>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</si>
  <si>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</si>
  <si>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</si>
  <si>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</si>
  <si>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</si>
  <si>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</si>
  <si>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</si>
  <si>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</si>
  <si>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</si>
  <si>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</si>
  <si>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</si>
  <si>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</si>
  <si>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</si>
  <si>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</si>
  <si>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</si>
  <si>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</si>
  <si>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</si>
  <si>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</si>
  <si>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</si>
  <si>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</si>
  <si>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</si>
  <si>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</si>
  <si>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</si>
  <si>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</si>
  <si>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</si>
  <si>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</si>
  <si>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</si>
  <si>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</si>
  <si>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</si>
  <si>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</si>
  <si>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</si>
  <si>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</si>
  <si>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</si>
  <si>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</si>
  <si>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</si>
  <si>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</si>
  <si>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</si>
  <si>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</si>
  <si>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</si>
  <si>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</si>
  <si>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</si>
  <si>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</si>
  <si>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</si>
  <si>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</si>
  <si>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</si>
  <si>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</si>
  <si>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</si>
  <si>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</si>
  <si>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</si>
  <si>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</si>
  <si>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</si>
  <si>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</si>
  <si>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</si>
  <si>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</si>
  <si>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</si>
  <si>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</si>
  <si>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</si>
  <si>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</si>
  <si>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</si>
  <si>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</si>
  <si>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</si>
  <si>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</si>
  <si>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</si>
  <si>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</si>
  <si>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</si>
  <si>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</si>
  <si>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</si>
  <si>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</si>
  <si>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</si>
  <si>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</si>
  <si>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</si>
  <si>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</si>
  <si>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</si>
  <si>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</si>
  <si>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</si>
  <si>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</si>
  <si>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</si>
  <si>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</si>
  <si>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</si>
  <si>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</si>
  <si>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</si>
  <si>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</si>
  <si>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</si>
  <si>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</si>
  <si>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</si>
  <si>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</si>
  <si>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</si>
  <si>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</si>
  <si>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</si>
  <si>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</si>
  <si>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</si>
  <si>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</si>
  <si>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</si>
  <si>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</si>
  <si>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</si>
  <si>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</si>
  <si>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</si>
  <si>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</si>
  <si>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</si>
  <si>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</si>
  <si>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</si>
  <si>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</si>
  <si>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</si>
  <si>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</si>
  <si>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</si>
  <si>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</si>
  <si>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</si>
  <si>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</si>
  <si>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</si>
  <si>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</si>
  <si>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</si>
  <si>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</si>
  <si>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</si>
  <si>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</si>
  <si>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</si>
  <si>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</si>
  <si>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</si>
  <si>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</si>
  <si>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</si>
  <si>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</si>
  <si>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</si>
  <si>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</si>
  <si>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</si>
  <si>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</si>
  <si>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</si>
  <si>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</si>
  <si>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</si>
  <si>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</si>
  <si>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</si>
  <si>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</si>
  <si>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</si>
  <si>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</si>
  <si>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</si>
  <si>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</si>
  <si>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</si>
  <si>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</si>
  <si>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</si>
  <si>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</si>
  <si>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</si>
  <si>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</si>
  <si>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</si>
  <si>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</si>
  <si>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</si>
  <si>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</si>
  <si>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</si>
  <si>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</si>
  <si>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</si>
  <si>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</si>
  <si>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</si>
  <si>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</si>
  <si>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</si>
  <si>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</si>
  <si>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</si>
  <si>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</si>
  <si>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</si>
  <si>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</si>
  <si>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</si>
  <si>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</si>
  <si>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</si>
  <si>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</si>
  <si>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</si>
  <si>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</si>
  <si>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</si>
  <si>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</si>
  <si>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</si>
  <si>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</si>
  <si>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</si>
  <si>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</si>
  <si>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</si>
  <si>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</si>
  <si>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</si>
  <si>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</si>
  <si>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</si>
  <si>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</si>
  <si>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</si>
  <si>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</si>
  <si>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</si>
  <si>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</si>
  <si>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</si>
  <si>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</si>
  <si>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</si>
  <si>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</si>
  <si>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</si>
  <si>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</si>
  <si>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</si>
  <si>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</si>
  <si>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</si>
  <si>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</si>
  <si>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</si>
  <si>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</si>
  <si>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</si>
  <si>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</si>
  <si>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</si>
  <si>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</si>
  <si>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</si>
  <si>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</si>
  <si>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</si>
  <si>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</si>
  <si>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</si>
  <si>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</si>
  <si>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</si>
  <si>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</si>
  <si>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</si>
  <si>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</si>
  <si>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</si>
  <si>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</si>
  <si>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</si>
  <si>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</si>
  <si>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</si>
  <si>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</si>
  <si>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</si>
  <si>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</si>
  <si>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</si>
  <si>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</si>
  <si>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</si>
  <si>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</si>
  <si>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</si>
  <si>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</si>
  <si>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</si>
  <si>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</si>
  <si>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</si>
  <si>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</si>
  <si>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</si>
  <si>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</si>
  <si>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</si>
  <si>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</si>
  <si>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</si>
  <si>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</si>
  <si>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</si>
  <si>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</si>
  <si>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</si>
  <si>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</si>
  <si>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</si>
  <si>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</si>
  <si>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</si>
  <si>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</si>
  <si>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</si>
  <si>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</si>
  <si>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</si>
  <si>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</si>
  <si>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</si>
  <si>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</si>
  <si>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</si>
  <si>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</si>
  <si>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</si>
  <si>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</si>
  <si>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</si>
  <si>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</si>
  <si>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</si>
  <si>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</si>
  <si>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</si>
  <si>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</si>
  <si>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</si>
  <si>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</si>
  <si>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</si>
  <si>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</si>
  <si>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</si>
  <si>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</si>
  <si>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</si>
  <si>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</si>
  <si>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</si>
  <si>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</si>
  <si>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</si>
  <si>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</si>
  <si>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</si>
  <si>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</si>
  <si>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</si>
  <si>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</si>
  <si>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</si>
  <si>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</si>
  <si>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</si>
  <si>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</si>
  <si>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</si>
  <si>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</si>
  <si>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</si>
  <si>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</si>
  <si>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</si>
  <si>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</si>
  <si>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</si>
  <si>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</si>
  <si>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</si>
  <si>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</si>
  <si>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</si>
  <si>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</si>
  <si>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</si>
  <si>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</si>
  <si>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</si>
  <si>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</si>
  <si>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</si>
  <si>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</si>
  <si>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</si>
  <si>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</si>
  <si>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</si>
  <si>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</si>
  <si>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</si>
  <si>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</si>
  <si>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</si>
  <si>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</si>
  <si>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</si>
  <si>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</si>
  <si>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</si>
  <si>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</si>
  <si>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</si>
  <si>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</si>
  <si>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</si>
  <si>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</si>
  <si>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</si>
  <si>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</si>
  <si>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</si>
  <si>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</si>
  <si>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</si>
  <si>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</si>
  <si>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</si>
  <si>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</si>
  <si>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</si>
  <si>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</si>
  <si>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</si>
  <si>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</si>
  <si>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</si>
  <si>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</si>
  <si>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</si>
  <si>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</si>
  <si>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</si>
  <si>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</si>
  <si>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</si>
  <si>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</si>
  <si>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</si>
  <si>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</si>
  <si>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</si>
  <si>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</si>
  <si>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</si>
  <si>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</si>
  <si>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</si>
  <si>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</si>
  <si>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</si>
  <si>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</si>
  <si>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</si>
  <si>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</si>
  <si>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</si>
  <si>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</si>
  <si>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</si>
  <si>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</si>
  <si>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</si>
  <si>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</si>
  <si>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</si>
  <si>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</si>
  <si>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</si>
  <si>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</si>
  <si>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</si>
  <si>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</si>
  <si>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</si>
  <si>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</si>
  <si>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</si>
  <si>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</si>
  <si>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</si>
  <si>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</si>
  <si>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</si>
  <si>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</si>
  <si>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</si>
  <si>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</si>
  <si>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</si>
  <si>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</si>
  <si>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</si>
  <si>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</si>
  <si>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</si>
  <si>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</si>
  <si>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</si>
  <si>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</si>
  <si>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</si>
  <si>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</si>
  <si>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</si>
  <si>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</si>
  <si>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</si>
  <si>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</si>
  <si>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</si>
  <si>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</si>
  <si>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</si>
  <si>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</si>
  <si>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</si>
  <si>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</si>
  <si>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</si>
  <si>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</si>
  <si>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</si>
  <si>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</si>
  <si>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</si>
  <si>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</si>
  <si>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</si>
  <si>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</si>
  <si>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</si>
  <si>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</si>
  <si>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</si>
  <si>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</si>
  <si>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</si>
  <si>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</si>
  <si>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</si>
  <si>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</si>
  <si>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</si>
  <si>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</si>
  <si>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</si>
  <si>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</si>
  <si>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</si>
  <si>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</si>
  <si>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</si>
  <si>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</si>
  <si>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</si>
  <si>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</si>
  <si>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</si>
  <si>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</si>
  <si>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</si>
  <si>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</si>
  <si>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</si>
  <si>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</si>
  <si>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</si>
  <si>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</si>
  <si>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</si>
  <si>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</si>
  <si>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</si>
  <si>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</si>
  <si>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</si>
  <si>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</si>
  <si>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</si>
  <si>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</si>
  <si>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</si>
  <si>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</si>
  <si>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</si>
  <si>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</si>
  <si>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</si>
  <si>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</si>
  <si>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</si>
  <si>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</si>
  <si>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</si>
  <si>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</si>
  <si>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</si>
  <si>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</si>
  <si>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</si>
  <si>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</si>
  <si>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</si>
  <si>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</si>
  <si>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</si>
  <si>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</si>
  <si>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</si>
  <si>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</si>
  <si>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</si>
  <si>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</si>
  <si>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</si>
  <si>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</si>
  <si>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</si>
  <si>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</si>
  <si>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</si>
  <si>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</si>
  <si>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</si>
  <si>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</si>
  <si>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</si>
  <si>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</si>
  <si>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</si>
  <si>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</si>
  <si>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</si>
  <si>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</si>
  <si>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</si>
  <si>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</si>
  <si>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</si>
  <si>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</si>
  <si>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</si>
  <si>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</si>
  <si>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</si>
  <si>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</si>
  <si>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</si>
  <si>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</si>
  <si>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</si>
  <si>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</si>
  <si>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</si>
  <si>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</si>
  <si>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</si>
  <si>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</si>
  <si>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</si>
  <si>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</si>
  <si>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</si>
  <si>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</si>
  <si>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</si>
  <si>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</si>
  <si>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</si>
  <si>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</si>
  <si>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</si>
  <si>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</si>
  <si>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</si>
  <si>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</si>
  <si>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</si>
  <si>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</si>
  <si>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</si>
  <si>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</si>
  <si>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</si>
  <si>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</si>
  <si>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</si>
  <si>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</si>
  <si>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</si>
  <si>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</si>
  <si>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</si>
  <si>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</si>
  <si>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</si>
  <si>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</si>
  <si>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</si>
  <si>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</si>
  <si>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</si>
  <si>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</si>
  <si>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</si>
  <si>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</si>
  <si>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</si>
  <si>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</si>
  <si>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</si>
  <si>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</si>
  <si>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</si>
  <si>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</si>
  <si>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</si>
  <si>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</si>
  <si>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</si>
  <si>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</si>
  <si>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</si>
  <si>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</si>
  <si>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</si>
  <si>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</si>
  <si>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</si>
  <si>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</si>
  <si>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</si>
  <si>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</si>
  <si>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</si>
  <si>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</si>
  <si>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</si>
  <si>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</si>
  <si>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</si>
  <si>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</si>
  <si>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</si>
  <si>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</si>
  <si>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</si>
  <si>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</si>
  <si>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</si>
  <si>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</si>
  <si>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</si>
  <si>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</si>
  <si>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</si>
  <si>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</si>
  <si>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</si>
  <si>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</si>
  <si>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</si>
  <si>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</si>
  <si>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</si>
  <si>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</si>
  <si>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</si>
  <si>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</si>
  <si>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</si>
  <si>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</si>
  <si>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</si>
  <si>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</si>
  <si>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</si>
  <si>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</si>
  <si>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</si>
  <si>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</si>
  <si>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</si>
  <si>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</si>
  <si>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</si>
  <si>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</si>
  <si>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</si>
  <si>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</si>
  <si>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</si>
  <si>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</si>
  <si>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</si>
  <si>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</si>
  <si>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</si>
  <si>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</si>
  <si>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</si>
  <si>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</si>
  <si>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</si>
  <si>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</si>
  <si>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</si>
  <si>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</si>
  <si>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</si>
  <si>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</si>
  <si>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</si>
  <si>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</si>
  <si>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</si>
  <si>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</si>
  <si>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</si>
  <si>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</si>
  <si>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</si>
  <si>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</si>
  <si>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</si>
  <si>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</si>
  <si>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</si>
  <si>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</si>
  <si>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</si>
  <si>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</si>
  <si>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</si>
  <si>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</si>
  <si>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</si>
  <si>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</si>
  <si>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</si>
  <si>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</si>
  <si>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</si>
  <si>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</si>
  <si>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</si>
  <si>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</si>
  <si>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</si>
  <si>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</si>
  <si>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</si>
  <si>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</si>
  <si>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</si>
  <si>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</si>
  <si>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</si>
  <si>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</si>
  <si>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</si>
  <si>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</si>
  <si>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</si>
  <si>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</si>
  <si>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</si>
  <si>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</si>
  <si>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</si>
  <si>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</si>
  <si>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</si>
  <si>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</si>
  <si>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</si>
  <si>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</si>
  <si>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</si>
  <si>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</si>
  <si>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</si>
  <si>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</si>
  <si>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</si>
  <si>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</si>
  <si>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</si>
  <si>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</si>
  <si>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</si>
  <si>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</si>
  <si>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</si>
  <si>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</si>
  <si>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</si>
  <si>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</si>
  <si>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</si>
  <si>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</si>
  <si>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</si>
  <si>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</si>
  <si>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</si>
  <si>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</si>
  <si>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</si>
  <si>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</si>
  <si>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</si>
  <si>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</si>
  <si>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</si>
  <si>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</si>
  <si>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</si>
  <si>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</si>
  <si>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</si>
  <si>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</si>
  <si>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</si>
  <si>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</si>
  <si>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</si>
  <si>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</si>
  <si>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</si>
  <si>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</si>
  <si>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</si>
  <si>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</si>
  <si>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</si>
  <si>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</si>
  <si>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</si>
  <si>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</si>
  <si>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</si>
  <si>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</si>
  <si>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</si>
  <si>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</si>
  <si>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</si>
  <si>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</si>
  <si>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</si>
  <si>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</si>
  <si>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</si>
  <si>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</si>
  <si>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</si>
  <si>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</si>
  <si>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</si>
  <si>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</si>
  <si>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</si>
  <si>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</si>
  <si>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</si>
  <si>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</si>
  <si>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</si>
  <si>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</si>
  <si>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</si>
  <si>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</si>
  <si>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</si>
  <si>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</si>
  <si>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</si>
  <si>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</si>
  <si>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</si>
  <si>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</si>
  <si>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</si>
  <si>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</si>
  <si>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</si>
  <si>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</si>
  <si>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</si>
  <si>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</si>
  <si>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</si>
  <si>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</si>
  <si>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</si>
  <si>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</si>
  <si>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</si>
  <si>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</si>
  <si>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</si>
  <si>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</si>
  <si>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</si>
  <si>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</si>
  <si>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</si>
  <si>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</si>
  <si>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</si>
  <si>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</si>
  <si>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</si>
  <si>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</si>
  <si>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</si>
  <si>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</si>
  <si>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</si>
  <si>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</si>
  <si>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</si>
  <si>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</si>
  <si>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</si>
  <si>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</si>
  <si>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</si>
  <si>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</si>
  <si>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</si>
  <si>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</si>
  <si>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</si>
  <si>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</si>
  <si>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</si>
  <si>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</si>
  <si>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</si>
  <si>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</si>
  <si>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</si>
  <si>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</si>
  <si>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</si>
  <si>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</si>
  <si>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</si>
  <si>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</si>
  <si>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</si>
  <si>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</si>
  <si>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</si>
  <si>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</si>
  <si>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</si>
  <si>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</si>
  <si>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</si>
  <si>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</si>
  <si>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</si>
  <si>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</si>
  <si>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</si>
  <si>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</si>
  <si>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</si>
  <si>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</si>
  <si>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</si>
  <si>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</si>
  <si>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</si>
  <si>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</si>
  <si>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</si>
  <si>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</si>
  <si>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</si>
  <si>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</si>
  <si>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</si>
  <si>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</si>
  <si>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</si>
  <si>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</si>
  <si>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</si>
  <si>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</si>
  <si>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</si>
  <si>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</si>
  <si>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</si>
  <si>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</si>
  <si>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</si>
  <si>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</si>
  <si>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</si>
  <si>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</si>
  <si>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</si>
  <si>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</si>
  <si>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</si>
  <si>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</si>
  <si>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</si>
  <si>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</si>
  <si>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</si>
  <si>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</si>
  <si>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</si>
  <si>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</si>
  <si>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</si>
  <si>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</si>
  <si>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</si>
  <si>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</si>
  <si>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</si>
  <si>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</si>
  <si>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</si>
  <si>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</si>
  <si>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</si>
  <si>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</si>
  <si>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</si>
  <si>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</si>
  <si>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</si>
  <si>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</si>
  <si>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</si>
  <si>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</si>
  <si>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</si>
  <si>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</si>
  <si>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</si>
  <si>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</si>
  <si>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</si>
  <si>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</si>
  <si>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</si>
  <si>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</si>
  <si>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</si>
  <si>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</si>
  <si>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</si>
  <si>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</si>
  <si>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</si>
  <si>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</si>
  <si>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</si>
  <si>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</si>
  <si>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</si>
  <si>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</si>
  <si>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</si>
  <si>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</si>
  <si>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</si>
  <si>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</si>
  <si>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</si>
  <si>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</si>
  <si>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</si>
  <si>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</si>
  <si>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</si>
  <si>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</si>
  <si>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</si>
  <si>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</si>
  <si>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</si>
  <si>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</si>
  <si>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</si>
  <si>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</si>
  <si>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</si>
  <si>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</si>
  <si>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</si>
  <si>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</si>
  <si>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</si>
  <si>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</si>
  <si>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</si>
  <si>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</si>
  <si>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</si>
  <si>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</si>
  <si>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</si>
  <si>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</si>
  <si>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</si>
  <si>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</si>
  <si>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</si>
  <si>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</si>
  <si>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</si>
  <si>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</si>
  <si>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</si>
  <si>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</si>
  <si>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</si>
  <si>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</si>
  <si>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</si>
  <si>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</si>
  <si>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</si>
  <si>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</si>
  <si>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</si>
  <si>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</si>
  <si>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</si>
  <si>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</si>
  <si>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</si>
  <si>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</si>
  <si>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</si>
  <si>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</si>
  <si>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</si>
  <si>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</si>
  <si>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</si>
  <si>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</si>
  <si>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</si>
  <si>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</si>
  <si>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</si>
  <si>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</si>
  <si>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</si>
  <si>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</si>
  <si>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</si>
  <si>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</si>
  <si>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</si>
  <si>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</si>
  <si>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</si>
  <si>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</si>
  <si>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</si>
  <si>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</si>
  <si>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</si>
  <si>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</si>
  <si>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</si>
  <si>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</si>
  <si>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</si>
  <si>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</si>
  <si>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</si>
  <si>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</si>
  <si>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</si>
  <si>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</si>
  <si>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</si>
  <si>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</si>
  <si>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</si>
  <si>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</si>
  <si>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</si>
  <si>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</si>
  <si>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</si>
  <si>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</si>
  <si>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</si>
  <si>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</si>
  <si>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</si>
  <si>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</si>
  <si>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</si>
  <si>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</si>
  <si>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</si>
  <si>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</si>
  <si>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</si>
  <si>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</si>
  <si>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</si>
  <si>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</si>
  <si>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</si>
  <si>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</si>
  <si>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</si>
  <si>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</si>
  <si>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</si>
  <si>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</si>
  <si>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</si>
  <si>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</si>
  <si>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</si>
  <si>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</si>
  <si>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</si>
  <si>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</si>
  <si>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</si>
  <si>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</si>
  <si>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</si>
  <si>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</si>
  <si>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</si>
  <si>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</si>
  <si>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</si>
  <si>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</si>
  <si>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</si>
  <si>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</si>
  <si>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</si>
  <si>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</si>
  <si>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</si>
  <si>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</si>
  <si>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</si>
  <si>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</si>
  <si>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</si>
  <si>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</si>
  <si>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</si>
  <si>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</si>
  <si>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</si>
  <si>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</si>
  <si>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</si>
  <si>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</si>
  <si>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</si>
  <si>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</si>
  <si>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</si>
  <si>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</si>
  <si>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</si>
  <si>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</si>
  <si>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</si>
  <si>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</si>
  <si>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</si>
  <si>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</si>
  <si>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</si>
  <si>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</si>
  <si>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</si>
  <si>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</si>
  <si>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</si>
  <si>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</si>
  <si>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</si>
  <si>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</si>
  <si>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</si>
  <si>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</si>
  <si>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</si>
  <si>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</si>
  <si>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</si>
  <si>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</si>
  <si>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</si>
  <si>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</si>
  <si>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</si>
  <si>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</si>
  <si>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</si>
  <si>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</si>
  <si>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</si>
  <si>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</si>
  <si>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</si>
  <si>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</si>
  <si>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</si>
  <si>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</si>
  <si>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</si>
  <si>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</si>
  <si>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</si>
  <si>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</si>
  <si>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</si>
  <si>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</si>
  <si>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</si>
  <si>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</si>
  <si>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</si>
  <si>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</si>
  <si>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</si>
  <si>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</si>
  <si>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</si>
  <si>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</si>
  <si>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</si>
  <si>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</si>
  <si>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</si>
  <si>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</si>
  <si>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</si>
  <si>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</si>
  <si>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</si>
  <si>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</si>
  <si>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</si>
  <si>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</si>
  <si>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</si>
  <si>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</si>
  <si>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</si>
  <si>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</si>
  <si>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</si>
  <si>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</si>
  <si>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</si>
  <si>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</si>
  <si>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</si>
  <si>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</si>
  <si>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</si>
  <si>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</si>
  <si>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</si>
  <si>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</si>
  <si>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</si>
  <si>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</si>
  <si>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</si>
  <si>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</si>
  <si>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</si>
  <si>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</si>
  <si>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</si>
  <si>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</si>
  <si>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</si>
  <si>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</si>
  <si>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</si>
  <si>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</si>
  <si>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</si>
  <si>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</si>
  <si>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</si>
  <si>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</si>
  <si>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</si>
  <si>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</si>
  <si>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</si>
  <si>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</si>
  <si>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</si>
  <si>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</si>
  <si>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</si>
  <si>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</si>
  <si>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</si>
  <si>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</si>
  <si>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</si>
  <si>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</si>
  <si>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</si>
  <si>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</si>
  <si>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</si>
  <si>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</si>
  <si>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</si>
  <si>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</si>
  <si>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</si>
  <si>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</si>
  <si>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</si>
  <si>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</si>
  <si>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</si>
  <si>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</si>
  <si>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</si>
  <si>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</si>
  <si>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</si>
  <si>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</si>
  <si>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</si>
  <si>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</si>
  <si>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</si>
  <si>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</si>
  <si>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</si>
  <si>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</si>
  <si>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</si>
  <si>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</si>
  <si>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</si>
  <si>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</si>
  <si>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</si>
  <si>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</si>
  <si>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</si>
  <si>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</si>
  <si>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</si>
  <si>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</si>
  <si>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</si>
  <si>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</si>
  <si>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</si>
  <si>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</si>
  <si>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</si>
  <si>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</si>
  <si>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</si>
  <si>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</si>
  <si>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</si>
  <si>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</si>
  <si>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</si>
  <si>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</si>
  <si>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</si>
  <si>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</si>
  <si>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</si>
  <si>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</si>
  <si>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</si>
  <si>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</si>
  <si>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</si>
  <si>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</si>
  <si>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</si>
  <si>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</si>
  <si>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</si>
  <si>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</si>
  <si>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</si>
  <si>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</si>
  <si>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</si>
  <si>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</si>
  <si>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</si>
  <si>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</si>
  <si>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</si>
  <si>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</si>
  <si>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</si>
  <si>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</si>
  <si>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</si>
  <si>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</si>
  <si>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</si>
  <si>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</si>
  <si>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</si>
  <si>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</si>
  <si>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</si>
  <si>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</si>
  <si>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</si>
  <si>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</si>
  <si>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</si>
  <si>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</si>
  <si>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</si>
  <si>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</si>
  <si>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</si>
  <si>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</si>
  <si>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</si>
  <si>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</si>
  <si>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</si>
  <si>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</si>
  <si>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</si>
  <si>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</si>
  <si>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</si>
  <si>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</si>
  <si>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</si>
  <si>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</si>
  <si>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</si>
  <si>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</si>
  <si>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</si>
  <si>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</si>
  <si>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</si>
  <si>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</si>
  <si>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</si>
  <si>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</si>
  <si>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</si>
  <si>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</si>
  <si>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</si>
  <si>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</si>
  <si>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</si>
  <si>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</si>
  <si>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</si>
  <si>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</si>
  <si>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</si>
  <si>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</si>
  <si>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</si>
  <si>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</si>
  <si>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</si>
  <si>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</si>
  <si>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</si>
  <si>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</si>
  <si>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</si>
  <si>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</si>
  <si>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</si>
  <si>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</si>
  <si>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</si>
  <si>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</si>
  <si>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</si>
  <si>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</si>
  <si>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</si>
  <si>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</si>
  <si>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</si>
  <si>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</si>
  <si>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</si>
  <si>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</si>
  <si>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</si>
  <si>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</si>
  <si>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</si>
  <si>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</si>
  <si>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</si>
  <si>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</si>
  <si>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</si>
  <si>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</si>
  <si>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</si>
  <si>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</si>
  <si>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</si>
  <si>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</si>
  <si>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</si>
  <si>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</si>
  <si>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</si>
  <si>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</si>
  <si>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</si>
  <si>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</si>
  <si>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</si>
  <si>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</si>
  <si>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</si>
  <si>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</si>
  <si>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</si>
  <si>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</si>
  <si>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</si>
  <si>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</si>
  <si>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</si>
  <si>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</si>
  <si>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</si>
  <si>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</si>
  <si>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</si>
  <si>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</si>
  <si>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</si>
  <si>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</si>
  <si>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</si>
  <si>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</si>
  <si>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</si>
  <si>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</si>
  <si>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</si>
  <si>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</si>
  <si>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</si>
  <si>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</si>
  <si>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</si>
  <si>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</si>
  <si>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</si>
  <si>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</si>
  <si>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</si>
  <si>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</si>
  <si>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</si>
  <si>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</si>
  <si>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</si>
  <si>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</si>
  <si>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</si>
  <si>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</si>
  <si>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</si>
  <si>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</si>
  <si>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</si>
  <si>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</si>
  <si>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</si>
  <si>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</si>
  <si>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</si>
  <si>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</si>
  <si>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</si>
  <si>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</si>
  <si>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</si>
  <si>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</si>
  <si>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</si>
  <si>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</si>
  <si>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</si>
  <si>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</si>
  <si>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</si>
  <si>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</si>
  <si>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</si>
  <si>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</si>
  <si>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</si>
  <si>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</si>
  <si>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</si>
  <si>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</si>
  <si>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</si>
  <si>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</si>
  <si>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</si>
  <si>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</si>
  <si>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</si>
  <si>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</si>
  <si>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</si>
  <si>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</si>
  <si>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</si>
  <si>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</si>
  <si>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</si>
  <si>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</si>
  <si>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</si>
  <si>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</si>
  <si>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</si>
  <si>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</si>
  <si>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</si>
  <si>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</si>
  <si>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</si>
  <si>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</si>
  <si>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</si>
  <si>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</si>
  <si>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</si>
  <si>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</si>
  <si>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</si>
  <si>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</si>
  <si>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</si>
  <si>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</si>
  <si>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</si>
  <si>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</si>
  <si>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</si>
  <si>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</si>
  <si>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</si>
  <si>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</si>
  <si>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</si>
  <si>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</si>
  <si>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</si>
  <si>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</si>
  <si>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</si>
  <si>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</si>
  <si>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</si>
  <si>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</si>
  <si>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</si>
  <si>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</si>
  <si>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</si>
  <si>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</si>
  <si>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</si>
  <si>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</si>
  <si>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</si>
  <si>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</si>
  <si>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</si>
  <si>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</si>
  <si>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</si>
  <si>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</si>
  <si>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</si>
  <si>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</si>
  <si>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</si>
  <si>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</si>
  <si>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</si>
  <si>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</si>
  <si>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</si>
  <si>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</si>
  <si>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</si>
  <si>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</si>
  <si>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</si>
  <si>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</si>
  <si>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</si>
  <si>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</si>
  <si>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</si>
  <si>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</si>
  <si>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</si>
  <si>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</si>
  <si>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</si>
  <si>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</si>
  <si>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</si>
  <si>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</si>
  <si>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</si>
  <si>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</si>
  <si>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</si>
  <si>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</si>
  <si>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</si>
  <si>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</si>
  <si>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</si>
  <si>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</si>
  <si>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</si>
  <si>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</si>
  <si>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</si>
  <si>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</si>
  <si>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</si>
  <si>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</si>
  <si>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</si>
  <si>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</si>
  <si>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</si>
  <si>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</si>
  <si>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</si>
  <si>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</si>
  <si>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</si>
  <si>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</si>
  <si>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</si>
  <si>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</si>
  <si>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</si>
  <si>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</si>
  <si>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</si>
  <si>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</si>
  <si>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</si>
  <si>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</si>
  <si>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</si>
  <si>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</si>
  <si>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</si>
  <si>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</si>
  <si>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</si>
  <si>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</si>
  <si>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</si>
  <si>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</si>
  <si>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</si>
  <si>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</si>
  <si>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</si>
  <si>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</si>
  <si>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</si>
  <si>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</si>
  <si>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</si>
  <si>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</si>
  <si>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</si>
  <si>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</si>
  <si>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</si>
  <si>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</si>
  <si>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</si>
  <si>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</si>
  <si>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</si>
  <si>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</si>
  <si>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</si>
  <si>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</si>
  <si>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</si>
  <si>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</si>
  <si>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</si>
  <si>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</si>
  <si>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</si>
  <si>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</si>
  <si>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</si>
  <si>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</si>
  <si>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</si>
  <si>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</si>
  <si>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</si>
  <si>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</si>
  <si>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</si>
  <si>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</si>
  <si>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</si>
  <si>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</si>
  <si>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</si>
  <si>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</si>
  <si>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</si>
  <si>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</si>
  <si>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</si>
  <si>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</si>
  <si>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</si>
  <si>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</si>
  <si>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</si>
  <si>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</si>
  <si>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</si>
  <si>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</si>
  <si>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</si>
  <si>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</si>
  <si>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</si>
  <si>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</si>
  <si>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</si>
  <si>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</si>
  <si>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</si>
  <si>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</si>
  <si>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</si>
  <si>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</si>
  <si>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</si>
  <si>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</si>
  <si>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</si>
  <si>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</si>
  <si>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</si>
  <si>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</si>
  <si>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</si>
  <si>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</si>
  <si>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</si>
  <si>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</si>
  <si>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</si>
  <si>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</si>
  <si>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</si>
  <si>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</si>
  <si>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</si>
  <si>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</si>
  <si>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</si>
  <si>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</si>
  <si>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</si>
  <si>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</si>
  <si>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</si>
  <si>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</si>
  <si>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</si>
  <si>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</si>
  <si>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</si>
  <si>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</si>
  <si>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</si>
  <si>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</si>
  <si>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</si>
  <si>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</si>
  <si>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</si>
  <si>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</si>
  <si>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</si>
  <si>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</si>
  <si>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</si>
  <si>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</si>
  <si>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</si>
  <si>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</si>
  <si>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</si>
  <si>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</si>
  <si>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</si>
  <si>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</si>
  <si>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</si>
  <si>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</si>
  <si>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</si>
  <si>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</si>
  <si>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</si>
  <si>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</si>
  <si>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</si>
  <si>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</si>
  <si>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</si>
  <si>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</si>
  <si>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</si>
  <si>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</si>
  <si>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</si>
  <si>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</si>
  <si>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</si>
  <si>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</si>
  <si>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</si>
  <si>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</si>
  <si>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</si>
  <si>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</si>
  <si>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</si>
  <si>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</si>
  <si>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</si>
  <si>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</si>
  <si>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</si>
  <si>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</si>
  <si>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</si>
  <si>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</si>
  <si>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</si>
  <si>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</si>
  <si>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</si>
  <si>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</si>
  <si>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</si>
  <si>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</si>
  <si>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</si>
  <si>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</si>
  <si>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</si>
  <si>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</si>
  <si>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</si>
  <si>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</si>
  <si>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</si>
  <si>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</si>
  <si>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</si>
  <si>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</si>
  <si>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</si>
  <si>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</si>
  <si>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</si>
  <si>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</si>
  <si>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</si>
  <si>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</si>
  <si>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</si>
  <si>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</si>
  <si>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</si>
  <si>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</si>
  <si>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</si>
  <si>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</si>
  <si>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</si>
  <si>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</si>
  <si>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</si>
  <si>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</si>
  <si>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</si>
  <si>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</si>
  <si>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</si>
  <si>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</si>
  <si>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</si>
  <si>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</si>
  <si>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</si>
  <si>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</si>
  <si>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</si>
  <si>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</si>
  <si>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</si>
  <si>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</si>
  <si>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</si>
  <si>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</si>
  <si>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</si>
  <si>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</si>
  <si>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</si>
  <si>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</si>
  <si>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</si>
  <si>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</si>
  <si>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</si>
  <si>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</si>
  <si>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</si>
  <si>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</si>
  <si>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</si>
  <si>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</si>
  <si>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</si>
  <si>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</si>
  <si>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</si>
  <si>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</si>
  <si>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</si>
  <si>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</si>
  <si>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</si>
  <si>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</si>
  <si>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</si>
  <si>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</si>
  <si>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</si>
  <si>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</si>
  <si>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</si>
  <si>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</si>
  <si>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</si>
  <si>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</si>
  <si>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</si>
  <si>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</si>
  <si>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</si>
  <si>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</si>
  <si>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</si>
  <si>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</si>
  <si>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</si>
  <si>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</si>
  <si>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</si>
  <si>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</si>
  <si>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</si>
  <si>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</si>
  <si>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</si>
  <si>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</si>
  <si>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</si>
  <si>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</si>
  <si>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</si>
  <si>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</si>
  <si>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</si>
  <si>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</si>
  <si>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</si>
  <si>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</si>
  <si>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</si>
  <si>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</si>
  <si>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</si>
  <si>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</si>
  <si>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</si>
  <si>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</si>
  <si>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</si>
  <si>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</si>
  <si>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</si>
  <si>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</si>
  <si>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</si>
  <si>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</si>
  <si>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</si>
  <si>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</si>
  <si>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</si>
  <si>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</si>
  <si>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</si>
  <si>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</si>
  <si>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</si>
  <si>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</si>
  <si>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</si>
  <si>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</si>
  <si>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</si>
  <si>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</si>
  <si>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</si>
  <si>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</si>
  <si>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</si>
  <si>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</si>
  <si>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</si>
  <si>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</si>
  <si>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</si>
  <si>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</si>
  <si>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</si>
  <si>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</si>
  <si>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</si>
  <si>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</si>
  <si>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</si>
  <si>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</si>
  <si>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</si>
  <si>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</si>
  <si>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</si>
  <si>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</si>
  <si>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</si>
  <si>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</si>
  <si>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</si>
  <si>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</si>
  <si>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</si>
  <si>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</si>
  <si>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</si>
  <si>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</si>
  <si>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</si>
  <si>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</si>
  <si>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</si>
  <si>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</si>
  <si>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</si>
  <si>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</si>
  <si>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</si>
  <si>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</si>
  <si>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</si>
  <si>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</si>
  <si>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</si>
  <si>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</si>
  <si>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</si>
  <si>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</si>
  <si>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</si>
  <si>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</si>
  <si>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</si>
  <si>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</si>
  <si>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</si>
  <si>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</si>
  <si>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</si>
  <si>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</si>
  <si>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</si>
  <si>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</si>
  <si>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</si>
  <si>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</si>
  <si>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</si>
  <si>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</si>
  <si>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</si>
  <si>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</si>
  <si>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</si>
  <si>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</si>
  <si>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</si>
  <si>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</si>
  <si>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</si>
  <si>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</si>
  <si>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</si>
  <si>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</si>
  <si>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</si>
  <si>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</si>
  <si>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</si>
  <si>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</si>
  <si>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</si>
  <si>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</si>
  <si>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</si>
  <si>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</si>
  <si>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</si>
  <si>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</si>
  <si>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</si>
  <si>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</si>
  <si>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</si>
  <si>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</si>
  <si>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</si>
  <si>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</si>
  <si>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</si>
  <si>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</si>
  <si>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</si>
  <si>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</si>
  <si>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</si>
  <si>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</si>
  <si>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</si>
  <si>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</si>
  <si>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</si>
  <si>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</si>
  <si>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</si>
  <si>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</si>
  <si>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</si>
  <si>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</si>
  <si>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</si>
  <si>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</si>
  <si>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</si>
  <si>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</si>
  <si>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</si>
  <si>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</si>
  <si>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</si>
  <si>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</si>
  <si>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</si>
  <si>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</si>
  <si>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</si>
  <si>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</si>
  <si>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</si>
  <si>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</si>
  <si>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</si>
  <si>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</si>
  <si>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</si>
  <si>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</si>
  <si>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</si>
  <si>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</si>
  <si>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</si>
  <si>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</si>
  <si>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</si>
  <si>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</si>
  <si>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</si>
  <si>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</si>
  <si>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</si>
  <si>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</si>
  <si>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</si>
  <si>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</si>
  <si>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</si>
  <si>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</si>
  <si>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</si>
  <si>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</si>
  <si>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</si>
  <si>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</si>
  <si>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</si>
  <si>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</si>
  <si>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</si>
  <si>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</si>
  <si>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</si>
  <si>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</si>
  <si>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</si>
  <si>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</si>
  <si>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</si>
  <si>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</si>
  <si>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</si>
  <si>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</si>
  <si>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</si>
  <si>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</si>
  <si>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</si>
  <si>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</si>
  <si>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</si>
  <si>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</si>
  <si>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</si>
  <si>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</si>
  <si>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</si>
  <si>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</si>
  <si>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</si>
  <si>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</si>
  <si>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</si>
  <si>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</si>
  <si>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</si>
  <si>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</si>
  <si>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</si>
  <si>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</si>
  <si>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</si>
  <si>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</si>
  <si>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</si>
  <si>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</si>
  <si>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</si>
  <si>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</si>
  <si>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</si>
  <si>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</si>
  <si>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</si>
  <si>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</si>
  <si>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</si>
  <si>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</si>
  <si>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</si>
  <si>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</si>
  <si>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</si>
  <si>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</si>
  <si>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</si>
  <si>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</si>
  <si>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</si>
  <si>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</si>
  <si>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</si>
  <si>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</si>
  <si>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</si>
  <si>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</si>
  <si>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</si>
  <si>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</si>
  <si>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</si>
  <si>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</si>
  <si>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</si>
  <si>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</si>
  <si>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</si>
  <si>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</si>
  <si>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</si>
  <si>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</si>
  <si>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</si>
  <si>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</si>
  <si>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</si>
  <si>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</si>
  <si>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</si>
  <si>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</si>
  <si>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</si>
  <si>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</si>
  <si>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</si>
  <si>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</si>
  <si>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</si>
  <si>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</si>
  <si>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</si>
  <si>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</si>
  <si>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</si>
  <si>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</si>
  <si>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</si>
  <si>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</si>
  <si>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</si>
  <si>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</si>
  <si>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</si>
  <si>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</si>
  <si>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</si>
  <si>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</si>
  <si>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</si>
  <si>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</si>
  <si>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</si>
  <si>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</si>
  <si>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</si>
  <si>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</si>
  <si>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</si>
  <si>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</si>
  <si>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</si>
  <si>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</si>
  <si>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</si>
  <si>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</si>
  <si>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</si>
  <si>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</si>
  <si>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</si>
  <si>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</si>
  <si>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</si>
  <si>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</si>
  <si>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</si>
  <si>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</si>
  <si>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</si>
  <si>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</si>
  <si>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</si>
  <si>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</si>
  <si>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</si>
  <si>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</si>
  <si>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</si>
  <si>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</si>
  <si>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</si>
  <si>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</si>
  <si>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</si>
  <si>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</si>
  <si>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</si>
  <si>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</si>
  <si>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</si>
  <si>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</si>
  <si>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</si>
  <si>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</si>
  <si>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</si>
  <si>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</si>
  <si>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</si>
  <si>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</si>
  <si>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</si>
  <si>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</si>
  <si>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</si>
  <si>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</si>
  <si>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</si>
  <si>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</si>
  <si>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</si>
  <si>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</si>
  <si>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</si>
  <si>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</si>
  <si>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</si>
  <si>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</si>
  <si>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</si>
  <si>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</si>
  <si>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</si>
  <si>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</si>
  <si>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</si>
  <si>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</si>
  <si>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</si>
  <si>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</si>
  <si>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</si>
  <si>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</si>
  <si>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</si>
  <si>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</si>
  <si>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</si>
  <si>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</si>
  <si>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</si>
  <si>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</si>
  <si>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</si>
  <si>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</si>
  <si>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</si>
  <si>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</si>
  <si>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</si>
  <si>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</si>
  <si>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</si>
  <si>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</si>
  <si>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</si>
  <si>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</si>
  <si>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</si>
  <si>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</si>
  <si>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</si>
  <si>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</si>
  <si>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</si>
  <si>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</si>
  <si>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</si>
  <si>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</si>
  <si>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</si>
  <si>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</si>
  <si>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</si>
  <si>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</si>
  <si>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</si>
  <si>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</si>
  <si>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</si>
  <si>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</si>
  <si>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</si>
  <si>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</si>
  <si>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</si>
  <si>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</si>
  <si>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</si>
  <si>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</si>
  <si>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</si>
  <si>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</si>
  <si>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</si>
  <si>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</si>
  <si>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</si>
  <si>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</si>
  <si>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</si>
  <si>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</si>
  <si>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</si>
  <si>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</si>
  <si>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</si>
  <si>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</si>
  <si>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</si>
  <si>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</si>
  <si>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</si>
  <si>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</si>
  <si>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</si>
  <si>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</si>
  <si>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</si>
  <si>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</si>
  <si>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</si>
  <si>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</si>
  <si>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</si>
  <si>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</si>
  <si>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</si>
  <si>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</si>
  <si>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</si>
  <si>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</si>
  <si>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</si>
  <si>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</si>
  <si>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</si>
  <si>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</si>
  <si>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</si>
  <si>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</si>
  <si>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</si>
  <si>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</si>
  <si>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</si>
  <si>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</si>
  <si>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</si>
  <si>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</si>
  <si>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</si>
  <si>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</si>
  <si>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</si>
  <si>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</si>
  <si>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</si>
  <si>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</si>
  <si>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</si>
  <si>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</si>
  <si>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</si>
  <si>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</si>
  <si>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</si>
  <si>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</si>
  <si>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</si>
  <si>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</si>
  <si>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</si>
  <si>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</si>
  <si>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</si>
  <si>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</si>
  <si>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</si>
  <si>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</si>
  <si>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</si>
  <si>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</si>
  <si>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</si>
  <si>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</si>
  <si>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</si>
  <si>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</si>
  <si>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</si>
  <si>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</si>
  <si>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</si>
  <si>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</si>
  <si>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</si>
  <si>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</si>
  <si>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</si>
  <si>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</si>
  <si>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</si>
  <si>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</si>
  <si>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</si>
  <si>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</si>
  <si>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</si>
  <si>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</si>
  <si>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</si>
  <si>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</si>
  <si>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</si>
  <si>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</si>
  <si>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</si>
  <si>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</si>
  <si>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</si>
  <si>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</si>
  <si>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</si>
  <si>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</si>
  <si>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</si>
  <si>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</si>
  <si>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</si>
  <si>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</si>
  <si>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</si>
  <si>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</si>
  <si>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</si>
  <si>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</si>
  <si>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</si>
  <si>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</si>
  <si>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</si>
  <si>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</si>
  <si>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</si>
  <si>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</si>
  <si>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</si>
  <si>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</si>
  <si>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</si>
  <si>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</si>
  <si>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</si>
  <si>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</si>
  <si>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</si>
  <si>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</si>
  <si>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</si>
  <si>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</si>
  <si>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</si>
  <si>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</si>
  <si>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</si>
  <si>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</si>
  <si>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</si>
  <si>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</si>
  <si>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</si>
  <si>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</si>
  <si>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</si>
  <si>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</si>
  <si>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</si>
  <si>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</si>
  <si>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</si>
  <si>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</si>
  <si>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</si>
  <si>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</si>
  <si>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</si>
  <si>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</si>
  <si>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</si>
  <si>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</si>
  <si>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</si>
  <si>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</si>
  <si>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</si>
  <si>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</si>
  <si>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</si>
  <si>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</si>
  <si>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</si>
  <si>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</si>
  <si>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</si>
  <si>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</si>
  <si>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</si>
  <si>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</si>
  <si>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</si>
  <si>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</si>
  <si>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</si>
  <si>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</si>
  <si>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</si>
  <si>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</si>
  <si>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</si>
  <si>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</si>
  <si>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</si>
  <si>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</si>
  <si>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</si>
  <si>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</si>
  <si>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</si>
  <si>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</si>
  <si>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</si>
  <si>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</si>
  <si>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</si>
  <si>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</si>
  <si>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</si>
  <si>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</si>
  <si>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</si>
  <si>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</si>
  <si>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</si>
  <si>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</si>
  <si>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</si>
  <si>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</si>
  <si>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</si>
  <si>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</si>
  <si>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</si>
  <si>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</si>
  <si>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</si>
  <si>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</si>
  <si>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</si>
  <si>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</si>
  <si>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</si>
  <si>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</si>
  <si>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</si>
  <si>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</si>
  <si>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</si>
  <si>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</si>
  <si>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</si>
  <si>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</si>
  <si>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</si>
  <si>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</si>
  <si>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</si>
  <si>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</si>
  <si>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</si>
  <si>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</si>
  <si>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</si>
  <si>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</si>
  <si>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</si>
  <si>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</si>
  <si>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</si>
  <si>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</si>
  <si>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</si>
  <si>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</si>
  <si>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</si>
  <si>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</si>
  <si>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</si>
  <si>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</si>
  <si>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</si>
  <si>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</si>
  <si>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</si>
  <si>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</si>
  <si>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</si>
  <si>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</si>
  <si>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</si>
  <si>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</si>
  <si>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</si>
  <si>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</si>
  <si>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</si>
  <si>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</si>
  <si>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</si>
  <si>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</si>
  <si>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</si>
  <si>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</si>
  <si>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</si>
  <si>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</si>
  <si>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</si>
  <si>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</si>
  <si>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</si>
  <si>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</si>
  <si>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</si>
  <si>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</si>
  <si>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</si>
  <si>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</si>
  <si>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</si>
  <si>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</si>
  <si>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</si>
  <si>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</si>
  <si>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</si>
  <si>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</si>
  <si>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</si>
  <si>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</si>
  <si>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</si>
  <si>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</si>
  <si>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</si>
  <si>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</si>
  <si>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</si>
  <si>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</si>
  <si>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</si>
  <si>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</si>
  <si>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</si>
  <si>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</si>
  <si>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</si>
  <si>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</si>
  <si>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</si>
  <si>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</si>
  <si>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</si>
  <si>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</si>
  <si>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</si>
  <si>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</si>
  <si>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</si>
  <si>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</si>
  <si>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</si>
  <si>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</si>
  <si>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</si>
  <si>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</si>
  <si>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</si>
  <si>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</si>
  <si>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</si>
  <si>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</si>
  <si>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</si>
  <si>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</si>
  <si>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</si>
  <si>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</si>
  <si>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</si>
  <si>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</si>
  <si>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</si>
  <si>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</si>
  <si>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</si>
  <si>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</si>
  <si>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</si>
  <si>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</si>
  <si>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</si>
  <si>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</si>
  <si>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</si>
  <si>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</si>
  <si>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</si>
  <si>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</si>
  <si>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</si>
  <si>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</si>
  <si>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</si>
  <si>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</si>
  <si>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</si>
  <si>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</si>
  <si>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</si>
  <si>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</si>
  <si>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</si>
  <si>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</si>
  <si>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</si>
  <si>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</si>
  <si>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</si>
  <si>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</si>
  <si>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</si>
  <si>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</si>
  <si>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</si>
  <si>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</si>
  <si>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</si>
  <si>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</si>
  <si>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</si>
  <si>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</si>
  <si>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</si>
  <si>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</si>
  <si>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</si>
  <si>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</si>
  <si>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</si>
  <si>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</si>
  <si>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</si>
  <si>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</si>
  <si>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</si>
  <si>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</si>
  <si>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</si>
  <si>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</si>
  <si>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</si>
  <si>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</si>
  <si>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</si>
  <si>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</si>
  <si>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</si>
  <si>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</si>
  <si>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</si>
  <si>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</si>
  <si>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</si>
  <si>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</si>
  <si>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</si>
  <si>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</si>
  <si>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</si>
  <si>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</si>
  <si>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</si>
  <si>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</si>
  <si>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</si>
  <si>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</si>
  <si>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</si>
  <si>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</si>
  <si>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</si>
  <si>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</si>
  <si>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</si>
  <si>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</si>
  <si>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</si>
  <si>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</si>
  <si>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</si>
  <si>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</si>
  <si>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</si>
  <si>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</si>
  <si>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</si>
  <si>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</si>
  <si>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</si>
  <si>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</si>
  <si>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</si>
  <si>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</si>
  <si>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</si>
  <si>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</si>
  <si>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</si>
  <si>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</si>
  <si>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</si>
  <si>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</si>
  <si>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</si>
  <si>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</si>
  <si>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</si>
  <si>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</si>
  <si>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</si>
  <si>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</si>
  <si>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</si>
  <si>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</si>
  <si>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</si>
  <si>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</si>
  <si>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</si>
  <si>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</si>
  <si>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</si>
  <si>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</si>
  <si>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</si>
  <si>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</si>
  <si>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</si>
  <si>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</si>
  <si>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</si>
  <si>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</si>
  <si>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</si>
  <si>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</si>
  <si>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</si>
  <si>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</si>
  <si>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</si>
  <si>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</si>
  <si>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</si>
  <si>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</si>
  <si>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</si>
  <si>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</si>
  <si>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</si>
  <si>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</si>
  <si>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</si>
  <si>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</si>
  <si>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</si>
  <si>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</si>
  <si>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</si>
  <si>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</si>
  <si>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</si>
  <si>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</si>
  <si>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</si>
  <si>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</si>
  <si>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</si>
  <si>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</si>
  <si>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</si>
  <si>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</si>
  <si>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</si>
  <si>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</si>
  <si>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</si>
  <si>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</si>
  <si>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</si>
  <si>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</si>
  <si>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</si>
  <si>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</si>
  <si>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</si>
  <si>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</si>
  <si>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</si>
  <si>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</si>
  <si>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</si>
  <si>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</si>
  <si>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</si>
  <si>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</si>
  <si>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</si>
  <si>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</si>
  <si>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</si>
  <si>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</si>
  <si>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</si>
  <si>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</si>
  <si>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</si>
  <si>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</si>
  <si>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</si>
  <si>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</si>
  <si>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</si>
  <si>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</si>
  <si>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</si>
  <si>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</si>
  <si>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</si>
  <si>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</si>
  <si>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</si>
  <si>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</si>
  <si>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</si>
  <si>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</si>
  <si>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</si>
  <si>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</si>
  <si>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</si>
  <si>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</si>
  <si>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</si>
  <si>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</si>
  <si>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</si>
  <si>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</si>
  <si>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</si>
  <si>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</si>
  <si>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</si>
  <si>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</si>
  <si>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</si>
  <si>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</si>
  <si>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</si>
  <si>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</si>
  <si>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</si>
  <si>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</si>
  <si>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</si>
  <si>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</si>
  <si>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</si>
  <si>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</si>
  <si>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</si>
  <si>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</si>
  <si>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</si>
  <si>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</si>
  <si>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</si>
  <si>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</si>
  <si>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</si>
  <si>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</si>
  <si>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</si>
  <si>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</si>
  <si>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</si>
  <si>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</si>
  <si>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</si>
  <si>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</si>
  <si>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</si>
  <si>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</si>
  <si>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</si>
  <si>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</si>
  <si>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</si>
  <si>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</si>
  <si>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</si>
  <si>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</si>
  <si>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</si>
  <si>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</si>
  <si>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</si>
  <si>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</si>
  <si>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</si>
  <si>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</si>
  <si>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</si>
  <si>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</si>
  <si>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</si>
  <si>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</si>
  <si>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</si>
  <si>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</si>
  <si>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</si>
  <si>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</si>
  <si>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</si>
  <si>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</si>
  <si>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</si>
  <si>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</si>
  <si>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</si>
  <si>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</si>
  <si>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</si>
  <si>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</si>
  <si>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</si>
  <si>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</si>
  <si>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</si>
  <si>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</si>
  <si>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</si>
  <si>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</si>
  <si>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</si>
  <si>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</si>
  <si>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</si>
  <si>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</si>
  <si>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</si>
  <si>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</si>
  <si>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</si>
  <si>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</si>
  <si>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</si>
  <si>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</si>
  <si>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</si>
  <si>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</si>
  <si>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</si>
  <si>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</si>
  <si>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</si>
  <si>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</si>
  <si>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</si>
  <si>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</si>
  <si>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</si>
  <si>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</si>
  <si>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</si>
  <si>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</si>
  <si>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</si>
  <si>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</si>
  <si>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</si>
  <si>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</si>
  <si>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</si>
  <si>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</si>
  <si>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</si>
  <si>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</si>
  <si>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</si>
  <si>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</si>
  <si>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</si>
  <si>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</si>
  <si>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</si>
  <si>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</si>
  <si>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</si>
  <si>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</si>
  <si>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</si>
  <si>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</si>
  <si>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</si>
  <si>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</si>
  <si>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</si>
  <si>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</si>
  <si>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</si>
  <si>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</si>
  <si>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</si>
  <si>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</si>
  <si>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</si>
  <si>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</si>
  <si>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</si>
  <si>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</si>
  <si>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</si>
  <si>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</si>
  <si>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</si>
  <si>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</si>
  <si>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</si>
  <si>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</si>
  <si>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</si>
  <si>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</si>
  <si>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</si>
  <si>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</si>
  <si>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</si>
  <si>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</si>
  <si>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</si>
  <si>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</si>
  <si>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</si>
  <si>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</si>
  <si>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</si>
  <si>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</si>
  <si>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</si>
  <si>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</si>
  <si>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</si>
  <si>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</si>
  <si>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</si>
  <si>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</si>
  <si>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</si>
  <si>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</si>
  <si>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</si>
  <si>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</si>
  <si>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</si>
  <si>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</si>
  <si>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</si>
  <si>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</si>
  <si>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</si>
  <si>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</si>
  <si>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</si>
  <si>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</si>
  <si>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</si>
  <si>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</si>
  <si>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</si>
  <si>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</si>
  <si>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</si>
  <si>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</si>
  <si>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</si>
  <si>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</si>
  <si>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</si>
  <si>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</si>
  <si>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</si>
  <si>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</si>
  <si>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</si>
  <si>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</si>
  <si>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</si>
  <si>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</si>
  <si>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</si>
  <si>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</si>
  <si>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</si>
  <si>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</si>
  <si>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</si>
  <si>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</si>
  <si>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</si>
  <si>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</si>
  <si>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</si>
  <si>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</si>
  <si>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</si>
  <si>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</si>
  <si>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</si>
  <si>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</si>
  <si>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</si>
  <si>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</si>
  <si>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</si>
  <si>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</si>
  <si>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</si>
  <si>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</si>
  <si>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</si>
  <si>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</si>
  <si>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</si>
  <si>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</si>
  <si>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</si>
  <si>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</si>
  <si>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</si>
  <si>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</si>
  <si>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</si>
  <si>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</si>
  <si>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</si>
  <si>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</si>
  <si>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</si>
  <si>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</si>
  <si>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</si>
  <si>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</si>
  <si>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</si>
  <si>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</si>
  <si>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</si>
  <si>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</si>
  <si>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</si>
  <si>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</si>
  <si>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</si>
  <si>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</si>
  <si>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</si>
  <si>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</si>
  <si>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</si>
  <si>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</si>
  <si>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</si>
  <si>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</si>
  <si>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</si>
  <si>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</si>
  <si>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</si>
  <si>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</si>
  <si>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</si>
  <si>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</si>
  <si>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</si>
  <si>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</si>
  <si>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</si>
  <si>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</si>
  <si>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</si>
  <si>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</si>
  <si>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</si>
  <si>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</si>
  <si>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</si>
  <si>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</si>
  <si>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</si>
  <si>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</si>
  <si>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</si>
  <si>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</si>
  <si>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</si>
  <si>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</si>
  <si>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</si>
  <si>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</si>
  <si>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</si>
  <si>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</si>
  <si>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</si>
  <si>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</si>
  <si>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</si>
  <si>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</si>
  <si>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</si>
  <si>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</si>
  <si>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</si>
  <si>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</si>
  <si>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</si>
  <si>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</si>
  <si>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</si>
  <si>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</si>
  <si>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</si>
  <si>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</si>
  <si>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</si>
  <si>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</si>
  <si>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</si>
  <si>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</si>
  <si>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</si>
  <si>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</si>
  <si>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</si>
  <si>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</si>
  <si>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</si>
  <si>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</si>
  <si>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</si>
  <si>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</si>
  <si>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</si>
  <si>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</si>
  <si>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</si>
  <si>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</si>
  <si>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</si>
  <si>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</si>
  <si>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</si>
  <si>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</si>
  <si>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</si>
  <si>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</si>
  <si>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</si>
  <si>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</si>
  <si>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</si>
  <si>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</si>
  <si>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</si>
  <si>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</si>
  <si>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</si>
  <si>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</si>
  <si>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</si>
  <si>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</si>
  <si>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</si>
  <si>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</si>
  <si>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</si>
  <si>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</si>
  <si>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</si>
  <si>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</si>
  <si>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</si>
  <si>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</si>
  <si>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</si>
  <si>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</si>
  <si>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</si>
  <si>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</si>
  <si>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</si>
  <si>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</si>
  <si>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</si>
  <si>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</si>
  <si>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</si>
  <si>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</si>
  <si>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</si>
  <si>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</si>
  <si>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</si>
  <si>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</si>
  <si>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</si>
  <si>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</si>
  <si>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</si>
  <si>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</si>
  <si>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</si>
  <si>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</si>
  <si>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</si>
  <si>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</si>
  <si>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</si>
  <si>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</si>
  <si>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</si>
  <si>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</si>
  <si>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</si>
  <si>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</si>
  <si>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</si>
  <si>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</si>
  <si>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</si>
  <si>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</si>
  <si>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</si>
  <si>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</si>
  <si>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</si>
  <si>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</si>
  <si>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</si>
  <si>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</si>
  <si>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</si>
  <si>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</si>
  <si>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</si>
  <si>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</si>
  <si>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</si>
  <si>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</si>
  <si>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</si>
  <si>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</si>
  <si>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</si>
  <si>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</si>
  <si>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</si>
  <si>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</si>
  <si>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</si>
  <si>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</si>
  <si>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</si>
  <si>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</si>
  <si>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</si>
  <si>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</si>
  <si>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</si>
  <si>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</si>
  <si>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</si>
  <si>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</si>
  <si>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</si>
  <si>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</si>
  <si>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</si>
  <si>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</si>
  <si>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</si>
  <si>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</si>
  <si>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</si>
  <si>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</si>
  <si>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</si>
  <si>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</si>
  <si>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</si>
  <si>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</si>
  <si>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</si>
  <si>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</si>
  <si>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</si>
  <si>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</si>
  <si>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</si>
  <si>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</si>
  <si>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</si>
  <si>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</si>
  <si>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</si>
  <si>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</si>
  <si>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</si>
  <si>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</si>
  <si>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</si>
  <si>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</si>
  <si>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</si>
  <si>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</si>
  <si>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</si>
  <si>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</si>
  <si>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</si>
  <si>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</si>
  <si>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</si>
  <si>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</si>
  <si>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</si>
  <si>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</si>
  <si>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</si>
  <si>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</si>
  <si>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</si>
  <si>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</si>
  <si>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</si>
  <si>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</si>
  <si>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</si>
  <si>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</si>
  <si>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</si>
  <si>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</si>
  <si>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</si>
  <si>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</si>
  <si>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</si>
  <si>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</si>
  <si>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</si>
  <si>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</si>
  <si>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</si>
  <si>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</si>
  <si>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</si>
  <si>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</si>
  <si>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</si>
  <si>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</si>
  <si>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</si>
  <si>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</si>
  <si>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</si>
  <si>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</si>
  <si>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</si>
  <si>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</si>
  <si>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</si>
  <si>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</si>
  <si>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</si>
  <si>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</si>
  <si>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</si>
  <si>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</si>
  <si>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</si>
  <si>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</si>
  <si>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</si>
  <si>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</si>
  <si>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</si>
  <si>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</si>
  <si>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</si>
  <si>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</si>
  <si>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</si>
  <si>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</si>
  <si>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</si>
  <si>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</si>
  <si>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</si>
  <si>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</si>
  <si>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</si>
  <si>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</si>
  <si>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</si>
  <si>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</si>
  <si>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</si>
  <si>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</si>
  <si>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</si>
  <si>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</si>
  <si>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</si>
  <si>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</si>
  <si>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</si>
  <si>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</si>
  <si>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</si>
  <si>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</si>
  <si>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</si>
  <si>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</si>
  <si>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</si>
  <si>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</si>
  <si>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</si>
  <si>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</si>
  <si>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</si>
  <si>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</si>
  <si>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</si>
  <si>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</si>
  <si>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</si>
  <si>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</si>
  <si>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</si>
  <si>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</si>
  <si>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</si>
  <si>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</si>
  <si>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</si>
  <si>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</si>
  <si>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</si>
  <si>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</si>
  <si>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</si>
  <si>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</si>
  <si>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</si>
  <si>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</si>
  <si>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</si>
  <si>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</si>
  <si>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</si>
  <si>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</si>
  <si>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</si>
  <si>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</si>
  <si>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</si>
  <si>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</si>
  <si>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</si>
  <si>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</si>
  <si>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</si>
  <si>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</si>
  <si>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</si>
  <si>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</si>
  <si>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</si>
  <si>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</si>
  <si>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</si>
  <si>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</si>
  <si>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</si>
  <si>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</si>
  <si>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</si>
  <si>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</si>
  <si>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</si>
  <si>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</si>
  <si>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</si>
  <si>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</si>
  <si>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</si>
  <si>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</si>
  <si>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</si>
  <si>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</si>
  <si>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</si>
  <si>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</si>
  <si>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</si>
  <si>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</si>
  <si>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</si>
  <si>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</si>
  <si>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</si>
  <si>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</si>
  <si>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</si>
  <si>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</si>
  <si>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</si>
  <si>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</si>
  <si>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</si>
  <si>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</si>
  <si>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</si>
  <si>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</si>
  <si>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</si>
  <si>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</si>
  <si>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</si>
  <si>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</si>
  <si>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</si>
  <si>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</si>
  <si>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</si>
  <si>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</si>
  <si>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</si>
  <si>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</si>
  <si>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</si>
  <si>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</si>
  <si>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</si>
  <si>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</si>
  <si>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</si>
  <si>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</si>
  <si>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</si>
  <si>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</si>
  <si>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</si>
  <si>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</si>
  <si>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</si>
  <si>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</si>
  <si>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</si>
  <si>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</si>
  <si>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</si>
  <si>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</si>
  <si>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</si>
  <si>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</si>
  <si>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</si>
  <si>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</si>
  <si>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</si>
  <si>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</si>
  <si>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</si>
  <si>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</si>
  <si>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</si>
  <si>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</si>
  <si>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</si>
  <si>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</si>
  <si>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</si>
  <si>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</si>
  <si>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</si>
  <si>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</si>
  <si>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</si>
  <si>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</si>
  <si>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</si>
  <si>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</si>
  <si>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</si>
  <si>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</si>
  <si>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</si>
  <si>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</si>
  <si>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</si>
  <si>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</si>
  <si>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</si>
  <si>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</si>
  <si>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</si>
  <si>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</si>
  <si>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</si>
  <si>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</si>
  <si>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</si>
  <si>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</si>
  <si>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</si>
  <si>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</si>
  <si>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</si>
  <si>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</si>
  <si>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</si>
  <si>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</si>
  <si>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</si>
  <si>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</si>
  <si>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</si>
  <si>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</si>
  <si>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</si>
  <si>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</si>
  <si>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</si>
  <si>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</si>
  <si>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</si>
  <si>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</si>
  <si>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</si>
  <si>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</si>
  <si>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</si>
  <si>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</si>
  <si>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</si>
  <si>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</si>
  <si>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</si>
  <si>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</si>
  <si>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</si>
  <si>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</si>
  <si>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</si>
  <si>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</si>
  <si>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</si>
  <si>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</si>
  <si>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</si>
  <si>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</si>
  <si>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</si>
  <si>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</si>
  <si>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</si>
  <si>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</si>
  <si>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</si>
  <si>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</si>
  <si>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</si>
  <si>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</si>
  <si>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</si>
  <si>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</si>
  <si>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</si>
  <si>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</si>
  <si>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</si>
  <si>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</si>
  <si>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</si>
  <si>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</si>
  <si>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</si>
  <si>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</si>
  <si>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</si>
  <si>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</si>
  <si>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</si>
  <si>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</si>
  <si>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</si>
  <si>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</si>
  <si>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</si>
  <si>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</si>
  <si>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</si>
  <si>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</si>
  <si>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</si>
  <si>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</si>
  <si>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</si>
  <si>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</si>
  <si>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</si>
  <si>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</si>
  <si>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</si>
  <si>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</si>
  <si>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</si>
  <si>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</si>
  <si>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</si>
  <si>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</si>
  <si>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</si>
  <si>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</si>
  <si>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</si>
  <si>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</si>
  <si>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</si>
  <si>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</si>
  <si>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</si>
  <si>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</si>
  <si>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</si>
  <si>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</si>
  <si>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</si>
  <si>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</si>
  <si>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</si>
  <si>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</si>
  <si>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</si>
  <si>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</si>
  <si>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</si>
  <si>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</si>
  <si>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</si>
  <si>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</si>
  <si>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</si>
  <si>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</si>
  <si>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</si>
  <si>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</si>
  <si>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</si>
  <si>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</si>
  <si>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</si>
  <si>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</si>
  <si>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</si>
  <si>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</si>
  <si>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</si>
  <si>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</si>
  <si>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</si>
  <si>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</si>
  <si>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</si>
  <si>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</si>
  <si>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</si>
  <si>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</si>
  <si>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</si>
  <si>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</si>
  <si>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</si>
  <si>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</si>
  <si>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</si>
  <si>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</si>
  <si>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</si>
  <si>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</si>
  <si>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</si>
  <si>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</si>
  <si>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</si>
  <si>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</si>
  <si>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</si>
  <si>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</si>
  <si>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</si>
  <si>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</si>
  <si>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</si>
  <si>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</si>
  <si>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</si>
  <si>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</si>
  <si>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</si>
  <si>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</si>
  <si>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</si>
  <si>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</si>
  <si>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</si>
  <si>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</si>
  <si>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</si>
  <si>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</si>
  <si>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</si>
  <si>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</si>
  <si>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</si>
  <si>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</si>
  <si>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</si>
  <si>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</si>
  <si>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</si>
  <si>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</si>
  <si>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</si>
  <si>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</si>
  <si>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</si>
  <si>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</si>
  <si>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</si>
  <si>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</si>
  <si>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</si>
  <si>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</si>
  <si>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</si>
  <si>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</si>
  <si>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</si>
  <si>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</si>
  <si>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</si>
  <si>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</si>
  <si>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</si>
  <si>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</si>
  <si>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</si>
  <si>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</si>
  <si>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</si>
  <si>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</si>
  <si>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</si>
  <si>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</si>
  <si>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</si>
  <si>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</si>
  <si>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</si>
  <si>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</si>
  <si>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</si>
  <si>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</si>
  <si>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</si>
  <si>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</si>
  <si>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</si>
  <si>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</si>
  <si>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</si>
  <si>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</si>
  <si>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</si>
  <si>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</si>
  <si>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</si>
  <si>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</si>
  <si>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</si>
  <si>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</si>
  <si>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</si>
  <si>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</si>
  <si>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</si>
  <si>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</si>
  <si>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</si>
  <si>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</si>
  <si>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</si>
  <si>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</si>
  <si>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</si>
  <si>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</si>
  <si>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</si>
  <si>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</si>
  <si>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</si>
  <si>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</si>
  <si>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</si>
  <si>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</si>
  <si>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</si>
  <si>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</si>
  <si>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</si>
  <si>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</si>
  <si>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</si>
  <si>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</si>
  <si>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</si>
  <si>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</si>
  <si>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</si>
  <si>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</si>
  <si>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</si>
  <si>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</si>
  <si>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</si>
  <si>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</si>
  <si>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</si>
  <si>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</si>
  <si>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</si>
  <si>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</si>
  <si>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</si>
  <si>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</si>
  <si>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</si>
  <si>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</si>
  <si>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</si>
  <si>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</si>
  <si>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</si>
  <si>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</si>
  <si>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</si>
  <si>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</si>
  <si>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</si>
  <si>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</si>
  <si>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</si>
  <si>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</si>
  <si>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</si>
  <si>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</si>
  <si>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</si>
  <si>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</si>
  <si>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</si>
  <si>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</si>
  <si>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</si>
  <si>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</si>
  <si>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</si>
  <si>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</si>
  <si>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</si>
  <si>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</si>
  <si>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</si>
  <si>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</si>
  <si>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</si>
  <si>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</si>
  <si>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</si>
  <si>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</si>
  <si>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</si>
  <si>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</si>
  <si>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</si>
  <si>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</si>
  <si>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</si>
  <si>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</si>
  <si>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</si>
  <si>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</si>
  <si>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</si>
  <si>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</si>
  <si>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</si>
  <si>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</si>
  <si>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</si>
  <si>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</si>
  <si>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</si>
  <si>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</si>
  <si>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</si>
  <si>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</si>
  <si>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</si>
  <si>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</si>
  <si>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</si>
  <si>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</si>
  <si>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</si>
  <si>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</si>
  <si>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</si>
  <si>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</si>
  <si>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</si>
  <si>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</si>
  <si>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</si>
  <si>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</si>
  <si>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</si>
  <si>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</si>
  <si>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</si>
  <si>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</si>
  <si>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</si>
  <si>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</si>
  <si>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</si>
  <si>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</si>
  <si>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</si>
  <si>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</si>
  <si>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</si>
  <si>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</si>
  <si>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</si>
  <si>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</si>
  <si>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</si>
  <si>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</si>
  <si>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</si>
  <si>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</si>
  <si>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</si>
  <si>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</si>
  <si>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</si>
  <si>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</si>
  <si>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</si>
  <si>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</si>
  <si>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</si>
  <si>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</si>
  <si>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</si>
  <si>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</si>
  <si>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</si>
  <si>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</si>
  <si>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</si>
  <si>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</si>
  <si>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</si>
  <si>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</si>
  <si>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</si>
  <si>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</si>
  <si>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</si>
  <si>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</si>
  <si>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</si>
  <si>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</si>
  <si>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</si>
  <si>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</si>
  <si>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</si>
  <si>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</si>
  <si>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</si>
  <si>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</si>
  <si>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</si>
  <si>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</si>
  <si>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</si>
  <si>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</si>
  <si>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</si>
  <si>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</si>
  <si>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</si>
  <si>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</si>
  <si>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</si>
  <si>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</si>
  <si>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</si>
  <si>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</si>
  <si>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</si>
  <si>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</si>
  <si>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</si>
  <si>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</si>
  <si>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</si>
  <si>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</si>
  <si>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</si>
  <si>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</si>
  <si>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</si>
  <si>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</si>
  <si>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</si>
  <si>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</si>
  <si>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</si>
  <si>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</si>
  <si>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</si>
  <si>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</si>
  <si>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</si>
  <si>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</si>
  <si>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</si>
  <si>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</si>
  <si>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</si>
  <si>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</si>
  <si>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</si>
  <si>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</si>
  <si>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</si>
  <si>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</si>
  <si>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</si>
  <si>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</si>
  <si>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</si>
  <si>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</si>
  <si>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</si>
  <si>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</si>
  <si>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</si>
  <si>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</si>
  <si>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</si>
  <si>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</si>
  <si>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</si>
  <si>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</si>
  <si>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</si>
  <si>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</si>
  <si>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</si>
  <si>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</si>
  <si>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</si>
  <si>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</si>
  <si>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</si>
  <si>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</si>
  <si>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</si>
  <si>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</si>
  <si>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</si>
  <si>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</si>
  <si>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</si>
  <si>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</si>
  <si>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</si>
  <si>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</si>
  <si>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</si>
  <si>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</si>
  <si>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</si>
  <si>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</si>
  <si>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</si>
  <si>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</si>
  <si>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</si>
  <si>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</si>
  <si>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</si>
  <si>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</si>
  <si>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</si>
  <si>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</si>
  <si>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</si>
  <si>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</si>
  <si>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</si>
  <si>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</si>
  <si>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</si>
  <si>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</si>
  <si>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</si>
  <si>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</si>
  <si>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</si>
  <si>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</si>
  <si>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</si>
  <si>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</si>
  <si>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</si>
  <si>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</si>
  <si>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</si>
  <si>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</si>
  <si>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</si>
  <si>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</si>
  <si>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</si>
  <si>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</si>
  <si>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</si>
  <si>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</si>
  <si>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</si>
  <si>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</si>
  <si>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</si>
  <si>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</si>
  <si>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</si>
  <si>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</si>
  <si>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</si>
  <si>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</si>
  <si>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</si>
  <si>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</si>
  <si>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</si>
  <si>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</si>
  <si>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</si>
  <si>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</si>
  <si>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</si>
  <si>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</si>
  <si>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</si>
  <si>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</si>
  <si>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</si>
  <si>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</si>
  <si>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</si>
  <si>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</si>
  <si>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</si>
  <si>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</si>
  <si>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</si>
  <si>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</si>
  <si>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</si>
  <si>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</si>
  <si>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</si>
  <si>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</si>
  <si>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</si>
  <si>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</si>
  <si>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</si>
  <si>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</si>
  <si>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</si>
  <si>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</si>
  <si>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</si>
  <si>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</si>
  <si>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</si>
  <si>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</si>
  <si>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</si>
  <si>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</si>
  <si>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</si>
  <si>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</si>
  <si>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</si>
  <si>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</si>
  <si>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</si>
  <si>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</si>
  <si>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</si>
  <si>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</si>
  <si>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</si>
  <si>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</si>
  <si>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</si>
  <si>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</si>
  <si>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</si>
  <si>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</si>
  <si>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</si>
  <si>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</si>
  <si>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</si>
  <si>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</si>
  <si>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</si>
  <si>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</si>
  <si>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</si>
  <si>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</si>
  <si>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</si>
  <si>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</si>
  <si>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</si>
  <si>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</si>
  <si>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</si>
  <si>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</si>
  <si>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</si>
  <si>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</si>
  <si>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</si>
  <si>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</si>
  <si>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</si>
  <si>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</si>
  <si>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</si>
  <si>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</si>
  <si>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</si>
  <si>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</si>
  <si>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</si>
  <si>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</si>
  <si>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</si>
  <si>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</si>
  <si>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</si>
  <si>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</si>
  <si>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</si>
  <si>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</si>
  <si>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</si>
  <si>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</si>
  <si>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</si>
  <si>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</si>
  <si>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</si>
  <si>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</si>
  <si>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</si>
  <si>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</si>
  <si>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</si>
  <si>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</si>
  <si>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</si>
  <si>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</si>
  <si>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</si>
  <si>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</si>
  <si>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</si>
  <si>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</si>
  <si>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</si>
  <si>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</si>
  <si>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</si>
  <si>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</si>
  <si>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</si>
  <si>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</si>
  <si>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</si>
  <si>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</si>
  <si>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</si>
  <si>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</si>
  <si>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</si>
  <si>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</si>
  <si>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</si>
  <si>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</si>
  <si>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</si>
  <si>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</si>
  <si>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</si>
  <si>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</si>
  <si>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</si>
  <si>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</si>
  <si>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</si>
  <si>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</si>
  <si>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</si>
  <si>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</si>
  <si>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</si>
  <si>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</si>
  <si>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</si>
  <si>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</si>
  <si>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</si>
  <si>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</si>
  <si>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</si>
  <si>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</si>
  <si>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</si>
  <si>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</si>
  <si>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</si>
  <si>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</si>
  <si>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</si>
  <si>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</si>
  <si>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</si>
  <si>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</si>
  <si>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</si>
  <si>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</si>
  <si>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</si>
  <si>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</si>
  <si>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</si>
  <si>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</si>
  <si>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</si>
  <si>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</si>
  <si>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</si>
  <si>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</si>
  <si>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</si>
  <si>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</si>
  <si>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</si>
  <si>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</si>
  <si>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</si>
  <si>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</si>
  <si>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</si>
  <si>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</si>
  <si>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</si>
  <si>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</si>
  <si>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</si>
  <si>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</si>
  <si>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</si>
  <si>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</si>
  <si>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</si>
  <si>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</si>
  <si>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</si>
  <si>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</si>
  <si>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</si>
  <si>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</si>
  <si>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</si>
  <si>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</si>
  <si>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</si>
  <si>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</si>
  <si>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</si>
  <si>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</si>
  <si>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</si>
  <si>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</si>
  <si>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</si>
  <si>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</si>
  <si>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</si>
  <si>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</si>
  <si>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</si>
  <si>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</si>
  <si>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</si>
  <si>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</si>
  <si>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</si>
  <si>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</si>
  <si>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</si>
  <si>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</si>
  <si>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</si>
  <si>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</si>
  <si>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</si>
  <si>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</si>
  <si>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</si>
  <si>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</si>
  <si>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</si>
  <si>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</si>
  <si>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</si>
  <si>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</si>
  <si>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</si>
  <si>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</si>
  <si>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</si>
  <si>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</si>
  <si>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</si>
  <si>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</si>
  <si>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</si>
  <si>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</si>
  <si>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</si>
  <si>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</si>
  <si>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</si>
  <si>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</si>
  <si>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</si>
  <si>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</si>
  <si>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</si>
  <si>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</si>
  <si>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</si>
  <si>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</si>
  <si>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</si>
  <si>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</si>
  <si>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</si>
  <si>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</si>
  <si>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</si>
  <si>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</si>
  <si>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</si>
  <si>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</si>
  <si>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</si>
  <si>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</si>
  <si>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</si>
  <si>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</si>
  <si>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</si>
  <si>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</si>
  <si>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</si>
  <si>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</si>
  <si>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</si>
  <si>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</si>
  <si>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</si>
  <si>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</si>
  <si>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</si>
  <si>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</si>
  <si>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</si>
  <si>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</si>
  <si>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</si>
  <si>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</si>
  <si>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</si>
  <si>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</si>
  <si>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</si>
  <si>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</si>
  <si>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</si>
  <si>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</si>
  <si>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</si>
  <si>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</si>
  <si>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</si>
  <si>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</si>
  <si>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</si>
  <si>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</si>
  <si>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</si>
  <si>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</si>
  <si>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</si>
  <si>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</si>
  <si>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</si>
  <si>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</si>
  <si>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</si>
  <si>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</si>
  <si>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</si>
  <si>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</si>
  <si>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</si>
  <si>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</si>
  <si>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</si>
  <si>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</si>
  <si>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</si>
  <si>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</si>
  <si>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</si>
  <si>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</si>
  <si>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</si>
  <si>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</si>
  <si>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</si>
  <si>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</si>
  <si>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</si>
  <si>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</si>
  <si>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</si>
  <si>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</si>
  <si>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</si>
  <si>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</si>
  <si>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</si>
  <si>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</si>
  <si>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</si>
  <si>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</si>
  <si>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</si>
  <si>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</si>
  <si>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</si>
  <si>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</si>
  <si>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</si>
  <si>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</si>
  <si>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</si>
  <si>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</si>
  <si>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</si>
  <si>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</si>
  <si>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</si>
  <si>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</si>
  <si>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</si>
  <si>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</si>
  <si>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</si>
  <si>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</si>
  <si>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</si>
  <si>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</si>
  <si>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</si>
  <si>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</si>
  <si>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</si>
  <si>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</si>
  <si>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</si>
  <si>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</si>
  <si>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</si>
  <si>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</si>
  <si>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</si>
  <si>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</si>
  <si>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</si>
  <si>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</si>
  <si>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</si>
  <si>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</si>
  <si>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</si>
  <si>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</si>
  <si>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</si>
  <si>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</si>
  <si>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</si>
  <si>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</si>
  <si>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</si>
  <si>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</si>
  <si>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</si>
  <si>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</si>
  <si>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</si>
  <si>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</si>
  <si>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</si>
  <si>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</si>
  <si>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</si>
  <si>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</si>
  <si>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</si>
  <si>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</si>
  <si>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</si>
  <si>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</si>
  <si>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</si>
  <si>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</si>
  <si>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</si>
  <si>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</si>
  <si>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</si>
  <si>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</si>
  <si>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</si>
  <si>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</si>
  <si>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</si>
  <si>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</si>
  <si>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</si>
  <si>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</si>
  <si>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</si>
  <si>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</si>
  <si>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</si>
  <si>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</si>
  <si>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</si>
  <si>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</si>
  <si>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</si>
  <si>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</si>
  <si>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</si>
  <si>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</si>
  <si>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</si>
  <si>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</si>
  <si>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</si>
  <si>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</si>
  <si>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</si>
  <si>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</si>
  <si>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</si>
  <si>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</si>
  <si>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</si>
  <si>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</si>
  <si>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</si>
  <si>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</si>
  <si>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</si>
  <si>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</si>
  <si>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</si>
  <si>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</si>
  <si>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</si>
  <si>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</si>
  <si>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</si>
  <si>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</si>
  <si>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</si>
  <si>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</si>
  <si>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</si>
  <si>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</si>
  <si>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</si>
  <si>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</si>
  <si>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</si>
  <si>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</si>
  <si>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</si>
  <si>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</si>
  <si>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</si>
  <si>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</si>
  <si>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</si>
  <si>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</si>
  <si>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</si>
  <si>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</si>
  <si>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</si>
  <si>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</si>
  <si>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</si>
  <si>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</si>
  <si>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</si>
  <si>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</si>
  <si>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</si>
  <si>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</si>
  <si>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</si>
  <si>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</si>
  <si>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</si>
  <si>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</si>
  <si>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</si>
  <si>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</si>
  <si>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</si>
  <si>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</si>
  <si>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</si>
  <si>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</si>
  <si>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</si>
  <si>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</si>
  <si>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</si>
  <si>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</si>
  <si>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</si>
  <si>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</si>
  <si>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</si>
  <si>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</si>
  <si>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</si>
  <si>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</si>
  <si>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</si>
  <si>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</si>
  <si>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</si>
  <si>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</si>
  <si>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</si>
  <si>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</si>
  <si>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</si>
  <si>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</si>
  <si>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</si>
  <si>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</si>
  <si>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</si>
  <si>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</si>
  <si>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</si>
  <si>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</si>
  <si>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</si>
  <si>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</si>
  <si>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</si>
  <si>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</si>
  <si>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</si>
  <si>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</si>
  <si>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</si>
  <si>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</si>
  <si>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</si>
  <si>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</si>
  <si>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</si>
  <si>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</si>
  <si>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</si>
  <si>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</si>
  <si>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</si>
  <si>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</si>
  <si>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</si>
  <si>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</si>
  <si>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</si>
  <si>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</si>
  <si>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</si>
  <si>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</si>
  <si>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</si>
  <si>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</si>
  <si>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</si>
  <si>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</si>
  <si>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</si>
  <si>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</si>
  <si>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</si>
  <si>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</si>
  <si>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</si>
  <si>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</si>
  <si>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</si>
  <si>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</si>
  <si>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</si>
  <si>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</si>
  <si>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</si>
  <si>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</si>
  <si>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</si>
  <si>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</si>
  <si>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</si>
  <si>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</si>
  <si>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</si>
  <si>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</si>
  <si>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</si>
  <si>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</si>
  <si>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</si>
  <si>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</si>
  <si>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</si>
  <si>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</si>
  <si>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</si>
  <si>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</si>
  <si>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</si>
  <si>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</si>
  <si>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</si>
  <si>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</si>
  <si>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</si>
  <si>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</si>
  <si>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</si>
  <si>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</si>
  <si>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</si>
  <si>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</si>
  <si>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</si>
  <si>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</si>
  <si>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</si>
  <si>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</si>
  <si>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</si>
  <si>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</si>
  <si>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</si>
  <si>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</si>
  <si>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</si>
  <si>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</si>
  <si>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</si>
  <si>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</si>
  <si>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</si>
  <si>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</si>
  <si>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</si>
  <si>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</si>
  <si>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</si>
  <si>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</si>
  <si>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</si>
  <si>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</si>
  <si>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</si>
  <si>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</si>
  <si>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</si>
  <si>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</si>
  <si>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</si>
  <si>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</si>
  <si>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</si>
  <si>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</si>
  <si>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</si>
  <si>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</si>
  <si>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</si>
  <si>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</si>
  <si>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</si>
  <si>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</si>
  <si>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</si>
  <si>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</si>
  <si>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</si>
  <si>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</si>
  <si>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</si>
  <si>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</si>
  <si>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</si>
  <si>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</si>
  <si>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</si>
  <si>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</si>
  <si>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</si>
  <si>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</si>
  <si>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</si>
  <si>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</si>
  <si>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</si>
  <si>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</si>
  <si>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</si>
  <si>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</si>
  <si>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</si>
  <si>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</si>
  <si>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</si>
  <si>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</si>
  <si>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</si>
  <si>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</si>
  <si>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</si>
  <si>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</si>
  <si>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</si>
  <si>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</si>
  <si>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</si>
  <si>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</si>
  <si>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</si>
  <si>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</si>
  <si>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</si>
  <si>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</si>
  <si>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</si>
  <si>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</si>
  <si>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</si>
  <si>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</si>
  <si>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</si>
  <si>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</si>
  <si>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</si>
  <si>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</si>
  <si>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</si>
  <si>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</si>
  <si>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</si>
  <si>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</si>
  <si>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</si>
  <si>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</si>
  <si>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</si>
  <si>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</si>
  <si>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</si>
  <si>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</si>
  <si>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</si>
  <si>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</si>
  <si>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</si>
  <si>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</si>
  <si>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</si>
  <si>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</si>
  <si>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</si>
  <si>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</si>
  <si>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</si>
  <si>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</si>
  <si>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</si>
  <si>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</si>
  <si>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</si>
  <si>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</si>
  <si>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</si>
  <si>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</si>
  <si>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</si>
  <si>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</si>
  <si>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</si>
  <si>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</si>
  <si>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</si>
  <si>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</si>
  <si>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</si>
  <si>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</si>
  <si>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</si>
  <si>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</si>
  <si>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</si>
  <si>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</si>
  <si>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</si>
  <si>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</si>
  <si>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</si>
  <si>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</si>
  <si>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</si>
  <si>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</si>
  <si>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</si>
  <si>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</si>
  <si>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</si>
  <si>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</si>
  <si>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</si>
  <si>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</si>
  <si>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</si>
  <si>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</si>
  <si>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</si>
  <si>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</si>
  <si>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</si>
  <si>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</si>
  <si>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</si>
  <si>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</si>
  <si>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</si>
  <si>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</si>
  <si>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</si>
  <si>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</si>
  <si>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</si>
  <si>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</si>
  <si>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</si>
  <si>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</si>
  <si>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</si>
  <si>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</si>
  <si>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</si>
  <si>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</si>
  <si>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</si>
  <si>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</si>
  <si>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</si>
  <si>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</si>
  <si>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</si>
  <si>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</si>
  <si>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</si>
  <si>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</si>
  <si>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</si>
  <si>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</si>
  <si>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</si>
  <si>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</si>
  <si>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</si>
  <si>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</si>
  <si>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</si>
  <si>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</si>
  <si>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</si>
  <si>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</si>
  <si>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</si>
  <si>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</si>
  <si>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</si>
  <si>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</si>
  <si>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</si>
  <si>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</si>
  <si>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</si>
  <si>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</si>
  <si>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</si>
  <si>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</si>
  <si>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</si>
  <si>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</si>
  <si>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</si>
  <si>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</si>
  <si>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</si>
  <si>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</si>
  <si>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</si>
  <si>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</si>
  <si>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</si>
  <si>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</si>
  <si>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</si>
  <si>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</si>
  <si>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</si>
  <si>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</si>
  <si>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</si>
  <si>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</si>
  <si>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</si>
  <si>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</si>
  <si>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</si>
  <si>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</si>
  <si>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</si>
  <si>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</si>
  <si>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</si>
  <si>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</si>
  <si>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</si>
  <si>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</si>
  <si>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</si>
  <si>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</si>
  <si>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</si>
  <si>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</si>
  <si>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</si>
  <si>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</si>
  <si>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</si>
  <si>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</si>
  <si>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</si>
  <si>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</si>
  <si>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</si>
  <si>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</si>
  <si>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</si>
  <si>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</si>
  <si>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</si>
  <si>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</si>
  <si>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</si>
  <si>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</si>
  <si>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</si>
  <si>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</si>
  <si>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</si>
  <si>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</si>
  <si>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</si>
  <si>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</si>
  <si>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</si>
  <si>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</si>
  <si>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</si>
  <si>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</si>
  <si>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</si>
  <si>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</si>
  <si>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</si>
  <si>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</si>
  <si>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</si>
  <si>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</si>
  <si>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</si>
  <si>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</si>
  <si>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</si>
  <si>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</si>
  <si>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</si>
  <si>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</si>
  <si>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</si>
  <si>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</si>
  <si>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</si>
  <si>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</si>
  <si>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</si>
  <si>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</si>
  <si>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</si>
  <si>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</si>
  <si>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</si>
  <si>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</si>
  <si>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</si>
  <si>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</si>
  <si>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</si>
  <si>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</si>
  <si>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</si>
  <si>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</si>
  <si>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</si>
  <si>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</si>
  <si>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</si>
  <si>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</si>
  <si>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</si>
  <si>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</si>
  <si>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</si>
  <si>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</si>
  <si>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</si>
  <si>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</si>
  <si>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</si>
  <si>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</si>
  <si>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</si>
  <si>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</si>
  <si>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</si>
  <si>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</si>
  <si>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</si>
  <si>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</si>
  <si>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</si>
  <si>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</si>
  <si>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</si>
  <si>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</si>
  <si>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</si>
  <si>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</si>
  <si>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</si>
  <si>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</si>
  <si>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</si>
  <si>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</si>
  <si>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</si>
  <si>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</si>
  <si>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</si>
  <si>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</si>
  <si>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</si>
  <si>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</si>
  <si>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</si>
  <si>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</si>
  <si>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</si>
  <si>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</si>
  <si>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</si>
  <si>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</si>
  <si>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</si>
  <si>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</si>
  <si>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</si>
  <si>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</si>
  <si>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</si>
  <si>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</si>
  <si>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</si>
  <si>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</si>
  <si>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</si>
  <si>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</si>
  <si>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</si>
  <si>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</si>
  <si>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</si>
  <si>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</si>
  <si>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</si>
  <si>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</si>
  <si>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</si>
  <si>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</si>
  <si>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</si>
  <si>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</si>
  <si>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</si>
  <si>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</si>
  <si>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</si>
  <si>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</si>
  <si>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</si>
  <si>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</si>
  <si>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</si>
  <si>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</si>
  <si>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</si>
  <si>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</si>
  <si>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</si>
  <si>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</si>
  <si>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</si>
  <si>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</si>
  <si>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</si>
  <si>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</si>
  <si>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</si>
  <si>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</si>
  <si>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</si>
  <si>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</si>
  <si>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</si>
  <si>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</si>
  <si>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</si>
  <si>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</si>
  <si>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</si>
  <si>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</si>
  <si>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</si>
  <si>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</si>
  <si>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</si>
  <si>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</si>
  <si>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</si>
  <si>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</si>
  <si>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</si>
  <si>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</si>
  <si>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</si>
  <si>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</si>
  <si>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</si>
  <si>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</si>
  <si>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</si>
  <si>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</si>
  <si>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</si>
  <si>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</si>
  <si>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</si>
  <si>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</si>
  <si>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</si>
  <si>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</si>
  <si>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</si>
  <si>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</si>
  <si>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</si>
  <si>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</si>
  <si>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</si>
  <si>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</si>
  <si>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</si>
  <si>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</si>
  <si>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</si>
  <si>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</si>
  <si>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</si>
  <si>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</si>
  <si>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</si>
  <si>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</si>
  <si>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</si>
  <si>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</si>
  <si>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</si>
  <si>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</si>
  <si>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</si>
  <si>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</si>
  <si>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</si>
  <si>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</si>
  <si>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</si>
  <si>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</si>
  <si>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</si>
  <si>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</si>
  <si>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</si>
  <si>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</si>
  <si>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</si>
  <si>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</si>
  <si>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</si>
  <si>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</si>
  <si>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</si>
  <si>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</si>
  <si>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</si>
  <si>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</si>
  <si>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</si>
  <si>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</si>
  <si>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</si>
  <si>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</si>
  <si>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</si>
  <si>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</si>
  <si>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</si>
  <si>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</si>
  <si>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</si>
  <si>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</si>
  <si>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</si>
  <si>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</si>
  <si>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</si>
  <si>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</si>
  <si>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</si>
  <si>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</si>
  <si>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</si>
  <si>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</si>
  <si>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</si>
  <si>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</si>
  <si>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</si>
  <si>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</si>
  <si>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</si>
  <si>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</si>
  <si>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</si>
  <si>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</si>
  <si>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</si>
  <si>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</si>
  <si>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</si>
  <si>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</si>
  <si>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</si>
  <si>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</si>
  <si>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</si>
  <si>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</si>
  <si>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</si>
  <si>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</si>
  <si>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</si>
  <si>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</si>
  <si>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</si>
  <si>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</si>
  <si>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</si>
  <si>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</si>
  <si>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</si>
  <si>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</si>
  <si>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</si>
  <si>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</si>
  <si>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</si>
  <si>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</si>
  <si>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</si>
  <si>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</si>
  <si>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</si>
  <si>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</si>
  <si>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</si>
  <si>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</si>
  <si>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</si>
  <si>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</si>
  <si>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</si>
  <si>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</si>
  <si>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</si>
  <si>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</si>
  <si>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</si>
  <si>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</si>
  <si>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</si>
  <si>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</si>
  <si>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</si>
  <si>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</si>
  <si>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</si>
  <si>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</si>
  <si>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</si>
  <si>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</si>
  <si>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</si>
  <si>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</si>
  <si>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</si>
  <si>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</si>
  <si>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</si>
  <si>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</si>
  <si>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</si>
  <si>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</si>
  <si>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</si>
  <si>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</si>
  <si>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</si>
  <si>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</si>
  <si>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</si>
  <si>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</si>
  <si>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</si>
  <si>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</si>
  <si>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</si>
  <si>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</si>
  <si>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</si>
  <si>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</si>
  <si>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</si>
  <si>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</si>
  <si>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</si>
  <si>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</si>
  <si>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</si>
  <si>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</si>
  <si>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</si>
  <si>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</si>
  <si>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</si>
  <si>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</si>
  <si>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</si>
  <si>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</si>
  <si>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</si>
  <si>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</si>
  <si>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</si>
  <si>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</si>
  <si>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</si>
  <si>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</si>
  <si>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</si>
  <si>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</si>
  <si>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</si>
  <si>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</si>
  <si>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</si>
  <si>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</si>
  <si>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</si>
  <si>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</si>
  <si>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</si>
  <si>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</si>
  <si>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</si>
  <si>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</si>
  <si>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</si>
  <si>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</si>
  <si>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</si>
  <si>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</si>
  <si>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</si>
  <si>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</si>
  <si>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</si>
  <si>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</si>
  <si>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</si>
  <si>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</si>
  <si>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</si>
  <si>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</si>
  <si>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</si>
  <si>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</si>
  <si>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</si>
  <si>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</si>
  <si>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</si>
  <si>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</si>
  <si>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</si>
  <si>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</si>
  <si>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</si>
  <si>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</si>
  <si>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</si>
  <si>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</si>
  <si>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</si>
  <si>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</si>
  <si>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</si>
  <si>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</si>
  <si>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</si>
  <si>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</si>
  <si>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</si>
  <si>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</si>
  <si>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</si>
  <si>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</si>
  <si>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</si>
  <si>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</si>
  <si>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</si>
  <si>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</si>
  <si>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</si>
  <si>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</si>
  <si>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</si>
  <si>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</si>
  <si>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</si>
  <si>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</si>
  <si>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</si>
  <si>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</si>
  <si>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</si>
  <si>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</si>
  <si>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</si>
  <si>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</si>
  <si>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</si>
  <si>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</si>
  <si>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</si>
  <si>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</si>
  <si>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</si>
  <si>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</si>
  <si>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</si>
  <si>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</si>
  <si>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</si>
  <si>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</si>
  <si>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</si>
  <si>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</si>
  <si>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</si>
  <si>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</si>
  <si>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</si>
  <si>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</si>
  <si>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</si>
  <si>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</si>
  <si>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</si>
  <si>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</si>
  <si>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</si>
  <si>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</si>
  <si>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</si>
  <si>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</si>
  <si>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</si>
  <si>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</si>
  <si>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</si>
  <si>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</si>
  <si>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</si>
  <si>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</si>
  <si>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</si>
  <si>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</si>
  <si>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</si>
  <si>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</si>
  <si>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</si>
  <si>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</si>
  <si>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</si>
  <si>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</si>
  <si>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</si>
  <si>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</si>
  <si>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</si>
  <si>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</si>
  <si>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</si>
  <si>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</si>
  <si>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</si>
  <si>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</si>
  <si>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</si>
  <si>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</si>
  <si>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</si>
  <si>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</si>
  <si>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</si>
  <si>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</si>
  <si>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</si>
  <si>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</si>
  <si>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</si>
  <si>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</si>
  <si>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</si>
  <si>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</si>
  <si>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</si>
  <si>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</si>
  <si>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</si>
  <si>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</si>
  <si>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</si>
  <si>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</si>
  <si>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</si>
  <si>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</si>
  <si>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</si>
  <si>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</si>
  <si>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</si>
  <si>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</si>
  <si>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</si>
  <si>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</si>
  <si>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</si>
  <si>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</si>
  <si>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</si>
  <si>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</si>
  <si>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</si>
  <si>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</si>
  <si>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</si>
  <si>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</si>
  <si>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</si>
  <si>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</si>
  <si>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</si>
  <si>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</si>
  <si>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</si>
  <si>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</si>
  <si>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</si>
  <si>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</si>
  <si>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</si>
  <si>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</si>
  <si>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</si>
  <si>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</si>
  <si>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</si>
  <si>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</si>
  <si>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</si>
  <si>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</si>
  <si>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</si>
  <si>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</si>
  <si>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</si>
  <si>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</si>
  <si>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</si>
  <si>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</si>
  <si>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</si>
  <si>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</si>
  <si>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</si>
  <si>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</si>
  <si>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</si>
  <si>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</si>
  <si>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</si>
  <si>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</si>
  <si>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</si>
  <si>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</si>
  <si>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</si>
  <si>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</si>
  <si>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</si>
  <si>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</si>
  <si>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</si>
  <si>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</si>
  <si>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</si>
  <si>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</si>
  <si>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</si>
  <si>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</si>
  <si>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</si>
  <si>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</si>
  <si>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</si>
  <si>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</si>
  <si>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</si>
  <si>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</si>
  <si>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</si>
  <si>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</si>
  <si>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</si>
  <si>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</si>
  <si>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</si>
  <si>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</si>
  <si>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</si>
  <si>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</si>
  <si>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</si>
  <si>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</si>
  <si>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</si>
  <si>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</si>
  <si>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</si>
  <si>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</si>
  <si>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</si>
  <si>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</si>
  <si>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</si>
  <si>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</si>
  <si>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</si>
  <si>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</si>
  <si>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</si>
  <si>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</si>
  <si>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</si>
  <si>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</si>
  <si>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</si>
  <si>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</si>
  <si>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</si>
  <si>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</si>
  <si>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</si>
  <si>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</si>
  <si>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</si>
  <si>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</si>
  <si>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</si>
  <si>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</si>
  <si>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</si>
  <si>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</si>
  <si>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</si>
  <si>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</si>
  <si>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</si>
  <si>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</si>
  <si>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</si>
  <si>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</si>
  <si>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</si>
  <si>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</si>
  <si>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</si>
  <si>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</si>
  <si>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</si>
  <si>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</si>
  <si>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</si>
  <si>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</si>
  <si>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</si>
  <si>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</si>
  <si>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</si>
  <si>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</si>
  <si>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</si>
  <si>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</si>
  <si>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</si>
  <si>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</si>
  <si>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</si>
  <si>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</si>
  <si>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</si>
  <si>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</si>
  <si>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</si>
  <si>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</si>
  <si>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</si>
  <si>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</si>
  <si>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</si>
  <si>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</si>
  <si>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</si>
  <si>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</si>
  <si>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</si>
  <si>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</si>
  <si>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</si>
  <si>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</si>
  <si>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</si>
  <si>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</si>
  <si>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</si>
  <si>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</si>
  <si>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</si>
  <si>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</si>
  <si>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</si>
  <si>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</si>
  <si>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</si>
  <si>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</si>
  <si>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</si>
  <si>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</si>
  <si>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</si>
  <si>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</si>
  <si>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</si>
  <si>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</si>
  <si>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</si>
  <si>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</si>
  <si>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</si>
  <si>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</si>
  <si>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</si>
  <si>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</si>
  <si>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</si>
  <si>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</si>
  <si>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</si>
  <si>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</si>
  <si>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</si>
  <si>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</si>
  <si>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</si>
  <si>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</si>
  <si>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</si>
  <si>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</si>
  <si>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</si>
  <si>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</si>
  <si>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</si>
  <si>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</si>
  <si>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</si>
  <si>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</si>
  <si>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</si>
  <si>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</si>
  <si>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</si>
  <si>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</si>
  <si>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</si>
  <si>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</si>
  <si>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</si>
  <si>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</si>
  <si>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</si>
  <si>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</si>
  <si>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</si>
  <si>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</si>
  <si>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</si>
  <si>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</si>
  <si>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</si>
  <si>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</si>
  <si>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</si>
  <si>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</si>
  <si>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</si>
  <si>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</si>
  <si>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</si>
  <si>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</si>
  <si>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</si>
  <si>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</si>
  <si>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</si>
  <si>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</si>
  <si>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</si>
  <si>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</si>
  <si>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</si>
  <si>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</si>
  <si>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</si>
  <si>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</si>
  <si>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</si>
  <si>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</si>
  <si>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</si>
  <si>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</si>
  <si>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</si>
  <si>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</si>
  <si>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</si>
  <si>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</si>
  <si>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</si>
  <si>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</si>
  <si>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</si>
  <si>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</si>
  <si>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</si>
  <si>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</si>
  <si>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</si>
  <si>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</si>
  <si>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</si>
  <si>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</si>
  <si>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</si>
  <si>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</si>
  <si>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</si>
  <si>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</si>
  <si>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</si>
  <si>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</si>
  <si>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</si>
  <si>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</si>
  <si>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</si>
  <si>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</si>
  <si>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</si>
  <si>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</si>
  <si>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</si>
  <si>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</si>
  <si>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</si>
  <si>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</si>
  <si>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</si>
  <si>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</si>
  <si>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</si>
  <si>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</si>
  <si>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</si>
  <si>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</si>
  <si>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</si>
  <si>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</si>
  <si>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</si>
  <si>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</si>
  <si>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</si>
  <si>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</si>
  <si>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</si>
  <si>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</si>
  <si>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</si>
  <si>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</si>
  <si>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</si>
  <si>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</si>
  <si>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</si>
  <si>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</si>
  <si>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</si>
  <si>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</si>
  <si>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</si>
  <si>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</si>
  <si>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</si>
  <si>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</si>
  <si>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</si>
  <si>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</si>
  <si>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</si>
  <si>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</si>
  <si>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</si>
  <si>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</si>
  <si>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</si>
  <si>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</si>
  <si>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</si>
  <si>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</si>
  <si>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</si>
  <si>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</si>
  <si>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</si>
  <si>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</si>
  <si>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</si>
  <si>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</si>
  <si>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</si>
  <si>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</si>
  <si>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</si>
  <si>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</si>
  <si>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</si>
  <si>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</si>
  <si>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</si>
  <si>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</si>
  <si>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</si>
  <si>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</si>
  <si>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</si>
  <si>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</si>
  <si>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</si>
  <si>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</si>
  <si>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</si>
  <si>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</si>
  <si>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</si>
  <si>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</si>
  <si>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</si>
  <si>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</si>
  <si>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</si>
  <si>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</si>
  <si>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</si>
  <si>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</si>
  <si>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</si>
  <si>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</si>
  <si>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</si>
  <si>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</si>
  <si>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</si>
  <si>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</si>
  <si>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</si>
  <si>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</si>
  <si>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</si>
  <si>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</si>
  <si>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</si>
  <si>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</si>
  <si>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</si>
  <si>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</si>
  <si>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</si>
  <si>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</si>
  <si>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</si>
  <si>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</si>
  <si>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</si>
  <si>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</si>
  <si>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</si>
  <si>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</si>
  <si>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</si>
  <si>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</si>
  <si>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</si>
  <si>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</si>
  <si>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</si>
  <si>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</si>
  <si>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</si>
  <si>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</si>
  <si>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</si>
  <si>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</si>
  <si>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</si>
  <si>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</si>
  <si>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</si>
  <si>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</si>
  <si>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</si>
  <si>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</si>
  <si>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</si>
  <si>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</si>
  <si>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</si>
  <si>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</si>
  <si>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</si>
  <si>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</si>
  <si>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</si>
  <si>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</si>
  <si>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</si>
  <si>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</si>
  <si>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</si>
  <si>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</si>
  <si>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</si>
  <si>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</si>
  <si>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</si>
  <si>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</si>
  <si>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</si>
  <si>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</si>
  <si>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</si>
  <si>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</si>
  <si>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</si>
  <si>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</si>
  <si>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</si>
  <si>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</si>
  <si>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</si>
  <si>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</si>
  <si>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</si>
  <si>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</si>
  <si>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</si>
  <si>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</si>
  <si>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</si>
  <si>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</si>
  <si>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</si>
  <si>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</si>
  <si>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</si>
  <si>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</si>
  <si>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</si>
  <si>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</si>
  <si>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</si>
  <si>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</si>
  <si>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</si>
  <si>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</si>
  <si>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</si>
  <si>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</si>
  <si>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</si>
  <si>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</si>
  <si>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</si>
  <si>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</si>
  <si>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</si>
  <si>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</si>
  <si>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</si>
  <si>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</si>
  <si>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</si>
  <si>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</si>
  <si>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</si>
  <si>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</si>
  <si>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</si>
  <si>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</si>
  <si>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</si>
  <si>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</si>
  <si>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</si>
  <si>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</si>
  <si>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</si>
  <si>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</si>
  <si>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</si>
  <si>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</si>
  <si>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</si>
  <si>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</si>
  <si>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</si>
  <si>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</si>
  <si>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</si>
  <si>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</si>
  <si>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</si>
  <si>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</si>
  <si>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</si>
  <si>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</si>
  <si>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</si>
  <si>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</si>
  <si>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</si>
  <si>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</si>
  <si>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</si>
  <si>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</si>
  <si>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</si>
  <si>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</si>
  <si>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</si>
  <si>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</si>
  <si>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</si>
  <si>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</si>
  <si>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</si>
  <si>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</si>
  <si>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</si>
  <si>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</si>
  <si>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</si>
  <si>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</si>
  <si>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</si>
  <si>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</si>
  <si>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</si>
  <si>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</si>
  <si>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</si>
  <si>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</si>
  <si>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</si>
  <si>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</si>
  <si>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</si>
  <si>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</si>
  <si>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</si>
  <si>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</si>
  <si>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</si>
  <si>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</si>
  <si>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</si>
  <si>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</si>
  <si>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</si>
  <si>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</si>
  <si>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</si>
  <si>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</si>
  <si>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</si>
  <si>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</si>
  <si>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</si>
  <si>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</si>
  <si>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</si>
  <si>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</si>
  <si>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</si>
  <si>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</si>
  <si>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</si>
  <si>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</si>
  <si>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</si>
  <si>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</si>
  <si>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</si>
  <si>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</si>
  <si>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</si>
  <si>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</si>
  <si>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</si>
  <si>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</si>
  <si>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</si>
  <si>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</si>
  <si>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</si>
  <si>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</si>
  <si>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</si>
  <si>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</si>
  <si>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</si>
  <si>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</si>
  <si>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</si>
  <si>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</si>
  <si>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</si>
  <si>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</si>
  <si>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</si>
  <si>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</si>
  <si>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</si>
  <si>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</si>
  <si>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</si>
  <si>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</si>
  <si>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</si>
  <si>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</si>
  <si>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</si>
  <si>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</si>
  <si>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</si>
  <si>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</si>
  <si>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</si>
  <si>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</si>
  <si>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</si>
  <si>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</si>
  <si>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</si>
  <si>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</si>
  <si>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</si>
  <si>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</si>
  <si>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</si>
  <si>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</si>
  <si>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</si>
  <si>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</si>
  <si>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</si>
  <si>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</si>
  <si>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</si>
  <si>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</si>
  <si>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</si>
  <si>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</si>
  <si>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</si>
  <si>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</si>
  <si>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</si>
  <si>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</si>
  <si>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</si>
  <si>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</si>
  <si>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</si>
  <si>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</si>
  <si>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</si>
  <si>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</si>
  <si>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</si>
  <si>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</si>
  <si>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</si>
  <si>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</si>
  <si>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</si>
  <si>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</si>
  <si>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</si>
  <si>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</si>
  <si>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</si>
  <si>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</si>
  <si>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</si>
  <si>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</si>
  <si>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</si>
  <si>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</si>
  <si>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</si>
  <si>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</si>
  <si>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</si>
  <si>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</si>
  <si>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</si>
  <si>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</si>
  <si>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</si>
  <si>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</si>
  <si>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</si>
  <si>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</si>
  <si>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</si>
  <si>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</si>
  <si>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</si>
  <si>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</si>
  <si>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</si>
  <si>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</si>
  <si>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</si>
  <si>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</si>
  <si>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</si>
  <si>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</si>
  <si>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</si>
  <si>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</si>
  <si>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</si>
  <si>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</si>
  <si>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</si>
  <si>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</si>
  <si>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</si>
  <si>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</si>
  <si>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</si>
  <si>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</si>
  <si>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</si>
  <si>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</si>
  <si>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</si>
  <si>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</si>
  <si>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</si>
  <si>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</si>
  <si>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</si>
  <si>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</si>
  <si>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</si>
  <si>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</si>
  <si>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</si>
  <si>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</si>
  <si>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</si>
  <si>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</si>
  <si>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</si>
  <si>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</si>
  <si>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</si>
  <si>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</si>
  <si>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</si>
  <si>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</si>
  <si>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</si>
  <si>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</si>
  <si>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</si>
  <si>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</si>
  <si>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</si>
  <si>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</si>
  <si>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</si>
  <si>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</si>
  <si>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</si>
  <si>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</si>
  <si>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</si>
  <si>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</si>
  <si>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</si>
  <si>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</si>
  <si>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</si>
  <si>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</si>
  <si>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</si>
  <si>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</si>
  <si>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</si>
  <si>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</si>
  <si>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</si>
  <si>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</si>
  <si>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</si>
  <si>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</si>
  <si>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</si>
  <si>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</si>
  <si>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</si>
  <si>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</si>
  <si>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</si>
  <si>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</si>
  <si>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</si>
  <si>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</si>
  <si>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</si>
  <si>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</si>
  <si>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</si>
  <si>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</si>
  <si>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</si>
  <si>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</si>
  <si>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</si>
  <si>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</si>
  <si>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</si>
  <si>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</si>
  <si>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</si>
  <si>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</si>
  <si>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</si>
  <si>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</si>
  <si>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</si>
  <si>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</si>
  <si>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</si>
  <si>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</si>
  <si>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</si>
  <si>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</si>
  <si>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</si>
  <si>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</si>
  <si>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</si>
  <si>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</si>
  <si>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</si>
  <si>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</si>
  <si>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</si>
  <si>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</si>
  <si>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</si>
  <si>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</si>
  <si>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</si>
  <si>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</si>
  <si>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</si>
  <si>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</si>
  <si>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</si>
  <si>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</si>
  <si>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</si>
  <si>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</si>
  <si>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</si>
  <si>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</si>
  <si>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</si>
  <si>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</si>
  <si>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</si>
  <si>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</si>
  <si>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</si>
  <si>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</si>
  <si>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</si>
  <si>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</si>
  <si>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</si>
  <si>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</si>
  <si>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</si>
  <si>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</si>
  <si>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</si>
  <si>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</si>
  <si>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</si>
  <si>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</si>
  <si>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</si>
  <si>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</si>
  <si>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</si>
  <si>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</si>
  <si>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</si>
  <si>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</si>
  <si>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</si>
  <si>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</si>
  <si>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</si>
  <si>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</si>
  <si>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</si>
  <si>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</si>
  <si>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</si>
  <si>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</si>
  <si>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</si>
  <si>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</si>
  <si>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</si>
  <si>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</si>
  <si>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</si>
  <si>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</si>
  <si>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</si>
  <si>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</si>
  <si>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</si>
  <si>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</si>
  <si>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</si>
  <si>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</si>
  <si>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</si>
  <si>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</si>
  <si>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</si>
  <si>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</si>
  <si>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</si>
  <si>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</si>
  <si>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</si>
  <si>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</si>
  <si>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</si>
  <si>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</si>
  <si>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</si>
  <si>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</si>
  <si>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</si>
  <si>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</si>
  <si>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</si>
  <si>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</si>
  <si>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</si>
  <si>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</si>
  <si>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</si>
  <si>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</si>
  <si>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</si>
  <si>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</si>
  <si>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</si>
  <si>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</si>
  <si>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</si>
  <si>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</si>
  <si>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</si>
  <si>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</si>
  <si>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</si>
  <si>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</si>
  <si>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</si>
  <si>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</si>
  <si>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</si>
  <si>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</si>
  <si>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</si>
  <si>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</si>
  <si>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</si>
  <si>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</si>
  <si>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</si>
  <si>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</si>
  <si>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</si>
  <si>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</si>
  <si>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</si>
  <si>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</si>
  <si>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</si>
  <si>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</si>
  <si>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</si>
  <si>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</si>
  <si>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</si>
  <si>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</si>
  <si>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</si>
  <si>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</si>
  <si>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</si>
  <si>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</si>
  <si>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</si>
  <si>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</si>
  <si>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</si>
  <si>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</si>
  <si>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</si>
  <si>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</si>
  <si>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</si>
  <si>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</si>
  <si>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</si>
  <si>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</si>
  <si>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</si>
  <si>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</si>
  <si>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</si>
  <si>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</si>
  <si>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</si>
  <si>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</si>
  <si>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</si>
  <si>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</si>
  <si>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</si>
  <si>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</si>
  <si>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</si>
  <si>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</si>
  <si>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</si>
  <si>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</si>
  <si>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</si>
  <si>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</si>
  <si>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</si>
  <si>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</si>
  <si>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</si>
  <si>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</si>
  <si>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</si>
  <si>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</si>
  <si>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</si>
  <si>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</si>
  <si>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</si>
  <si>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</si>
  <si>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</si>
  <si>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</si>
  <si>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</si>
  <si>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</si>
  <si>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</si>
  <si>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</si>
  <si>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</si>
  <si>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</si>
  <si>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</si>
  <si>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</si>
  <si>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</si>
  <si>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</si>
  <si>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</si>
  <si>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</si>
  <si>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</si>
  <si>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</si>
  <si>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</si>
  <si>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</si>
  <si>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</si>
  <si>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</si>
  <si>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</si>
  <si>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</si>
  <si>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</si>
  <si>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</si>
  <si>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</si>
  <si>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</si>
  <si>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</si>
  <si>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</si>
  <si>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</si>
  <si>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</si>
  <si>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</si>
  <si>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</si>
  <si>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</si>
  <si>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</si>
  <si>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</si>
  <si>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</si>
  <si>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</si>
  <si>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</si>
  <si>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</si>
  <si>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</si>
  <si>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</si>
  <si>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</si>
  <si>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</si>
  <si>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</si>
  <si>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</si>
  <si>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</si>
  <si>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</si>
  <si>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</si>
  <si>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</si>
  <si>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</si>
  <si>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</si>
  <si>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</si>
  <si>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</si>
  <si>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</si>
  <si>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</si>
  <si>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</si>
  <si>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</si>
  <si>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</si>
  <si>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</si>
  <si>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</si>
  <si>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</si>
  <si>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</si>
  <si>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</si>
  <si>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</si>
  <si>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</si>
  <si>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</si>
  <si>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</si>
  <si>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</si>
  <si>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</si>
  <si>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</si>
  <si>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</si>
  <si>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</si>
  <si>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</si>
  <si>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</si>
  <si>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</si>
  <si>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</si>
  <si>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</si>
  <si>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</si>
  <si>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</si>
  <si>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</si>
  <si>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</si>
  <si>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</si>
  <si>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</si>
  <si>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</si>
  <si>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</si>
  <si>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</si>
  <si>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</si>
  <si>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</si>
  <si>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</si>
  <si>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</si>
  <si>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</si>
  <si>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</si>
  <si>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</si>
  <si>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</si>
  <si>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</si>
  <si>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</si>
  <si>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</si>
  <si>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</si>
  <si>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</si>
  <si>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</si>
  <si>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</si>
  <si>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</si>
  <si>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</si>
  <si>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</si>
  <si>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</si>
  <si>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</si>
  <si>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</si>
  <si>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</si>
  <si>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</si>
  <si>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</si>
  <si>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</si>
  <si>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</si>
  <si>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</si>
  <si>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</si>
  <si>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</si>
  <si>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</si>
  <si>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</si>
  <si>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</si>
  <si>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</si>
  <si>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</si>
  <si>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</si>
  <si>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</si>
  <si>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</si>
  <si>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</si>
  <si>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</si>
  <si>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</si>
  <si>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</si>
  <si>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</si>
  <si>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</si>
  <si>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</si>
  <si>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</si>
  <si>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</si>
  <si>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</si>
  <si>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</si>
  <si>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</si>
  <si>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</si>
  <si>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</si>
  <si>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</si>
  <si>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</si>
  <si>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</si>
  <si>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</si>
  <si>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</si>
  <si>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</si>
  <si>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</si>
  <si>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</si>
  <si>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</si>
  <si>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</si>
  <si>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</si>
  <si>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</si>
  <si>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</si>
  <si>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</si>
  <si>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</si>
  <si>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</si>
  <si>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</si>
  <si>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</si>
  <si>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</si>
  <si>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</si>
  <si>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</si>
  <si>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</si>
  <si>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</si>
  <si>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</si>
  <si>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</si>
  <si>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</si>
  <si>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</si>
  <si>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</si>
  <si>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</si>
  <si>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</si>
  <si>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</si>
  <si>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</si>
  <si>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</si>
  <si>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</si>
  <si>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</si>
  <si>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</si>
  <si>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</si>
  <si>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</si>
  <si>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</si>
  <si>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</si>
  <si>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</si>
  <si>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</si>
  <si>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</si>
  <si>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</si>
  <si>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</si>
  <si>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</si>
  <si>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</si>
  <si>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</si>
  <si>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</si>
  <si>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</si>
  <si>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</si>
  <si>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</si>
  <si>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</si>
  <si>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</si>
  <si>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</si>
  <si>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</si>
  <si>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</si>
  <si>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</si>
  <si>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</si>
  <si>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</si>
  <si>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</si>
  <si>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</si>
  <si>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</si>
  <si>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</si>
  <si>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</si>
  <si>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</si>
  <si>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</si>
  <si>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</si>
  <si>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</si>
  <si>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</si>
  <si>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</si>
  <si>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</si>
  <si>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</si>
  <si>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</si>
  <si>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</si>
  <si>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</si>
  <si>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</si>
  <si>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</si>
  <si>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</si>
  <si>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</si>
  <si>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</si>
  <si>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</si>
  <si>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</si>
  <si>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</si>
  <si>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</si>
  <si>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</si>
  <si>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</si>
  <si>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</si>
  <si>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</si>
  <si>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</si>
  <si>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</si>
  <si>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</si>
  <si>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</si>
  <si>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</si>
  <si>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</si>
  <si>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</si>
  <si>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</si>
  <si>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</si>
  <si>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</si>
  <si>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</si>
  <si>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</si>
  <si>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</si>
  <si>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</si>
  <si>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</si>
  <si>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</si>
  <si>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</si>
  <si>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</si>
  <si>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</si>
  <si>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</si>
  <si>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</si>
  <si>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</si>
  <si>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</si>
  <si>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</si>
  <si>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</si>
  <si>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</si>
  <si>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</si>
  <si>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</si>
  <si>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</si>
  <si>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</si>
  <si>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</si>
  <si>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</si>
  <si>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</si>
  <si>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</si>
  <si>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</si>
  <si>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</si>
  <si>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</si>
  <si>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</si>
  <si>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</si>
  <si>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</si>
  <si>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</si>
  <si>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</si>
  <si>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</si>
  <si>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</si>
  <si>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</si>
  <si>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</si>
  <si>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</si>
  <si>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</si>
  <si>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</si>
  <si>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</si>
  <si>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</si>
  <si>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</si>
  <si>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</si>
  <si>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</si>
  <si>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</si>
  <si>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</si>
  <si>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</si>
  <si>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</si>
  <si>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</si>
  <si>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</si>
  <si>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</si>
  <si>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</si>
  <si>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</si>
  <si>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</si>
  <si>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</si>
  <si>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</si>
  <si>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</si>
  <si>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</si>
  <si>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</si>
  <si>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</si>
  <si>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</si>
  <si>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</si>
  <si>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</si>
  <si>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</si>
  <si>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</si>
  <si>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</si>
  <si>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</si>
  <si>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</si>
  <si>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</si>
  <si>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</si>
  <si>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</si>
  <si>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</si>
  <si>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</si>
  <si>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</si>
  <si>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</si>
  <si>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</si>
  <si>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</si>
  <si>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</si>
  <si>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</si>
  <si>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</si>
  <si>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</si>
  <si>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</si>
  <si>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</si>
  <si>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</si>
  <si>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</si>
  <si>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</si>
  <si>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</si>
  <si>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</si>
  <si>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</si>
  <si>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</si>
  <si>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</si>
  <si>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</si>
  <si>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</si>
  <si>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</si>
  <si>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</si>
  <si>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</si>
  <si>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</si>
  <si>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</si>
  <si>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</si>
  <si>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</si>
  <si>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</si>
  <si>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</si>
  <si>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</si>
  <si>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</si>
  <si>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</si>
  <si>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</si>
  <si>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</si>
  <si>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</si>
  <si>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</si>
  <si>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</si>
  <si>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</si>
  <si>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</si>
  <si>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</si>
  <si>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</si>
  <si>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</si>
  <si>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</si>
  <si>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</si>
  <si>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</si>
  <si>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</si>
  <si>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</si>
  <si>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</si>
  <si>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</si>
  <si>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</si>
  <si>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</si>
  <si>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</si>
  <si>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</si>
  <si>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</si>
  <si>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</si>
  <si>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</si>
  <si>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</si>
  <si>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</si>
  <si>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</si>
  <si>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</si>
  <si>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</si>
  <si>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</si>
  <si>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</si>
  <si>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</si>
  <si>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</si>
  <si>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</si>
  <si>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</si>
  <si>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</si>
  <si>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</si>
  <si>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</si>
  <si>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</si>
  <si>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</si>
  <si>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</si>
  <si>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</si>
  <si>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</si>
  <si>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</si>
  <si>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</si>
  <si>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</si>
  <si>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</si>
  <si>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</si>
  <si>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</si>
  <si>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</si>
  <si>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</si>
  <si>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</si>
  <si>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</si>
  <si>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</si>
  <si>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</si>
  <si>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</si>
  <si>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</si>
  <si>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</si>
  <si>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</si>
  <si>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</si>
  <si>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</si>
  <si>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</si>
  <si>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</si>
  <si>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</si>
  <si>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</si>
  <si>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</si>
  <si>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</si>
  <si>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</si>
  <si>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</si>
  <si>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</si>
  <si>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</si>
  <si>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</si>
  <si>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</si>
  <si>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</si>
  <si>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</si>
  <si>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</si>
  <si>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</si>
  <si>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</si>
  <si>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</si>
  <si>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</si>
  <si>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</si>
  <si>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</si>
  <si>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</si>
  <si>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</si>
  <si>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</si>
  <si>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</si>
  <si>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</si>
  <si>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</si>
  <si>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</si>
  <si>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</si>
  <si>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</si>
  <si>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</si>
  <si>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</si>
  <si>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</si>
  <si>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</si>
  <si>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</si>
  <si>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</si>
  <si>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</si>
  <si>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</si>
  <si>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</si>
  <si>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</si>
  <si>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</si>
  <si>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</si>
  <si>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</si>
  <si>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</si>
  <si>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</si>
  <si>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</si>
  <si>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</si>
  <si>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</si>
  <si>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</si>
  <si>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</si>
  <si>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</si>
  <si>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</si>
  <si>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</si>
  <si>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</si>
  <si>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</si>
  <si>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</si>
  <si>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</si>
  <si>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</si>
  <si>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</si>
  <si>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</si>
  <si>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</si>
  <si>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</si>
  <si>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</si>
  <si>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</si>
  <si>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</si>
  <si>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</si>
  <si>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</si>
  <si>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</si>
  <si>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</si>
  <si>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</si>
  <si>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</si>
  <si>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</si>
  <si>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</si>
  <si>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</si>
  <si>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</si>
  <si>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</si>
  <si>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</si>
  <si>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</si>
  <si>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</si>
  <si>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</si>
  <si>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</si>
  <si>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</si>
  <si>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</si>
  <si>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</si>
  <si>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</si>
  <si>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</si>
  <si>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</si>
  <si>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</si>
  <si>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</si>
  <si>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</si>
  <si>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</si>
  <si>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</si>
  <si>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</si>
  <si>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</si>
  <si>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</si>
  <si>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</si>
  <si>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</si>
  <si>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</si>
  <si>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</si>
  <si>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</si>
  <si>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</si>
  <si>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</si>
  <si>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</si>
  <si>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</si>
  <si>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</si>
  <si>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</si>
  <si>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</si>
  <si>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</si>
  <si>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</si>
  <si>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</si>
  <si>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</si>
  <si>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</si>
  <si>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</si>
  <si>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</si>
  <si>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</si>
  <si>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</si>
  <si>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</si>
  <si>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</si>
  <si>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</si>
  <si>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</si>
  <si>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</si>
  <si>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</si>
  <si>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</si>
  <si>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</si>
  <si>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</si>
  <si>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</si>
  <si>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</si>
  <si>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</si>
  <si>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</si>
  <si>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</si>
  <si>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</si>
  <si>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</si>
  <si>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</si>
  <si>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</si>
  <si>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</si>
  <si>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</si>
  <si>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</si>
  <si>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</si>
  <si>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</si>
  <si>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</si>
  <si>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</si>
  <si>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</si>
  <si>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</si>
  <si>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</si>
  <si>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</si>
  <si>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</si>
  <si>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</si>
  <si>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</si>
  <si>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</si>
  <si>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</si>
  <si>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</si>
  <si>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</si>
  <si>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</si>
  <si>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</si>
  <si>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</si>
  <si>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</si>
  <si>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</si>
  <si>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</si>
  <si>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</si>
  <si>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</si>
  <si>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</si>
  <si>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</si>
  <si>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</si>
  <si>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</si>
  <si>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</si>
  <si>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</si>
  <si>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</si>
  <si>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</si>
  <si>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</si>
  <si>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</si>
  <si>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</si>
  <si>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</si>
  <si>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</si>
  <si>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</si>
  <si>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</si>
  <si>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</si>
  <si>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</si>
  <si>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</si>
  <si>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</si>
  <si>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</si>
  <si>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</si>
  <si>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</si>
  <si>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</si>
  <si>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</si>
  <si>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</si>
  <si>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</si>
  <si>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</si>
  <si>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</si>
  <si>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</si>
  <si>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</si>
  <si>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</si>
  <si>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</si>
  <si>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</si>
  <si>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</si>
  <si>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</si>
  <si>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</si>
  <si>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</si>
  <si>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</si>
  <si>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</si>
  <si>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</si>
  <si>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</si>
  <si>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</si>
  <si>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</si>
  <si>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</si>
  <si>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</si>
  <si>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</si>
  <si>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</si>
  <si>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</si>
  <si>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</si>
  <si>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</si>
  <si>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</si>
  <si>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</si>
  <si>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</si>
  <si>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</si>
  <si>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</si>
  <si>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</si>
  <si>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</si>
  <si>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</si>
  <si>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</si>
  <si>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</si>
  <si>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</si>
  <si>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</si>
  <si>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</si>
  <si>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</si>
  <si>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</si>
  <si>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</si>
  <si>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</si>
  <si>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</si>
  <si>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</si>
  <si>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</si>
  <si>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</si>
  <si>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</si>
  <si>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</si>
  <si>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</si>
  <si>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</si>
  <si>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</si>
  <si>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</si>
  <si>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</si>
  <si>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</si>
  <si>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</si>
  <si>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</si>
  <si>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</si>
  <si>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</si>
  <si>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</si>
  <si>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</si>
  <si>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</si>
  <si>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</si>
  <si>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</si>
  <si>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</si>
  <si>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</si>
  <si>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</si>
  <si>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</si>
  <si>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</si>
  <si>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</si>
  <si>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</si>
  <si>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</si>
  <si>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</si>
  <si>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</si>
  <si>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</si>
  <si>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</si>
  <si>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</si>
  <si>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</si>
  <si>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</si>
  <si>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</si>
  <si>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</si>
  <si>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</si>
  <si>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</si>
  <si>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</si>
  <si>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</si>
  <si>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</si>
  <si>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</si>
  <si>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</si>
  <si>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</si>
  <si>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</si>
  <si>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</si>
  <si>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</si>
  <si>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</si>
  <si>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</si>
  <si>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</si>
  <si>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</si>
  <si>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</si>
  <si>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</si>
  <si>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</si>
  <si>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</si>
  <si>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</si>
  <si>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</si>
  <si>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</si>
  <si>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</si>
  <si>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</si>
  <si>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</si>
  <si>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</si>
  <si>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</si>
  <si>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</si>
  <si>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</si>
  <si>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</si>
  <si>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</si>
  <si>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</si>
  <si>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</si>
  <si>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</si>
  <si>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</si>
  <si>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</si>
  <si>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</si>
  <si>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</si>
  <si>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</si>
  <si>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</si>
  <si>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</si>
  <si>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</si>
  <si>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</si>
  <si>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</si>
  <si>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</si>
  <si>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</si>
  <si>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</si>
  <si>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</si>
  <si>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</si>
  <si>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</si>
  <si>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</si>
  <si>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</si>
  <si>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</si>
  <si>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</si>
  <si>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</si>
  <si>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</si>
  <si>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</si>
  <si>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</si>
  <si>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</si>
  <si>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</si>
  <si>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</si>
  <si>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</si>
  <si>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</si>
  <si>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</si>
  <si>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</si>
  <si>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</si>
  <si>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</si>
  <si>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</si>
  <si>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</si>
  <si>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</si>
  <si>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</si>
  <si>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</si>
  <si>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</si>
  <si>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</si>
  <si>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</si>
  <si>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</si>
  <si>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</si>
  <si>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</si>
  <si>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</si>
  <si>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</si>
  <si>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</si>
  <si>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</si>
  <si>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</si>
  <si>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</si>
  <si>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</si>
  <si>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</si>
  <si>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</si>
  <si>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</si>
  <si>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</si>
  <si>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</si>
  <si>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</si>
  <si>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</si>
  <si>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</si>
  <si>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</si>
  <si>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</si>
  <si>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</si>
  <si>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</si>
  <si>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</si>
  <si>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</si>
  <si>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</si>
  <si>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</si>
  <si>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</si>
  <si>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</si>
  <si>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</si>
  <si>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</si>
  <si>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</si>
  <si>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</si>
  <si>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</si>
  <si>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</si>
  <si>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</si>
  <si>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</si>
  <si>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</si>
  <si>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</si>
  <si>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</si>
  <si>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</si>
  <si>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</si>
  <si>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</si>
  <si>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</si>
  <si>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</si>
  <si>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</si>
  <si>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</si>
  <si>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</si>
  <si>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</si>
  <si>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</si>
  <si>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</si>
  <si>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</si>
  <si>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</si>
  <si>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</si>
  <si>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</si>
  <si>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</si>
  <si>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</si>
  <si>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</si>
  <si>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</si>
  <si>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</si>
  <si>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</si>
  <si>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</si>
  <si>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</si>
  <si>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</si>
  <si>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</si>
  <si>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</si>
  <si>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</si>
  <si>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</si>
  <si>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</si>
  <si>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</si>
  <si>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</si>
  <si>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</si>
  <si>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</si>
  <si>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</si>
  <si>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</si>
  <si>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</si>
  <si>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</si>
  <si>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</si>
  <si>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</si>
  <si>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</si>
  <si>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</si>
  <si>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</si>
  <si>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</si>
  <si>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</si>
  <si>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</si>
  <si>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</si>
  <si>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</si>
  <si>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</si>
  <si>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</si>
  <si>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</si>
  <si>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</si>
  <si>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</si>
  <si>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</si>
  <si>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</si>
  <si>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</si>
  <si>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</si>
  <si>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</si>
  <si>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</si>
  <si>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</si>
  <si>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</si>
  <si>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</si>
  <si>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</si>
  <si>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</si>
  <si>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</si>
  <si>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</si>
  <si>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</si>
  <si>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</si>
  <si>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</si>
  <si>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</si>
  <si>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</si>
  <si>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</si>
  <si>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</si>
  <si>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</si>
  <si>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</si>
  <si>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</si>
  <si>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</si>
  <si>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</si>
  <si>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</si>
  <si>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</si>
  <si>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</si>
  <si>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</si>
  <si>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</si>
  <si>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</si>
  <si>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</si>
  <si>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</si>
  <si>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</si>
  <si>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</si>
  <si>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</si>
  <si>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</si>
  <si>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</si>
  <si>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</si>
  <si>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</si>
  <si>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</si>
  <si>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</si>
  <si>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</si>
  <si>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</si>
  <si>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</si>
  <si>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</si>
  <si>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</si>
  <si>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</si>
  <si>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</si>
  <si>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</si>
  <si>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</si>
  <si>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</si>
  <si>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</si>
  <si>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</si>
  <si>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</si>
  <si>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</si>
  <si>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</si>
  <si>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</si>
  <si>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</si>
  <si>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</si>
  <si>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</si>
  <si>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</si>
  <si>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</si>
  <si>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</si>
  <si>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</si>
  <si>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</si>
  <si>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</si>
  <si>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</si>
  <si>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</si>
  <si>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</si>
  <si>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</si>
  <si>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</si>
  <si>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</si>
  <si>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</si>
  <si>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</si>
  <si>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</si>
  <si>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</si>
  <si>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</si>
  <si>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</si>
  <si>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</si>
  <si>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</si>
  <si>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</si>
  <si>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</si>
  <si>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</si>
  <si>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</si>
  <si>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</si>
  <si>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</si>
  <si>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</si>
  <si>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</si>
  <si>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</si>
  <si>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</si>
  <si>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</si>
  <si>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</si>
  <si>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</si>
  <si>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</si>
  <si>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</si>
  <si>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</si>
  <si>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</si>
  <si>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</si>
  <si>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</si>
  <si>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</si>
  <si>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</si>
  <si>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</si>
  <si>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</si>
  <si>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</si>
  <si>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</si>
  <si>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</si>
  <si>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</si>
  <si>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</si>
  <si>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</si>
  <si>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</si>
  <si>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</si>
  <si>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</si>
  <si>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</si>
  <si>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</si>
  <si>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</si>
  <si>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</si>
  <si>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</si>
  <si>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</si>
  <si>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</si>
  <si>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</si>
  <si>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</si>
  <si>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</si>
  <si>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</si>
  <si>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</si>
  <si>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</si>
  <si>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</si>
  <si>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</si>
  <si>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</si>
  <si>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</si>
  <si>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</si>
  <si>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</si>
  <si>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</si>
  <si>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</si>
  <si>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</si>
  <si>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</si>
  <si>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</si>
  <si>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</si>
  <si>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</si>
  <si>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</si>
  <si>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</si>
  <si>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</si>
  <si>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</si>
  <si>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</si>
  <si>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</si>
  <si>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</si>
  <si>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</si>
  <si>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</si>
  <si>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</si>
  <si>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</si>
  <si>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</si>
  <si>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</si>
  <si>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</si>
  <si>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</si>
  <si>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</si>
  <si>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</si>
  <si>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</si>
  <si>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</si>
  <si>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</si>
  <si>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</si>
  <si>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</si>
  <si>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</si>
  <si>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</si>
  <si>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</si>
  <si>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</si>
  <si>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</si>
  <si>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</si>
  <si>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</si>
  <si>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</si>
  <si>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</si>
  <si>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</si>
  <si>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</si>
  <si>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</si>
  <si>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</si>
  <si>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</si>
  <si>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</si>
  <si>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</si>
  <si>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</si>
  <si>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</si>
  <si>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</si>
  <si>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</si>
  <si>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</si>
  <si>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</si>
  <si>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</si>
  <si>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</si>
  <si>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</si>
  <si>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</si>
  <si>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</si>
  <si>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</si>
  <si>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</si>
  <si>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</si>
  <si>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</si>
  <si>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</si>
  <si>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</si>
  <si>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</si>
  <si>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</si>
  <si>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</si>
  <si>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</si>
  <si>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</si>
  <si>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</si>
  <si>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</si>
  <si>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</si>
  <si>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</si>
  <si>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</si>
  <si>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</si>
  <si>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</si>
  <si>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</si>
  <si>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</si>
  <si>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</si>
  <si>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</si>
  <si>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</si>
  <si>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</si>
  <si>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</si>
  <si>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</si>
  <si>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</si>
  <si>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</si>
  <si>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</si>
  <si>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</si>
  <si>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</si>
  <si>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</si>
  <si>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</si>
  <si>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</si>
  <si>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</si>
  <si>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</si>
  <si>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</si>
  <si>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</si>
  <si>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</si>
  <si>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</si>
  <si>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</si>
  <si>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</si>
  <si>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</si>
  <si>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</si>
  <si>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</si>
  <si>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</si>
  <si>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</si>
  <si>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</si>
  <si>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</si>
  <si>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</si>
  <si>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</si>
  <si>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</si>
  <si>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</si>
  <si>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</si>
  <si>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</si>
  <si>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</si>
  <si>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</si>
  <si>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</si>
  <si>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</si>
  <si>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</si>
  <si>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</si>
  <si>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</si>
  <si>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</si>
  <si>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</si>
  <si>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</si>
  <si>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</si>
  <si>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</si>
  <si>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</si>
  <si>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</si>
  <si>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</si>
  <si>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</si>
  <si>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</si>
  <si>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</si>
  <si>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</si>
  <si>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</si>
  <si>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</si>
  <si>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</si>
  <si>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</si>
  <si>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</si>
  <si>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</si>
  <si>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</si>
  <si>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</si>
  <si>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</si>
  <si>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</si>
  <si>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</si>
  <si>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</si>
  <si>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</si>
  <si>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</si>
  <si>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</si>
  <si>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</si>
  <si>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</si>
  <si>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</si>
  <si>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</si>
  <si>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</si>
  <si>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</si>
  <si>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</si>
  <si>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</si>
  <si>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</si>
  <si>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</si>
  <si>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</si>
  <si>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</si>
  <si>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</si>
  <si>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</si>
  <si>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</si>
  <si>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</si>
  <si>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</si>
  <si>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</si>
  <si>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</si>
  <si>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</si>
  <si>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</si>
  <si>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</si>
  <si>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</si>
  <si>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</si>
  <si>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</si>
  <si>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</si>
  <si>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</si>
  <si>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</si>
  <si>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</si>
  <si>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</si>
  <si>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</si>
  <si>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</si>
  <si>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</si>
  <si>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</si>
  <si>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</si>
  <si>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</si>
  <si>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</si>
  <si>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</si>
  <si>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</si>
  <si>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</si>
  <si>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</si>
  <si>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</si>
  <si>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</si>
  <si>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</si>
  <si>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</si>
  <si>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</si>
  <si>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</si>
  <si>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</si>
  <si>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</si>
  <si>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</si>
  <si>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</si>
  <si>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</si>
  <si>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</si>
  <si>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</si>
  <si>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</si>
  <si>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</si>
  <si>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</si>
  <si>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</si>
  <si>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</si>
  <si>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</si>
  <si>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</si>
  <si>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</si>
  <si>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</si>
  <si>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</si>
  <si>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</si>
  <si>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</si>
  <si>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</si>
  <si>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</si>
  <si>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</si>
  <si>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</si>
  <si>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</si>
  <si>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</si>
  <si>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</si>
  <si>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</si>
  <si>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</si>
  <si>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</si>
  <si>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</si>
  <si>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</si>
  <si>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</si>
  <si>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</si>
  <si>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</si>
  <si>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</si>
  <si>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</si>
  <si>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</si>
  <si>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</si>
  <si>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</si>
  <si>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</si>
  <si>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</si>
  <si>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</si>
  <si>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</si>
  <si>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</si>
  <si>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</si>
  <si>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</si>
  <si>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</si>
  <si>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</si>
  <si>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</si>
  <si>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</si>
  <si>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</si>
  <si>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</si>
  <si>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</si>
  <si>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</si>
  <si>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</si>
  <si>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</si>
  <si>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</si>
  <si>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</si>
  <si>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</si>
  <si>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</si>
  <si>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</si>
  <si>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</si>
  <si>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</si>
  <si>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</si>
  <si>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</si>
  <si>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</si>
  <si>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</si>
  <si>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</si>
  <si>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</si>
  <si>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</si>
  <si>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</si>
  <si>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</si>
  <si>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</si>
  <si>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</si>
  <si>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</si>
  <si>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</si>
  <si>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</si>
  <si>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</si>
  <si>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</si>
  <si>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</si>
  <si>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</si>
  <si>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</si>
  <si>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</si>
  <si>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</si>
  <si>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</si>
  <si>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</si>
  <si>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</si>
  <si>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</si>
  <si>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</si>
  <si>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</si>
  <si>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</si>
  <si>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</si>
  <si>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</si>
  <si>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</si>
  <si>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</si>
  <si>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</si>
  <si>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</si>
  <si>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</si>
  <si>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</si>
  <si>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</si>
  <si>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</si>
  <si>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</si>
  <si>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</si>
  <si>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</si>
  <si>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</si>
  <si>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</si>
  <si>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</si>
  <si>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</si>
  <si>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</si>
  <si>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</si>
  <si>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</si>
  <si>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</si>
  <si>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</si>
  <si>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</si>
  <si>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</si>
  <si>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</si>
  <si>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</si>
  <si>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</si>
  <si>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</si>
  <si>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</si>
  <si>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</si>
  <si>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</si>
  <si>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</si>
  <si>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</si>
  <si>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</si>
  <si>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</si>
  <si>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</si>
  <si>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</si>
  <si>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</si>
  <si>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</si>
  <si>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</si>
  <si>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</si>
  <si>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</si>
  <si>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</si>
  <si>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</si>
  <si>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</si>
  <si>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</si>
  <si>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</si>
  <si>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</si>
  <si>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</si>
  <si>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</si>
  <si>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</si>
  <si>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</si>
  <si>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</si>
  <si>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</si>
  <si>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</si>
  <si>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</si>
  <si>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</si>
  <si>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</si>
  <si>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</si>
  <si>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</si>
  <si>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</si>
  <si>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</si>
  <si>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</si>
  <si>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</si>
  <si>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</si>
  <si>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</si>
  <si>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</si>
  <si>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</si>
  <si>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</si>
  <si>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</si>
  <si>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</si>
  <si>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</si>
  <si>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</si>
  <si>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</si>
  <si>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</si>
  <si>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</si>
  <si>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</si>
  <si>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</si>
  <si>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</si>
  <si>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</si>
  <si>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</si>
  <si>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</si>
  <si>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</si>
  <si>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</si>
  <si>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</si>
  <si>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</si>
  <si>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</si>
  <si>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</si>
  <si>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</si>
  <si>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</si>
  <si>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</si>
  <si>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</si>
  <si>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</si>
  <si>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</si>
  <si>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</si>
  <si>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</si>
  <si>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</si>
  <si>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</si>
  <si>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</si>
  <si>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</si>
  <si>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</si>
  <si>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</si>
  <si>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</si>
  <si>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</si>
  <si>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</si>
  <si>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</si>
  <si>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</si>
  <si>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</si>
  <si>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</si>
  <si>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</si>
  <si>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</si>
  <si>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</si>
  <si>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</si>
  <si>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</si>
  <si>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</si>
  <si>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</si>
  <si>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</si>
  <si>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</si>
  <si>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</si>
  <si>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</si>
  <si>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</si>
  <si>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</si>
  <si>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</si>
  <si>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</si>
  <si>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</si>
  <si>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</si>
  <si>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</si>
  <si>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</si>
  <si>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</si>
  <si>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</si>
  <si>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</si>
  <si>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</si>
  <si>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</si>
  <si>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</si>
  <si>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</si>
  <si>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</si>
  <si>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</si>
  <si>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</si>
  <si>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</si>
  <si>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</si>
  <si>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</si>
  <si>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</si>
  <si>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</si>
  <si>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</si>
  <si>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</si>
  <si>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</si>
  <si>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</si>
  <si>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</si>
  <si>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</si>
  <si>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</si>
  <si>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</si>
  <si>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</si>
  <si>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</si>
  <si>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</si>
  <si>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</si>
  <si>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</si>
  <si>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</si>
  <si>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</si>
  <si>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</si>
  <si>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</si>
  <si>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</si>
  <si>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</si>
  <si>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</si>
  <si>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</si>
  <si>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</si>
  <si>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</si>
  <si>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</si>
  <si>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</si>
  <si>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</si>
  <si>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</si>
  <si>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</si>
  <si>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</si>
  <si>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</si>
  <si>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</si>
  <si>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</si>
  <si>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</si>
  <si>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</si>
  <si>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</si>
  <si>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</si>
  <si>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</si>
  <si>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</si>
  <si>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</si>
  <si>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</si>
  <si>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</si>
  <si>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</si>
  <si>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</si>
  <si>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</si>
  <si>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</si>
  <si>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</si>
  <si>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</si>
  <si>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</si>
  <si>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</si>
  <si>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</si>
  <si>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</si>
  <si>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</si>
  <si>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</si>
  <si>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</si>
  <si>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</si>
  <si>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</si>
  <si>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</si>
  <si>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</si>
  <si>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</si>
  <si>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</si>
  <si>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</si>
  <si>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</si>
  <si>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</si>
  <si>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</si>
  <si>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</si>
  <si>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</si>
  <si>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</si>
  <si>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</si>
  <si>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</si>
  <si>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</si>
  <si>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</si>
  <si>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</si>
  <si>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</si>
  <si>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</si>
  <si>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</si>
  <si>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</si>
  <si>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</si>
  <si>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</si>
  <si>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</si>
  <si>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</si>
  <si>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</si>
  <si>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</si>
  <si>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</si>
  <si>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</si>
  <si>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</si>
  <si>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</si>
  <si>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</si>
  <si>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</si>
  <si>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</si>
  <si>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</si>
  <si>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</si>
  <si>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</si>
  <si>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</si>
  <si>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</si>
  <si>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</si>
  <si>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</si>
  <si>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</si>
  <si>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</si>
  <si>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</si>
  <si>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</si>
  <si>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</si>
  <si>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</si>
  <si>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</si>
  <si>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</si>
  <si>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</si>
  <si>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</si>
  <si>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</si>
  <si>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</si>
  <si>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</si>
  <si>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</si>
  <si>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</si>
  <si>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</si>
  <si>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</si>
  <si>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</si>
  <si>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</si>
  <si>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</si>
  <si>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</si>
  <si>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</si>
  <si>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</si>
  <si>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</si>
  <si>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</si>
  <si>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</si>
  <si>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</si>
  <si>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</si>
  <si>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</si>
  <si>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</si>
  <si>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</si>
  <si>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</si>
  <si>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</si>
  <si>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</si>
  <si>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</si>
  <si>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</si>
  <si>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</si>
  <si>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</si>
  <si>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</si>
  <si>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</si>
  <si>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</si>
  <si>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</si>
  <si>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</si>
  <si>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</si>
  <si>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</si>
  <si>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</si>
  <si>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</si>
  <si>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</si>
  <si>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</si>
  <si>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</si>
  <si>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</si>
  <si>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</si>
  <si>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</si>
  <si>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</si>
  <si>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</si>
  <si>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</si>
  <si>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</si>
  <si>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</si>
  <si>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</si>
  <si>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</si>
  <si>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</si>
  <si>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</si>
  <si>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</si>
  <si>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</si>
  <si>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</si>
  <si>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</si>
  <si>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</si>
  <si>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</si>
  <si>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</si>
  <si>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</si>
  <si>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</si>
  <si>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</si>
  <si>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</si>
  <si>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</si>
  <si>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</si>
  <si>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</si>
  <si>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</si>
  <si>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</si>
  <si>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</si>
  <si>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</si>
  <si>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</si>
  <si>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</si>
  <si>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</si>
  <si>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</si>
  <si>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</si>
  <si>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</si>
  <si>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</si>
  <si>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</si>
  <si>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</si>
  <si>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</si>
  <si>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</si>
  <si>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</si>
  <si>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</si>
  <si>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</si>
  <si>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</si>
  <si>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</si>
  <si>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</si>
  <si>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</si>
  <si>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</si>
  <si>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</si>
  <si>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</si>
  <si>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</si>
  <si>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</si>
  <si>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</si>
  <si>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</si>
  <si>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</si>
  <si>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</si>
  <si>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</si>
  <si>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</si>
  <si>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</si>
  <si>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</si>
  <si>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</si>
  <si>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</si>
  <si>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</si>
  <si>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</si>
  <si>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</si>
  <si>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</si>
  <si>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</si>
  <si>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</si>
  <si>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</si>
  <si>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</si>
  <si>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</si>
  <si>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</si>
  <si>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</si>
  <si>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</si>
  <si>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</si>
  <si>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</si>
  <si>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</si>
  <si>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</si>
  <si>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</si>
  <si>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</si>
  <si>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</si>
  <si>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</si>
  <si>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</si>
  <si>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</si>
  <si>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</si>
  <si>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</si>
  <si>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</si>
  <si>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</si>
  <si>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</si>
  <si>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</si>
  <si>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</si>
  <si>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</si>
  <si>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</si>
  <si>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</si>
  <si>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</si>
  <si>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</si>
  <si>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</si>
  <si>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</si>
  <si>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</si>
  <si>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</si>
  <si>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</si>
  <si>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</si>
  <si>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</si>
  <si>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</si>
  <si>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</si>
  <si>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</si>
  <si>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</si>
  <si>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</si>
  <si>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</si>
  <si>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</si>
  <si>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</si>
  <si>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</si>
  <si>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</si>
  <si>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</si>
  <si>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</si>
  <si>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</si>
  <si>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</si>
  <si>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</si>
  <si>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</si>
  <si>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</si>
  <si>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</si>
  <si>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</si>
  <si>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</si>
  <si>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</si>
  <si>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</si>
  <si>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</si>
  <si>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</si>
  <si>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</si>
  <si>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</si>
  <si>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</si>
  <si>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</si>
  <si>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</si>
  <si>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</si>
  <si>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</si>
  <si>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</si>
  <si>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</si>
  <si>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</si>
  <si>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</si>
  <si>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</si>
  <si>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</si>
  <si>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</si>
  <si>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</si>
  <si>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</si>
  <si>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</si>
  <si>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</si>
  <si>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</si>
  <si>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</si>
  <si>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</si>
  <si>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</si>
  <si>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</si>
  <si>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</si>
  <si>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</si>
  <si>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</si>
  <si>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</si>
  <si>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</si>
  <si>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</si>
  <si>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</si>
  <si>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</si>
  <si>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</si>
  <si>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</si>
  <si>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</si>
  <si>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</si>
  <si>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</si>
  <si>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</si>
  <si>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</si>
  <si>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</si>
  <si>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</si>
  <si>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</si>
  <si>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</si>
  <si>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</si>
  <si>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</si>
  <si>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</si>
  <si>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</si>
  <si>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</si>
  <si>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</si>
  <si>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</si>
  <si>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</si>
  <si>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</si>
  <si>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</si>
  <si>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</si>
  <si>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</si>
  <si>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</si>
  <si>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</si>
  <si>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</si>
  <si>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</si>
  <si>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</si>
  <si>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</si>
  <si>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</si>
  <si>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</si>
  <si>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</si>
  <si>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</si>
  <si>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</si>
  <si>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</si>
  <si>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</si>
  <si>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</si>
  <si>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</si>
  <si>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</si>
  <si>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</si>
  <si>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</si>
  <si>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</si>
  <si>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</si>
  <si>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</si>
  <si>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</si>
  <si>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</si>
  <si>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</si>
  <si>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</si>
  <si>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</si>
  <si>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</si>
  <si>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</si>
  <si>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</si>
  <si>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</si>
  <si>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</si>
  <si>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</si>
  <si>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</si>
  <si>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</si>
  <si>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</si>
  <si>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</si>
  <si>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</si>
  <si>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</si>
  <si>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</si>
  <si>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</si>
  <si>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</si>
  <si>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</si>
  <si>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</si>
  <si>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</si>
  <si>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</si>
  <si>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</si>
  <si>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</si>
  <si>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</si>
  <si>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</si>
  <si>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</si>
  <si>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</si>
  <si>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</si>
  <si>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</si>
  <si>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</si>
  <si>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</si>
  <si>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</si>
  <si>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</si>
  <si>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</si>
  <si>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</si>
  <si>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</si>
  <si>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</si>
  <si>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</si>
  <si>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</si>
  <si>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</si>
  <si>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</si>
  <si>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</si>
  <si>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</si>
  <si>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</si>
  <si>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</si>
  <si>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</si>
  <si>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</si>
  <si>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</si>
  <si>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</si>
  <si>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</si>
  <si>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</si>
  <si>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</si>
  <si>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</si>
  <si>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</si>
  <si>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</si>
  <si>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</si>
  <si>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</si>
  <si>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</si>
  <si>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</si>
  <si>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</si>
  <si>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</si>
  <si>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</si>
  <si>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</si>
  <si>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</si>
  <si>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</si>
  <si>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</si>
  <si>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</si>
  <si>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</si>
  <si>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</si>
  <si>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</si>
  <si>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</si>
  <si>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</si>
  <si>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</si>
  <si>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</si>
  <si>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</si>
  <si>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</si>
  <si>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</si>
  <si>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</si>
  <si>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</si>
  <si>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</si>
  <si>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</si>
  <si>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</si>
  <si>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</si>
  <si>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</si>
  <si>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</si>
  <si>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</si>
  <si>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</si>
  <si>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</si>
  <si>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</si>
  <si>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</si>
  <si>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</si>
  <si>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</si>
  <si>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</si>
  <si>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</si>
  <si>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</si>
  <si>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</si>
  <si>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</si>
  <si>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</si>
  <si>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</si>
  <si>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</si>
  <si>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</si>
  <si>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</si>
  <si>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</si>
  <si>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</si>
  <si>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</si>
  <si>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</si>
  <si>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</si>
  <si>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</si>
  <si>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</si>
  <si>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</si>
  <si>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</si>
  <si>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</si>
  <si>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</si>
  <si>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</si>
  <si>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</si>
  <si>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</si>
  <si>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</si>
  <si>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</si>
  <si>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</si>
  <si>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</si>
  <si>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</si>
  <si>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</si>
  <si>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</si>
  <si>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</si>
  <si>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</si>
  <si>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</si>
  <si>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</si>
  <si>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</si>
  <si>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</si>
  <si>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</si>
  <si>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</si>
  <si>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</si>
  <si>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</si>
  <si>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</si>
  <si>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</si>
  <si>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</si>
  <si>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</si>
  <si>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</si>
  <si>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</si>
  <si>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</si>
  <si>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</si>
  <si>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</si>
  <si>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</si>
  <si>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</si>
  <si>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</si>
  <si>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</si>
  <si>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</si>
  <si>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</si>
  <si>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</si>
  <si>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</si>
  <si>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</si>
  <si>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</si>
  <si>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</si>
  <si>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</si>
  <si>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</si>
  <si>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</si>
  <si>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</si>
  <si>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</si>
  <si>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</si>
  <si>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</si>
  <si>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</si>
  <si>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</si>
  <si>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</si>
  <si>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</si>
  <si>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</si>
  <si>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</si>
  <si>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</si>
  <si>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</si>
  <si>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</si>
  <si>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</si>
  <si>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</si>
  <si>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</si>
  <si>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</si>
  <si>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</si>
  <si>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</si>
  <si>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</si>
  <si>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</si>
  <si>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</si>
  <si>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</si>
  <si>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</si>
  <si>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</si>
  <si>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</si>
  <si>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</si>
  <si>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</si>
  <si>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</si>
  <si>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</si>
  <si>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</si>
  <si>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</si>
  <si>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</si>
  <si>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</si>
  <si>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</si>
  <si>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</si>
  <si>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</si>
  <si>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</si>
  <si>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</si>
  <si>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</si>
  <si>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</si>
  <si>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</si>
  <si>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</si>
  <si>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</si>
  <si>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</si>
  <si>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</si>
  <si>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</si>
  <si>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</si>
  <si>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</si>
  <si>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</si>
  <si>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</si>
  <si>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</si>
  <si>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</si>
  <si>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</si>
  <si>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</si>
  <si>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</si>
  <si>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</si>
  <si>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</si>
  <si>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</si>
  <si>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</si>
  <si>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</si>
  <si>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</si>
  <si>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</si>
  <si>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</si>
  <si>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</si>
  <si>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</si>
  <si>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</si>
  <si>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</si>
  <si>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</si>
  <si>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</si>
  <si>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</si>
  <si>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</si>
  <si>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</si>
  <si>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</si>
  <si>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</si>
  <si>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</si>
  <si>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</si>
  <si>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</si>
  <si>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</si>
  <si>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</si>
  <si>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</si>
  <si>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</si>
  <si>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</si>
  <si>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</si>
  <si>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</si>
  <si>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</si>
  <si>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</si>
  <si>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</si>
  <si>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</si>
  <si>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</si>
  <si>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</si>
  <si>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</si>
  <si>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</si>
  <si>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</si>
  <si>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</si>
  <si>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</si>
  <si>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</si>
  <si>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</si>
  <si>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</si>
  <si>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</si>
  <si>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</si>
  <si>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</si>
  <si>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</si>
  <si>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</si>
  <si>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</si>
  <si>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</si>
  <si>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</si>
  <si>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</si>
  <si>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</si>
  <si>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</si>
  <si>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</si>
  <si>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</si>
  <si>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</si>
  <si>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</si>
  <si>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</si>
  <si>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</si>
  <si>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</si>
  <si>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</si>
  <si>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</si>
  <si>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</si>
  <si>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</si>
  <si>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</si>
  <si>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</si>
  <si>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</si>
  <si>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</si>
  <si>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</si>
  <si>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</si>
  <si>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</si>
  <si>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</si>
  <si>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</si>
  <si>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</si>
  <si>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</si>
  <si>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</si>
  <si>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</si>
  <si>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</si>
  <si>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</si>
  <si>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</si>
  <si>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</si>
  <si>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</si>
  <si>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</si>
  <si>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</si>
  <si>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</si>
  <si>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</si>
  <si>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</si>
  <si>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</si>
  <si>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</si>
  <si>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</si>
  <si>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</si>
  <si>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</si>
  <si>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</si>
  <si>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</si>
  <si>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</si>
  <si>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</si>
  <si>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</si>
  <si>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</si>
  <si>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</si>
  <si>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</si>
  <si>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</si>
  <si>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</si>
  <si>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</si>
  <si>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</si>
  <si>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</si>
  <si>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</si>
  <si>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</si>
  <si>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</si>
  <si>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</si>
  <si>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</si>
  <si>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</si>
  <si>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</si>
  <si>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</si>
  <si>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</si>
  <si>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</si>
  <si>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</si>
  <si>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</si>
  <si>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</si>
  <si>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</si>
  <si>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</si>
  <si>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</si>
  <si>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</si>
  <si>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</si>
  <si>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</si>
  <si>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</si>
  <si>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</si>
  <si>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</si>
  <si>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</si>
  <si>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</si>
  <si>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</si>
  <si>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</si>
  <si>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</si>
  <si>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</si>
  <si>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</si>
  <si>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</si>
  <si>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</si>
  <si>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</si>
  <si>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</si>
  <si>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</si>
  <si>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</si>
  <si>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</si>
  <si>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</si>
  <si>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</si>
  <si>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</si>
  <si>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</si>
  <si>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</si>
  <si>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</si>
  <si>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</si>
  <si>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</si>
  <si>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</si>
  <si>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</si>
  <si>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</si>
  <si>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</si>
  <si>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</si>
  <si>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</si>
  <si>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</si>
  <si>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</si>
  <si>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</si>
  <si>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</si>
  <si>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</si>
  <si>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</si>
  <si>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</si>
  <si>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</si>
  <si>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</si>
  <si>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</si>
  <si>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</si>
  <si>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</si>
  <si>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</si>
  <si>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</si>
  <si>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</si>
  <si>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</si>
  <si>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</si>
  <si>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</si>
  <si>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</si>
  <si>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</si>
  <si>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</si>
  <si>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</si>
  <si>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</si>
  <si>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</si>
  <si>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</si>
  <si>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</si>
  <si>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</si>
  <si>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</si>
  <si>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</si>
  <si>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</si>
  <si>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</si>
  <si>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</si>
  <si>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</si>
  <si>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</si>
  <si>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</si>
  <si>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</si>
  <si>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</si>
  <si>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</si>
  <si>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</si>
  <si>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</si>
  <si>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</si>
  <si>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</si>
  <si>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</si>
  <si>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</si>
  <si>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</si>
  <si>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</si>
  <si>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</si>
  <si>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</si>
  <si>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</si>
  <si>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</si>
  <si>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</si>
  <si>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</si>
  <si>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</si>
  <si>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</si>
  <si>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</si>
  <si>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</si>
  <si>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</si>
  <si>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</si>
  <si>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</si>
  <si>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</si>
  <si>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</si>
  <si>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</si>
  <si>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</si>
  <si>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</si>
  <si>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</si>
  <si>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</si>
  <si>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</si>
  <si>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</si>
  <si>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</si>
  <si>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</si>
  <si>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</si>
  <si>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</si>
  <si>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</si>
  <si>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</si>
  <si>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</si>
  <si>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</si>
  <si>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</si>
  <si>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</si>
  <si>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</si>
  <si>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</si>
  <si>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</si>
  <si>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</si>
  <si>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</si>
  <si>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</si>
  <si>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</si>
  <si>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</si>
  <si>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</si>
  <si>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</si>
  <si>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</si>
  <si>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</si>
  <si>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</si>
  <si>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</si>
  <si>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</si>
  <si>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</si>
  <si>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</si>
  <si>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</si>
  <si>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</si>
  <si>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</si>
  <si>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</si>
  <si>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</si>
  <si>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</si>
  <si>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</si>
  <si>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</si>
  <si>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</si>
  <si>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</si>
  <si>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</si>
  <si>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</si>
  <si>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</si>
  <si>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</si>
  <si>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</si>
  <si>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</si>
  <si>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</si>
  <si>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</si>
  <si>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</si>
  <si>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</si>
  <si>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</si>
  <si>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</si>
  <si>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</si>
  <si>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</si>
  <si>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</si>
  <si>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</si>
  <si>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</si>
  <si>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</si>
  <si>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</si>
  <si>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</si>
  <si>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</si>
  <si>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</si>
  <si>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</si>
  <si>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</si>
  <si>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</si>
  <si>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</si>
  <si>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</si>
  <si>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</si>
  <si>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</si>
  <si>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</si>
  <si>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</si>
  <si>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</si>
  <si>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</si>
  <si>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</si>
  <si>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</si>
  <si>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</si>
  <si>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</si>
  <si>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</si>
  <si>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</si>
  <si>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</si>
  <si>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</si>
  <si>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</si>
  <si>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</si>
  <si>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</si>
  <si>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</si>
  <si>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</si>
  <si>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</si>
  <si>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</si>
  <si>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</si>
  <si>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</si>
  <si>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</si>
  <si>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</si>
  <si>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</si>
  <si>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</si>
  <si>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</si>
  <si>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</si>
  <si>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</si>
  <si>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</si>
  <si>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</si>
  <si>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</si>
  <si>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</si>
  <si>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</si>
  <si>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</si>
  <si>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</si>
  <si>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</si>
  <si>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</si>
  <si>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</si>
  <si>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</si>
  <si>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</si>
  <si>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</si>
  <si>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</si>
  <si>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</si>
  <si>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</si>
  <si>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</si>
  <si>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</si>
  <si>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</si>
  <si>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</si>
  <si>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</si>
  <si>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</si>
  <si>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</si>
  <si>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</si>
  <si>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</si>
  <si>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</si>
  <si>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</si>
  <si>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</si>
  <si>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</si>
  <si>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</si>
  <si>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</si>
  <si>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</si>
  <si>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</si>
  <si>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</si>
  <si>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</si>
  <si>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</si>
  <si>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</si>
  <si>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</si>
  <si>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</si>
  <si>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</si>
  <si>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</si>
  <si>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</si>
  <si>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</si>
  <si>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</si>
  <si>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</si>
  <si>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</si>
  <si>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</si>
  <si>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</si>
  <si>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</si>
  <si>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</si>
  <si>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</si>
  <si>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</si>
  <si>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</si>
  <si>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</si>
  <si>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</si>
  <si>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</si>
  <si>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</si>
  <si>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</si>
  <si>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</si>
  <si>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</si>
  <si>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</si>
  <si>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</si>
  <si>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</si>
  <si>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</si>
  <si>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</si>
  <si>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</si>
  <si>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</si>
  <si>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</si>
  <si>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</si>
  <si>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</si>
  <si>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</si>
  <si>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</si>
  <si>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</si>
  <si>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</si>
  <si>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</si>
  <si>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</si>
  <si>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</si>
  <si>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</si>
  <si>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</si>
  <si>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</si>
  <si>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</si>
  <si>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</si>
  <si>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</si>
  <si>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</si>
  <si>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</si>
  <si>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</si>
  <si>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</si>
  <si>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</si>
  <si>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</si>
  <si>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</si>
  <si>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</si>
  <si>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</si>
  <si>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</si>
  <si>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</si>
  <si>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</si>
  <si>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</si>
  <si>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</si>
  <si>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</si>
  <si>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</si>
  <si>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</si>
  <si>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</si>
  <si>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</si>
  <si>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</si>
  <si>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</si>
  <si>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</si>
  <si>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</si>
  <si>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</si>
  <si>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</si>
  <si>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</si>
  <si>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</si>
  <si>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</si>
  <si>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</si>
  <si>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</si>
  <si>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</si>
  <si>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</si>
  <si>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</si>
  <si>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</si>
  <si>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</si>
  <si>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</si>
  <si>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</si>
  <si>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</si>
  <si>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</si>
  <si>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</si>
  <si>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</si>
  <si>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</si>
  <si>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</si>
  <si>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</si>
  <si>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</si>
  <si>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</si>
  <si>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</si>
  <si>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</si>
  <si>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</si>
  <si>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</si>
  <si>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</si>
  <si>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</si>
  <si>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</si>
  <si>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</si>
  <si>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</si>
  <si>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</si>
  <si>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</si>
  <si>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</si>
  <si>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</si>
  <si>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</si>
  <si>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</si>
  <si>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</si>
  <si>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</si>
  <si>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</si>
  <si>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</si>
  <si>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</si>
  <si>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</si>
  <si>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</si>
  <si>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</si>
  <si>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</si>
  <si>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</si>
  <si>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</si>
  <si>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</si>
  <si>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</si>
  <si>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</si>
  <si>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</si>
  <si>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</si>
  <si>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</si>
  <si>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</si>
  <si>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</si>
  <si>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</si>
  <si>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</si>
  <si>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</si>
  <si>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</si>
  <si>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</si>
  <si>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</si>
  <si>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</si>
  <si>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</si>
  <si>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</si>
  <si>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</si>
  <si>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</si>
  <si>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</si>
  <si>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</si>
  <si>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</si>
  <si>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</si>
  <si>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</si>
  <si>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</si>
  <si>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</si>
  <si>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</si>
  <si>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</si>
  <si>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</si>
  <si>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</si>
  <si>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</si>
  <si>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</si>
  <si>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</si>
  <si>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</si>
  <si>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</si>
  <si>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</si>
  <si>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</si>
  <si>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</si>
  <si>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</si>
  <si>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</si>
  <si>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</si>
  <si>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</si>
  <si>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</si>
  <si>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</si>
  <si>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</si>
  <si>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</si>
  <si>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</si>
  <si>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</si>
  <si>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</si>
  <si>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</si>
  <si>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</si>
  <si>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</si>
  <si>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</si>
  <si>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</si>
  <si>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</si>
  <si>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</si>
  <si>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</si>
  <si>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</si>
  <si>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</si>
  <si>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</si>
  <si>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</si>
  <si>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</si>
  <si>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</si>
  <si>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</si>
  <si>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</si>
  <si>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</si>
  <si>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</si>
  <si>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</si>
  <si>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</si>
  <si>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</si>
  <si>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</si>
  <si>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</si>
  <si>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</si>
  <si>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</si>
  <si>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</si>
  <si>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</si>
  <si>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</si>
  <si>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</si>
  <si>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</si>
  <si>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</si>
  <si>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</si>
  <si>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</si>
  <si>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</si>
  <si>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</si>
  <si>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</si>
  <si>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</si>
  <si>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</si>
  <si>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</si>
  <si>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</si>
  <si>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</si>
  <si>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</si>
  <si>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</si>
  <si>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</si>
  <si>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</si>
  <si>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</si>
  <si>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</si>
  <si>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</si>
  <si>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</si>
  <si>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</si>
  <si>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</si>
  <si>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</si>
  <si>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</si>
  <si>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</si>
  <si>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</si>
  <si>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</si>
  <si>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</si>
  <si>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</si>
  <si>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</si>
  <si>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</si>
  <si>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</si>
  <si>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</si>
  <si>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</si>
  <si>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</si>
  <si>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</si>
  <si>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</si>
  <si>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</si>
  <si>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</si>
  <si>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</si>
  <si>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</si>
  <si>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</si>
  <si>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</si>
  <si>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</si>
  <si>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</si>
  <si>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</si>
  <si>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</si>
  <si>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</si>
  <si>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</si>
  <si>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</si>
  <si>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</si>
  <si>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</si>
  <si>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</si>
  <si>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</si>
  <si>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</si>
  <si>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</si>
  <si>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</si>
  <si>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</si>
  <si>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</si>
  <si>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</si>
  <si>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</si>
  <si>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</si>
  <si>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</si>
  <si>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</si>
  <si>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</si>
  <si>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</si>
  <si>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</si>
  <si>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</si>
  <si>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</si>
  <si>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</si>
  <si>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</si>
  <si>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</si>
  <si>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</si>
  <si>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</si>
  <si>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</si>
  <si>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</si>
  <si>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</si>
  <si>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</si>
  <si>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</si>
  <si>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</si>
  <si>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</si>
  <si>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</si>
  <si>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</si>
  <si>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</si>
  <si>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</si>
  <si>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</si>
  <si>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</si>
  <si>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</si>
  <si>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</si>
  <si>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</si>
  <si>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</si>
  <si>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</si>
  <si>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</si>
  <si>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</si>
  <si>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</si>
  <si>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</si>
  <si>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</si>
  <si>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</si>
  <si>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</si>
  <si>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</si>
  <si>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</si>
  <si>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</si>
  <si>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</si>
  <si>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</si>
  <si>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</si>
  <si>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</si>
  <si>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</si>
  <si>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</si>
  <si>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</si>
  <si>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</si>
  <si>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</si>
  <si>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</si>
  <si>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</si>
  <si>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</si>
  <si>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</si>
  <si>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</si>
  <si>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</si>
  <si>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</si>
  <si>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</si>
  <si>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</si>
  <si>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</si>
  <si>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</si>
  <si>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</si>
  <si>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</si>
  <si>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</si>
  <si>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</si>
  <si>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</si>
  <si>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</si>
  <si>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</si>
  <si>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</si>
  <si>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</si>
  <si>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</si>
  <si>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</si>
  <si>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</si>
  <si>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</si>
  <si>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</si>
  <si>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</si>
  <si>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</si>
  <si>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</si>
  <si>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</si>
  <si>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</si>
  <si>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</si>
  <si>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</si>
  <si>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</si>
  <si>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</si>
  <si>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</si>
  <si>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</si>
  <si>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</si>
  <si>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</si>
  <si>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</si>
  <si>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</si>
  <si>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</si>
  <si>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</si>
  <si>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</si>
  <si>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</si>
  <si>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</si>
  <si>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</si>
  <si>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</si>
  <si>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</si>
  <si>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</si>
  <si>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</si>
  <si>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</si>
  <si>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</si>
  <si>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</si>
  <si>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</si>
  <si>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</si>
  <si>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</si>
  <si>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</si>
  <si>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</si>
  <si>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</si>
  <si>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</si>
  <si>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</si>
  <si>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</si>
  <si>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</si>
  <si>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</si>
  <si>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</si>
  <si>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</si>
  <si>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</si>
  <si>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</si>
  <si>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</si>
  <si>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</si>
  <si>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</si>
  <si>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</si>
  <si>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</si>
  <si>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</si>
  <si>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</si>
  <si>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</si>
  <si>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</si>
  <si>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</si>
  <si>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</si>
  <si>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</si>
  <si>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</si>
  <si>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</si>
  <si>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</si>
  <si>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</si>
  <si>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</si>
  <si>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</si>
  <si>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</si>
  <si>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</si>
  <si>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</si>
  <si>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</si>
  <si>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</si>
  <si>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</si>
  <si>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</si>
  <si>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</si>
  <si>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</si>
  <si>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</si>
  <si>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</si>
  <si>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</si>
  <si>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</si>
  <si>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</si>
  <si>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</si>
  <si>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</si>
  <si>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</si>
  <si>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</si>
  <si>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</si>
  <si>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</si>
  <si>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</si>
  <si>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</si>
  <si>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</si>
  <si>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</si>
  <si>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</si>
  <si>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</si>
  <si>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</si>
  <si>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</si>
  <si>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</si>
  <si>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</si>
  <si>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</si>
  <si>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</si>
  <si>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</si>
  <si>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</si>
  <si>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</si>
  <si>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</si>
  <si>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</si>
  <si>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</si>
  <si>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</si>
  <si>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</si>
  <si>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</si>
  <si>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</si>
  <si>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</si>
  <si>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</si>
  <si>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</si>
  <si>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</si>
  <si>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</si>
  <si>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</si>
  <si>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</si>
  <si>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</si>
  <si>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</si>
  <si>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</si>
  <si>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</si>
  <si>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</si>
  <si>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</si>
  <si>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</si>
  <si>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</si>
  <si>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</si>
  <si>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</si>
  <si>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</si>
  <si>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</si>
  <si>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</si>
  <si>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</si>
  <si>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</si>
  <si>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</si>
  <si>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</si>
  <si>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</si>
  <si>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</si>
  <si>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</si>
  <si>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</si>
  <si>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</si>
  <si>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</si>
  <si>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</si>
  <si>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</si>
  <si>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</si>
  <si>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</si>
  <si>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</si>
  <si>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</si>
  <si>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</si>
  <si>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</si>
  <si>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</si>
  <si>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</si>
  <si>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</si>
  <si>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</si>
  <si>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</si>
  <si>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</si>
  <si>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</si>
  <si>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</si>
  <si>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</si>
  <si>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</si>
  <si>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</si>
  <si>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</si>
  <si>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</si>
  <si>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</si>
  <si>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</si>
  <si>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</si>
  <si>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</si>
  <si>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</si>
  <si>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</si>
  <si>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</si>
  <si>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</si>
  <si>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</si>
  <si>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</si>
  <si>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</si>
  <si>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</si>
  <si>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</si>
  <si>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</si>
  <si>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</si>
  <si>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</si>
  <si>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</si>
  <si>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</si>
  <si>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</si>
  <si>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</si>
  <si>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</si>
  <si>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</si>
  <si>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</si>
  <si>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</si>
  <si>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</si>
  <si>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</si>
  <si>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</si>
  <si>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</si>
  <si>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</si>
  <si>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</si>
  <si>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</si>
  <si>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</si>
  <si>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</si>
  <si>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</si>
  <si>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</si>
  <si>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</si>
  <si>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</si>
  <si>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</si>
  <si>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</si>
  <si>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</si>
  <si>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</si>
  <si>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</si>
  <si>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</si>
  <si>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</si>
  <si>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</si>
  <si>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</si>
  <si>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</si>
  <si>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</si>
  <si>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</si>
  <si>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</si>
  <si>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</si>
  <si>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</si>
  <si>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</si>
  <si>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</si>
  <si>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</si>
  <si>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</si>
  <si>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</si>
  <si>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</si>
  <si>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</si>
  <si>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</si>
  <si>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</si>
  <si>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</si>
  <si>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</si>
  <si>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</si>
  <si>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</si>
  <si>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</si>
  <si>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</si>
  <si>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</si>
  <si>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</si>
  <si>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</si>
  <si>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</si>
  <si>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</si>
  <si>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</si>
  <si>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</si>
  <si>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</si>
  <si>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</si>
  <si>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</si>
  <si>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</si>
  <si>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</si>
  <si>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</si>
  <si>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</si>
  <si>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</si>
  <si>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</si>
  <si>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</si>
  <si>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</si>
  <si>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</si>
  <si>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</si>
  <si>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</si>
  <si>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</si>
  <si>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</si>
  <si>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</si>
  <si>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</si>
  <si>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</si>
  <si>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</si>
  <si>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</si>
  <si>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</si>
  <si>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</si>
  <si>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</si>
  <si>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</si>
  <si>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</si>
  <si>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</si>
  <si>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</si>
  <si>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</si>
  <si>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</si>
  <si>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</si>
  <si>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</si>
  <si>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</si>
  <si>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</si>
  <si>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</si>
  <si>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</si>
  <si>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</si>
  <si>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</si>
  <si>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</si>
  <si>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</si>
  <si>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</si>
  <si>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</si>
  <si>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</si>
  <si>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</si>
  <si>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</si>
  <si>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</si>
  <si>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</si>
  <si>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</si>
  <si>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</si>
  <si>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</si>
  <si>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</si>
  <si>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</si>
  <si>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</si>
  <si>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</si>
  <si>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</si>
  <si>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</si>
  <si>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</si>
  <si>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</si>
  <si>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</si>
  <si>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</si>
  <si>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</si>
  <si>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</si>
  <si>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</si>
  <si>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</si>
  <si>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</si>
  <si>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</si>
  <si>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</si>
  <si>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</si>
  <si>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</si>
  <si>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</si>
  <si>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</si>
  <si>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</si>
  <si>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</si>
  <si>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</si>
  <si>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</si>
  <si>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</si>
  <si>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</si>
  <si>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</si>
  <si>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</si>
  <si>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</si>
  <si>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</si>
  <si>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</si>
  <si>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</si>
  <si>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</si>
  <si>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</si>
  <si>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</si>
  <si>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</si>
  <si>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</si>
  <si>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</si>
  <si>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</si>
  <si>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</si>
  <si>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</si>
  <si>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</si>
  <si>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</si>
  <si>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</si>
  <si>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</si>
  <si>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</si>
  <si>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</si>
  <si>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</si>
  <si>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</si>
  <si>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</si>
  <si>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</si>
  <si>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</si>
  <si>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</si>
  <si>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</si>
  <si>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</si>
  <si>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</si>
  <si>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</si>
  <si>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</si>
  <si>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</si>
  <si>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</si>
  <si>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</si>
  <si>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</si>
  <si>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</si>
  <si>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</si>
  <si>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</si>
  <si>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</si>
  <si>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</si>
  <si>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</si>
  <si>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</si>
  <si>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</si>
  <si>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</si>
  <si>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</si>
  <si>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</si>
  <si>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</si>
  <si>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</si>
  <si>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</si>
  <si>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</si>
  <si>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</si>
  <si>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</si>
  <si>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</si>
  <si>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</si>
  <si>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</si>
  <si>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</si>
  <si>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</si>
  <si>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</si>
  <si>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</si>
  <si>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</si>
  <si>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</si>
  <si>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</si>
  <si>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</si>
  <si>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</si>
  <si>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</si>
  <si>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</si>
  <si>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</si>
  <si>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</si>
  <si>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</si>
  <si>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</si>
  <si>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</si>
  <si>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</si>
  <si>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</si>
  <si>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</si>
  <si>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</si>
  <si>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</si>
  <si>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</si>
  <si>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</si>
  <si>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</si>
  <si>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</si>
  <si>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</si>
  <si>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</si>
  <si>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</si>
  <si>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</si>
  <si>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</si>
  <si>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</si>
  <si>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</si>
  <si>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</si>
  <si>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</si>
  <si>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</si>
  <si>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</si>
  <si>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</si>
  <si>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</si>
  <si>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</si>
  <si>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</si>
  <si>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</si>
  <si>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</si>
  <si>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</si>
  <si>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</si>
  <si>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</si>
  <si>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</si>
  <si>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</si>
  <si>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</si>
  <si>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</si>
  <si>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</si>
  <si>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</si>
  <si>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</si>
  <si>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</si>
  <si>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</si>
  <si>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</si>
  <si>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</si>
  <si>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</si>
  <si>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</si>
  <si>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</si>
  <si>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</si>
  <si>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</si>
  <si>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</si>
  <si>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</si>
  <si>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</si>
  <si>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</si>
  <si>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</si>
  <si>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</si>
  <si>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</si>
  <si>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</si>
  <si>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</si>
  <si>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</si>
  <si>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</si>
  <si>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</si>
  <si>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</si>
  <si>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</si>
  <si>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</si>
  <si>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</si>
  <si>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</si>
  <si>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</si>
  <si>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</si>
  <si>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</si>
  <si>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</si>
  <si>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</si>
  <si>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</si>
  <si>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</si>
  <si>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</si>
  <si>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</si>
  <si>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</si>
  <si>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</si>
  <si>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</si>
  <si>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</si>
  <si>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</si>
  <si>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</si>
  <si>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</si>
  <si>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</si>
  <si>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</si>
  <si>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</si>
  <si>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</si>
  <si>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</si>
  <si>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</si>
  <si>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</si>
  <si>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</si>
  <si>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</si>
  <si>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</si>
  <si>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</si>
  <si>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</si>
  <si>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</si>
  <si>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</si>
  <si>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</si>
  <si>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</si>
  <si>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</si>
  <si>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</si>
  <si>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</si>
  <si>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</si>
  <si>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</si>
  <si>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</si>
  <si>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</si>
  <si>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</si>
  <si>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</si>
  <si>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</si>
  <si>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</si>
  <si>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</si>
  <si>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</si>
  <si>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</si>
  <si>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</si>
  <si>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</si>
  <si>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</si>
  <si>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</si>
  <si>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</si>
  <si>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</si>
  <si>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</si>
  <si>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</si>
  <si>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</si>
  <si>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</si>
  <si>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</si>
  <si>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</si>
  <si>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</si>
  <si>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</si>
  <si>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</si>
  <si>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</si>
  <si>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</si>
  <si>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</si>
  <si>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</si>
  <si>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</si>
  <si>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</si>
  <si>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</si>
  <si>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</si>
  <si>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</si>
  <si>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</si>
  <si>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</si>
  <si>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</si>
  <si>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</si>
  <si>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</si>
  <si>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</si>
  <si>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</si>
  <si>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</si>
  <si>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</si>
  <si>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</si>
  <si>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</si>
  <si>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</si>
  <si>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</si>
  <si>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</si>
  <si>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</si>
  <si>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</si>
  <si>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</si>
  <si>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</si>
  <si>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</si>
  <si>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</si>
  <si>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</si>
  <si>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</si>
  <si>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</si>
  <si>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</si>
  <si>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</si>
  <si>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</si>
  <si>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</si>
  <si>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</si>
  <si>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</si>
  <si>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</si>
  <si>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</si>
  <si>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</si>
  <si>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</si>
  <si>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</si>
  <si>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</si>
  <si>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</si>
  <si>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</si>
  <si>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</si>
  <si>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</si>
  <si>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</si>
  <si>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</si>
  <si>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</si>
  <si>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</si>
  <si>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</si>
  <si>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</si>
  <si>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</si>
  <si>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</si>
  <si>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</si>
  <si>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</si>
  <si>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</si>
  <si>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</si>
  <si>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</si>
  <si>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</si>
  <si>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</si>
  <si>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</si>
  <si>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</si>
  <si>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</si>
  <si>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</si>
  <si>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</si>
  <si>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</si>
  <si>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</si>
  <si>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</si>
  <si>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</si>
  <si>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</si>
  <si>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</si>
  <si>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</si>
  <si>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</si>
  <si>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</si>
  <si>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</si>
  <si>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</si>
  <si>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</si>
  <si>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</si>
  <si>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</si>
  <si>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</si>
  <si>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</si>
  <si>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</si>
  <si>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</si>
  <si>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</si>
  <si>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</si>
  <si>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</si>
  <si>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</si>
  <si>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</si>
  <si>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</si>
  <si>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</si>
  <si>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</si>
  <si>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</si>
  <si>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</si>
  <si>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</si>
  <si>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</si>
  <si>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</si>
  <si>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</si>
  <si>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</si>
  <si>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</si>
  <si>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</si>
  <si>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</si>
  <si>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</si>
  <si>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</si>
  <si>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</si>
  <si>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</si>
  <si>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</si>
  <si>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</si>
  <si>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</si>
  <si>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</si>
  <si>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</si>
  <si>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</si>
  <si>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</si>
  <si>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</si>
  <si>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</si>
  <si>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</si>
  <si>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</si>
  <si>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</si>
  <si>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</si>
  <si>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</si>
  <si>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</si>
  <si>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</si>
  <si>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</si>
  <si>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</si>
  <si>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</si>
  <si>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</si>
  <si>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</si>
  <si>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</si>
  <si>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</si>
  <si>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</si>
  <si>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</si>
  <si>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</si>
  <si>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</si>
  <si>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</si>
  <si>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</si>
  <si>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</si>
  <si>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</si>
  <si>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</si>
  <si>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</si>
  <si>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</si>
  <si>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</si>
  <si>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</si>
  <si>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</si>
  <si>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</si>
  <si>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</si>
  <si>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</si>
  <si>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</si>
  <si>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</si>
  <si>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</si>
  <si>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</si>
  <si>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</si>
  <si>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</si>
  <si>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</si>
  <si>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</si>
  <si>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</si>
  <si>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</si>
  <si>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</si>
  <si>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</si>
  <si>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</si>
  <si>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</si>
  <si>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</si>
  <si>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</si>
  <si>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</si>
  <si>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</si>
  <si>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</si>
  <si>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</si>
  <si>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</si>
  <si>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</si>
  <si>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</si>
  <si>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</si>
  <si>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</si>
  <si>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</si>
  <si>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</si>
  <si>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</si>
  <si>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</si>
  <si>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</si>
  <si>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</si>
  <si>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</si>
  <si>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</si>
  <si>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</si>
  <si>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</si>
  <si>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</si>
  <si>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</si>
  <si>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</si>
  <si>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</si>
  <si>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</si>
  <si>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</si>
  <si>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</si>
  <si>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</si>
  <si>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</si>
  <si>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</si>
  <si>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</si>
  <si>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</si>
  <si>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</si>
  <si>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</si>
  <si>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</si>
  <si>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</si>
  <si>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</si>
  <si>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</si>
  <si>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</si>
  <si>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</si>
  <si>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</si>
  <si>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</si>
  <si>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</si>
  <si>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</si>
  <si>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</si>
  <si>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</si>
  <si>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</si>
  <si>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</si>
  <si>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</si>
  <si>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</si>
  <si>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</si>
  <si>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</si>
  <si>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</si>
  <si>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</si>
  <si>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</si>
  <si>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</si>
  <si>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</si>
  <si>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</si>
  <si>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</si>
  <si>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</si>
  <si>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</si>
  <si>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</si>
  <si>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</si>
  <si>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</si>
  <si>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</si>
  <si>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</si>
  <si>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</si>
  <si>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</si>
  <si>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</si>
  <si>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</si>
  <si>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</si>
  <si>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</si>
  <si>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</si>
  <si>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</si>
  <si>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</si>
  <si>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</si>
  <si>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</si>
  <si>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</si>
  <si>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</si>
  <si>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</si>
  <si>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</si>
  <si>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</si>
  <si>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</si>
  <si>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</si>
  <si>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</si>
  <si>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</si>
  <si>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</si>
  <si>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</si>
  <si>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</si>
  <si>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</si>
  <si>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</si>
  <si>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</si>
  <si>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</si>
  <si>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</si>
  <si>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</si>
  <si>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</si>
  <si>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</si>
  <si>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</si>
  <si>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</si>
  <si>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</si>
  <si>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</si>
  <si>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</si>
  <si>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</si>
  <si>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</si>
  <si>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</si>
  <si>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</si>
  <si>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</si>
  <si>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</si>
  <si>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</si>
  <si>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</si>
  <si>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</si>
  <si>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</si>
  <si>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</si>
  <si>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</si>
  <si>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</si>
  <si>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</si>
  <si>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</si>
  <si>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</si>
  <si>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</si>
  <si>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</si>
  <si>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</si>
  <si>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</si>
  <si>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</si>
  <si>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</si>
  <si>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</si>
  <si>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</si>
  <si>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</si>
  <si>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</si>
  <si>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</si>
  <si>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</si>
  <si>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</si>
  <si>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</si>
  <si>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</si>
  <si>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</si>
  <si>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</si>
  <si>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</si>
  <si>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</si>
  <si>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</si>
  <si>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</si>
  <si>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</si>
  <si>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</si>
  <si>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</si>
  <si>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</si>
  <si>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</si>
  <si>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</si>
  <si>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</si>
  <si>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</si>
  <si>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</si>
  <si>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</si>
  <si>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</si>
  <si>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</si>
  <si>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</si>
  <si>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</si>
  <si>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</si>
  <si>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</si>
  <si>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</si>
  <si>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</si>
  <si>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</si>
  <si>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</si>
  <si>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</si>
  <si>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</si>
  <si>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</si>
  <si>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</si>
  <si>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</si>
  <si>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</si>
  <si>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</si>
  <si>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</si>
  <si>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</si>
  <si>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</si>
  <si>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</si>
  <si>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</si>
  <si>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</si>
  <si>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</si>
  <si>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</si>
  <si>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</si>
  <si>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</si>
  <si>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</si>
  <si>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</si>
  <si>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</si>
  <si>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</si>
  <si>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</si>
  <si>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</si>
  <si>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</si>
  <si>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</si>
  <si>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</si>
  <si>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</si>
  <si>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</si>
  <si>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</si>
  <si>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</si>
  <si>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</si>
  <si>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</si>
  <si>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</si>
  <si>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</si>
  <si>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</si>
  <si>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</si>
  <si>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</si>
  <si>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</si>
  <si>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</si>
  <si>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</si>
  <si>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</si>
  <si>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</si>
  <si>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</si>
  <si>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</si>
  <si>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</si>
  <si>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</si>
  <si>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</si>
  <si>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</si>
  <si>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</si>
  <si>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</si>
  <si>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</si>
  <si>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</si>
  <si>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</si>
  <si>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</si>
  <si>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</si>
  <si>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</si>
  <si>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</si>
  <si>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</si>
  <si>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</si>
  <si>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</si>
  <si>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</si>
  <si>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</si>
  <si>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</si>
  <si>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</si>
  <si>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</si>
  <si>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</si>
  <si>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</si>
  <si>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</si>
  <si>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</si>
  <si>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</si>
  <si>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</si>
  <si>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</si>
  <si>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</si>
  <si>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</si>
  <si>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</si>
  <si>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</si>
  <si>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</si>
  <si>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</si>
  <si>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</si>
  <si>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</si>
  <si>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</si>
  <si>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</si>
  <si>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</si>
  <si>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</si>
  <si>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</si>
  <si>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</si>
  <si>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</si>
  <si>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</si>
  <si>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</si>
  <si>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</si>
  <si>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</si>
  <si>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</si>
  <si>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</si>
  <si>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</si>
  <si>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</si>
  <si>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</si>
  <si>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</si>
  <si>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</si>
  <si>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</si>
  <si>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</si>
  <si>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</si>
  <si>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</si>
  <si>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</si>
  <si>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</si>
  <si>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</si>
  <si>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</si>
  <si>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</si>
  <si>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</si>
  <si>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</si>
  <si>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</si>
  <si>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</si>
  <si>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</si>
  <si>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</si>
  <si>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</si>
  <si>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</si>
  <si>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</si>
  <si>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</si>
  <si>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</si>
  <si>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</si>
  <si>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</si>
  <si>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</si>
  <si>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</si>
  <si>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</si>
  <si>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</si>
  <si>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</si>
  <si>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</si>
  <si>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</si>
  <si>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</si>
  <si>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</si>
  <si>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</si>
  <si>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</si>
  <si>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</si>
  <si>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</si>
  <si>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</si>
  <si>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</si>
  <si>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</si>
  <si>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</si>
  <si>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</si>
  <si>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</si>
  <si>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</si>
  <si>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</si>
  <si>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</si>
  <si>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</si>
  <si>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</si>
  <si>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</si>
  <si>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</si>
  <si>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</si>
  <si>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</si>
  <si>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</si>
  <si>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</si>
  <si>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</si>
  <si>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</si>
  <si>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</si>
  <si>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</si>
  <si>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</si>
  <si>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</si>
  <si>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</si>
  <si>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</si>
  <si>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</si>
  <si>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</si>
  <si>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</si>
  <si>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</si>
  <si>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</si>
  <si>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</si>
  <si>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</si>
  <si>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</si>
  <si>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</si>
  <si>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</si>
  <si>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</si>
  <si>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</si>
  <si>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</si>
  <si>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</si>
  <si>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</si>
  <si>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</si>
  <si>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</si>
  <si>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</si>
  <si>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</si>
  <si>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</si>
  <si>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</si>
  <si>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</si>
  <si>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</si>
  <si>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</si>
  <si>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</si>
  <si>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</si>
  <si>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</si>
  <si>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</si>
  <si>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</si>
  <si>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</si>
  <si>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</si>
  <si>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</si>
  <si>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</si>
  <si>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</si>
  <si>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</si>
  <si>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</si>
  <si>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</si>
  <si>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</si>
  <si>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</si>
  <si>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</si>
  <si>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</si>
  <si>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</si>
  <si>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</si>
  <si>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</si>
  <si>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</si>
  <si>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</si>
  <si>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</si>
  <si>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</si>
  <si>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</si>
  <si>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</si>
  <si>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</si>
  <si>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</si>
  <si>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</si>
  <si>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</si>
  <si>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</si>
  <si>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</si>
  <si>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</si>
  <si>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</si>
  <si>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</si>
  <si>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</si>
  <si>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</si>
  <si>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</si>
  <si>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</si>
  <si>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</si>
  <si>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</si>
  <si>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</si>
  <si>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</si>
  <si>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</si>
  <si>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</si>
  <si>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</si>
  <si>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</si>
  <si>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</si>
  <si>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</si>
  <si>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</si>
  <si>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</si>
  <si>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</si>
  <si>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</si>
  <si>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</si>
  <si>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</si>
  <si>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</si>
  <si>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</si>
  <si>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</si>
  <si>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</si>
  <si>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</si>
  <si>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</si>
  <si>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</si>
  <si>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</si>
  <si>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</si>
  <si>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</si>
  <si>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</si>
  <si>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</si>
  <si>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</si>
  <si>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</si>
  <si>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</si>
  <si>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</si>
  <si>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</si>
  <si>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</si>
  <si>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</si>
  <si>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</si>
  <si>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</si>
  <si>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</si>
  <si>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</si>
  <si>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</si>
  <si>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</si>
  <si>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</si>
  <si>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</si>
  <si>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</si>
  <si>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</si>
  <si>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</si>
  <si>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</si>
  <si>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</si>
  <si>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</si>
  <si>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</si>
  <si>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</si>
  <si>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</si>
  <si>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</si>
  <si>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</si>
  <si>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</si>
  <si>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</si>
  <si>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</si>
  <si>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</si>
  <si>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</si>
  <si>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</si>
  <si>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</si>
  <si>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</si>
  <si>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</si>
  <si>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</si>
  <si>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</si>
  <si>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</si>
  <si>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</si>
  <si>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</si>
  <si>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</si>
  <si>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</si>
  <si>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</si>
  <si>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</si>
  <si>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</si>
  <si>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</si>
  <si>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</si>
  <si>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</si>
  <si>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</si>
  <si>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</si>
  <si>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</si>
  <si>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</si>
  <si>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</si>
  <si>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</si>
  <si>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</si>
  <si>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</si>
  <si>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</si>
  <si>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</si>
  <si>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</si>
  <si>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</si>
  <si>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</si>
  <si>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</si>
  <si>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</si>
  <si>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</si>
  <si>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</si>
  <si>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</si>
  <si>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</si>
  <si>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</si>
  <si>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</si>
  <si>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</si>
  <si>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</si>
  <si>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</si>
  <si>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</si>
  <si>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</si>
  <si>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</si>
  <si>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</si>
  <si>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</si>
  <si>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</si>
  <si>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</si>
  <si>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</si>
  <si>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</si>
  <si>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</si>
  <si>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</si>
  <si>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</si>
  <si>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</si>
  <si>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</si>
  <si>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</si>
  <si>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</si>
  <si>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</si>
  <si>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</si>
  <si>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</si>
  <si>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</si>
  <si>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</si>
  <si>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</si>
  <si>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</si>
  <si>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</si>
  <si>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</si>
  <si>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</si>
  <si>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</si>
  <si>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</si>
  <si>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</si>
  <si>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</si>
  <si>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</si>
  <si>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</si>
  <si>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</si>
  <si>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</si>
  <si>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</si>
  <si>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</si>
  <si>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</si>
  <si>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</si>
  <si>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</si>
  <si>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</si>
  <si>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</si>
  <si>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</si>
  <si>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</si>
  <si>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</si>
  <si>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</si>
  <si>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</si>
  <si>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</si>
  <si>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</si>
  <si>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</si>
  <si>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</si>
  <si>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</si>
  <si>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</si>
  <si>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</si>
  <si>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</si>
  <si>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</si>
  <si>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</si>
  <si>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</si>
  <si>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</si>
  <si>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</si>
  <si>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</si>
  <si>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</si>
  <si>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</si>
  <si>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</si>
  <si>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</si>
  <si>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</si>
  <si>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</si>
  <si>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</si>
  <si>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</si>
  <si>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</si>
  <si>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</si>
  <si>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</si>
  <si>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</si>
  <si>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</si>
  <si>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</si>
  <si>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</si>
  <si>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</si>
  <si>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</si>
  <si>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</si>
  <si>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</si>
  <si>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</si>
  <si>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</si>
  <si>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</si>
  <si>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</si>
  <si>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</si>
  <si>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</si>
  <si>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</si>
  <si>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</si>
  <si>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</si>
  <si>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</si>
  <si>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</si>
  <si>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</si>
  <si>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</si>
  <si>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</si>
  <si>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</si>
  <si>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</si>
  <si>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</si>
  <si>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</si>
  <si>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</si>
  <si>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</si>
  <si>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</si>
  <si>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</si>
  <si>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</si>
  <si>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</si>
  <si>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</si>
  <si>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</si>
  <si>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</si>
  <si>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</si>
  <si>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</si>
  <si>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</si>
  <si>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</si>
  <si>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</si>
  <si>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</si>
  <si>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</si>
  <si>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</si>
  <si>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</si>
  <si>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</si>
  <si>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</si>
  <si>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</si>
  <si>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</si>
  <si>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</si>
  <si>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</si>
  <si>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</si>
  <si>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</si>
  <si>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</si>
  <si>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</si>
  <si>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</si>
  <si>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</si>
  <si>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</si>
  <si>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</si>
  <si>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</si>
  <si>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</si>
  <si>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</si>
  <si>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</si>
  <si>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</si>
  <si>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</si>
  <si>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</si>
  <si>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</si>
  <si>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</si>
  <si>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</si>
  <si>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</si>
  <si>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</si>
  <si>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</si>
  <si>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</si>
  <si>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</si>
  <si>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</si>
  <si>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</si>
  <si>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</si>
  <si>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</si>
  <si>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</si>
  <si>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</si>
  <si>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</si>
  <si>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</si>
  <si>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</si>
  <si>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</si>
  <si>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</si>
  <si>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</si>
  <si>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</si>
  <si>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</si>
  <si>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</si>
  <si>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</si>
  <si>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</si>
  <si>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</si>
  <si>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</si>
  <si>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</si>
  <si>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</si>
  <si>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</si>
  <si>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</si>
  <si>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</si>
  <si>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</si>
  <si>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</si>
  <si>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</si>
  <si>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</si>
  <si>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</si>
  <si>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</si>
  <si>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</si>
  <si>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</si>
  <si>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</si>
  <si>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</si>
  <si>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</si>
  <si>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</si>
  <si>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</si>
  <si>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</si>
  <si>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</si>
  <si>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</si>
  <si>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</si>
  <si>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</si>
  <si>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</si>
  <si>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</si>
  <si>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</si>
  <si>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</si>
  <si>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</si>
  <si>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</si>
  <si>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</si>
  <si>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</si>
  <si>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</si>
  <si>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</si>
  <si>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</si>
  <si>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</si>
  <si>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</si>
  <si>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</si>
  <si>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</si>
  <si>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</si>
  <si>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</si>
  <si>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</si>
  <si>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</si>
  <si>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</si>
  <si>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</si>
  <si>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</si>
  <si>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</si>
  <si>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</si>
  <si>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</si>
  <si>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</si>
  <si>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</si>
  <si>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</si>
  <si>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</si>
  <si>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</si>
  <si>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</si>
  <si>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</si>
  <si>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</si>
  <si>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</si>
  <si>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</si>
  <si>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</si>
  <si>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</si>
  <si>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</si>
  <si>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</si>
  <si>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</si>
  <si>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</si>
  <si>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</si>
  <si>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</si>
  <si>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</si>
  <si>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</si>
  <si>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</si>
  <si>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</si>
  <si>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</si>
  <si>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</si>
  <si>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</si>
  <si>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</si>
  <si>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</si>
  <si>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</si>
  <si>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</si>
  <si>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</si>
  <si>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</si>
  <si>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</si>
  <si>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</si>
  <si>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</si>
  <si>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</si>
  <si>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</si>
  <si>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</si>
  <si>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</si>
  <si>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</si>
  <si>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</si>
  <si>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</si>
  <si>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</si>
  <si>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</si>
  <si>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</si>
  <si>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</si>
  <si>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</si>
  <si>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</si>
  <si>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</si>
  <si>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</si>
  <si>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</si>
  <si>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</si>
  <si>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</si>
  <si>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</si>
  <si>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</si>
  <si>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</si>
  <si>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</si>
  <si>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</si>
  <si>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</si>
  <si>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</si>
  <si>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</si>
  <si>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</si>
  <si>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</si>
  <si>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</si>
  <si>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</si>
  <si>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</si>
  <si>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</si>
  <si>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</si>
  <si>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</si>
  <si>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</si>
  <si>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</si>
  <si>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</si>
  <si>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</si>
  <si>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</si>
  <si>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</si>
  <si>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</si>
  <si>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</si>
  <si>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</si>
  <si>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</si>
  <si>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</si>
  <si>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</si>
  <si>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</si>
  <si>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</si>
  <si>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</si>
  <si>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</si>
  <si>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</si>
  <si>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</si>
  <si>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</si>
  <si>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</si>
  <si>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</si>
  <si>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</si>
  <si>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</si>
  <si>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</si>
  <si>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</si>
  <si>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</si>
  <si>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</si>
  <si>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</si>
  <si>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</si>
  <si>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</si>
  <si>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</si>
  <si>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</si>
  <si>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</si>
  <si>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</si>
  <si>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</si>
  <si>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</si>
  <si>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</si>
  <si>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</si>
  <si>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</si>
  <si>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</si>
  <si>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</si>
  <si>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</si>
  <si>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</si>
  <si>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</si>
  <si>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</si>
  <si>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</si>
  <si>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</si>
  <si>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</si>
  <si>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</si>
  <si>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</si>
  <si>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</si>
  <si>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</si>
  <si>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</si>
  <si>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</si>
  <si>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</si>
  <si>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</si>
  <si>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</si>
  <si>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</si>
  <si>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</si>
  <si>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</si>
  <si>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</si>
  <si>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</si>
  <si>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</si>
  <si>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</si>
  <si>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</si>
  <si>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</si>
  <si>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</si>
  <si>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</si>
  <si>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</si>
  <si>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</si>
  <si>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</si>
  <si>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</si>
  <si>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</si>
  <si>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</si>
  <si>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</si>
  <si>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</si>
  <si>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</si>
  <si>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</si>
  <si>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</si>
  <si>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</si>
  <si>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</si>
  <si>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</si>
  <si>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</si>
  <si>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</si>
  <si>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</si>
  <si>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</si>
  <si>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</si>
  <si>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</si>
  <si>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</si>
  <si>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</si>
  <si>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</si>
  <si>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</si>
  <si>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</si>
  <si>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</si>
  <si>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</si>
  <si>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</si>
  <si>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</si>
  <si>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</si>
  <si>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</si>
  <si>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</si>
  <si>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</si>
  <si>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</si>
  <si>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</si>
  <si>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</si>
  <si>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</si>
  <si>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</si>
  <si>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</si>
  <si>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</si>
  <si>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</si>
  <si>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</si>
  <si>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</si>
  <si>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</si>
  <si>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</si>
  <si>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</si>
  <si>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</si>
  <si>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</si>
  <si>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</si>
  <si>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</si>
  <si>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</si>
  <si>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</si>
  <si>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</si>
  <si>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</si>
  <si>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</si>
  <si>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</si>
  <si>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</si>
  <si>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</si>
  <si>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</si>
  <si>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</si>
  <si>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</si>
  <si>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</si>
  <si>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</si>
  <si>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</si>
  <si>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</si>
  <si>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</si>
  <si>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</si>
  <si>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</si>
  <si>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</si>
  <si>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</si>
  <si>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</si>
  <si>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</si>
  <si>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</si>
  <si>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</si>
  <si>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</si>
  <si>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</si>
  <si>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</si>
  <si>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</si>
  <si>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</si>
  <si>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</si>
  <si>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</si>
  <si>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</si>
  <si>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</si>
  <si>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</si>
  <si>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</si>
  <si>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</si>
  <si>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</si>
  <si>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</si>
  <si>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</si>
  <si>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</si>
  <si>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</si>
  <si>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</si>
  <si>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</si>
  <si>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</si>
  <si>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</si>
  <si>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</si>
  <si>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</si>
  <si>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</si>
  <si>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</si>
  <si>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</si>
  <si>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</si>
  <si>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</si>
  <si>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</si>
  <si>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</si>
  <si>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</si>
  <si>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</si>
  <si>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</si>
  <si>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</si>
  <si>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</si>
  <si>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</si>
  <si>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</si>
  <si>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</si>
  <si>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</si>
  <si>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</si>
  <si>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</si>
  <si>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</si>
  <si>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</si>
  <si>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</si>
  <si>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</si>
  <si>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</si>
  <si>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</si>
  <si>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</si>
  <si>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</si>
  <si>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</si>
  <si>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</si>
  <si>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</si>
  <si>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</si>
  <si>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</si>
  <si>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</si>
  <si>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</si>
  <si>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</si>
  <si>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</si>
  <si>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</si>
  <si>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</si>
  <si>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</si>
  <si>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</si>
  <si>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</si>
  <si>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</si>
  <si>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</si>
  <si>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</si>
  <si>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</si>
  <si>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</si>
  <si>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</si>
  <si>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</si>
  <si>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</si>
  <si>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</si>
  <si>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</si>
  <si>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</si>
  <si>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</si>
  <si>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</si>
  <si>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</si>
  <si>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</si>
  <si>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</si>
  <si>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</si>
  <si>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</si>
  <si>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</si>
  <si>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</si>
  <si>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</si>
  <si>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</si>
  <si>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</si>
  <si>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</si>
  <si>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</si>
  <si>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</si>
  <si>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</si>
  <si>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</si>
  <si>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</si>
  <si>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</si>
  <si>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</si>
  <si>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</si>
  <si>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</si>
  <si>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</si>
  <si>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</si>
  <si>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</si>
  <si>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</si>
  <si>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</si>
  <si>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</si>
  <si>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</si>
  <si>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</si>
  <si>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</si>
  <si>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</si>
  <si>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</si>
  <si>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</si>
  <si>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</si>
  <si>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</si>
  <si>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</si>
  <si>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</si>
  <si>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</si>
  <si>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</si>
  <si>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</si>
  <si>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</si>
  <si>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</si>
  <si>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</si>
  <si>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</si>
  <si>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</si>
  <si>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</si>
  <si>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</si>
  <si>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</si>
  <si>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</si>
  <si>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</si>
  <si>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</si>
  <si>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</si>
  <si>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</si>
  <si>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</si>
  <si>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</si>
  <si>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</si>
  <si>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</si>
  <si>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</si>
  <si>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</si>
  <si>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</si>
  <si>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</si>
  <si>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</si>
  <si>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</si>
  <si>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</si>
  <si>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</si>
  <si>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</si>
  <si>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</si>
  <si>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</si>
  <si>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</si>
  <si>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</si>
  <si>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</si>
  <si>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</si>
  <si>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</si>
  <si>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</si>
  <si>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</si>
  <si>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</si>
  <si>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</si>
  <si>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</si>
  <si>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</si>
  <si>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</si>
  <si>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</si>
  <si>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</si>
  <si>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</si>
  <si>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</si>
  <si>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</si>
  <si>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</si>
  <si>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</si>
  <si>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</si>
  <si>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</si>
  <si>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</si>
  <si>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</si>
  <si>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</si>
  <si>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</si>
  <si>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</si>
  <si>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</si>
  <si>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</si>
  <si>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</si>
  <si>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</si>
  <si>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</si>
  <si>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</si>
  <si>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</si>
  <si>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</si>
  <si>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</si>
  <si>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</si>
  <si>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</si>
  <si>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</si>
  <si>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</si>
  <si>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</si>
  <si>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</si>
  <si>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</si>
  <si>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</si>
  <si>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</si>
  <si>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</si>
  <si>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</si>
  <si>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</si>
  <si>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</si>
  <si>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</si>
  <si>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</si>
  <si>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</si>
  <si>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</si>
  <si>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</si>
  <si>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</si>
  <si>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</si>
  <si>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</si>
  <si>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</si>
  <si>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</si>
  <si>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</si>
  <si>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</si>
  <si>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</si>
  <si>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</si>
  <si>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</si>
  <si>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</si>
  <si>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</si>
  <si>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</si>
  <si>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</si>
  <si>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</si>
  <si>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</si>
  <si>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</si>
  <si>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</si>
  <si>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</si>
  <si>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</si>
  <si>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</si>
  <si>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</si>
  <si>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</si>
  <si>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</si>
  <si>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</si>
  <si>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</si>
  <si>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</si>
  <si>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</si>
  <si>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</si>
  <si>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</si>
  <si>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</si>
  <si>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</si>
  <si>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</si>
  <si>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</si>
  <si>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</si>
  <si>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</si>
  <si>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</si>
  <si>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</si>
  <si>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</si>
  <si>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</si>
  <si>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</si>
  <si>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</si>
  <si>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</si>
  <si>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</si>
  <si>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</si>
  <si>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</si>
  <si>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</si>
  <si>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</si>
  <si>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</si>
  <si>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</si>
  <si>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</si>
  <si>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</si>
  <si>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</si>
  <si>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</si>
  <si>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</si>
  <si>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</si>
  <si>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</si>
  <si>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</si>
  <si>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</si>
  <si>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</si>
  <si>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</si>
  <si>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</si>
  <si>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</si>
  <si>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</si>
  <si>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</si>
  <si>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</si>
  <si>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</si>
  <si>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</si>
  <si>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</si>
  <si>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</si>
  <si>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</si>
  <si>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</si>
  <si>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</si>
  <si>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</si>
  <si>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</si>
  <si>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</si>
  <si>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</si>
  <si>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</si>
  <si>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</si>
  <si>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</si>
  <si>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</si>
  <si>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</si>
  <si>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</si>
  <si>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</si>
  <si>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</si>
  <si>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</si>
  <si>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</si>
  <si>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</si>
  <si>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</si>
  <si>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</si>
  <si>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</si>
  <si>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</si>
  <si>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</si>
  <si>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</si>
  <si>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</si>
  <si>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</si>
  <si>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</si>
  <si>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</si>
  <si>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</si>
  <si>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</si>
  <si>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</si>
  <si>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</si>
  <si>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</si>
  <si>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</si>
  <si>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</si>
  <si>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</si>
  <si>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</si>
  <si>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</si>
  <si>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</si>
  <si>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</si>
  <si>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</si>
  <si>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</si>
  <si>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</si>
  <si>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</si>
  <si>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</si>
  <si>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</si>
  <si>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</si>
  <si>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</si>
  <si>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</si>
  <si>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</si>
  <si>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</si>
  <si>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</si>
  <si>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</si>
  <si>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</si>
  <si>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</si>
  <si>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</si>
  <si>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</si>
  <si>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</si>
  <si>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</si>
  <si>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</si>
  <si>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</si>
  <si>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</si>
  <si>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</si>
  <si>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</si>
  <si>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</si>
  <si>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</si>
  <si>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</si>
  <si>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</si>
  <si>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</si>
  <si>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</si>
  <si>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</si>
  <si>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</si>
  <si>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</si>
  <si>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</si>
  <si>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</si>
  <si>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</si>
  <si>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</si>
  <si>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</si>
  <si>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</si>
  <si>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</si>
  <si>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</si>
  <si>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</si>
  <si>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</si>
  <si>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</si>
  <si>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</si>
  <si>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</si>
  <si>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</si>
  <si>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</si>
  <si>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</si>
  <si>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</si>
  <si>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</si>
  <si>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</si>
  <si>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</si>
  <si>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</si>
  <si>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</si>
  <si>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</si>
  <si>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</si>
  <si>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</si>
  <si>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</si>
  <si>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</si>
  <si>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</si>
  <si>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</si>
  <si>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</si>
  <si>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</si>
  <si>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</si>
  <si>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</si>
  <si>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</si>
  <si>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</si>
  <si>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</si>
  <si>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</si>
  <si>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</si>
  <si>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</si>
  <si>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</si>
  <si>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</si>
  <si>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</si>
  <si>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</si>
  <si>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</si>
  <si>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</si>
  <si>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</si>
  <si>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</si>
  <si>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</si>
  <si>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</si>
  <si>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</si>
  <si>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</si>
  <si>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</si>
  <si>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</si>
  <si>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</si>
  <si>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</si>
  <si>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</si>
  <si>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</si>
  <si>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</si>
  <si>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</si>
  <si>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</si>
  <si>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</si>
  <si>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</si>
  <si>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</si>
  <si>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</si>
  <si>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</si>
  <si>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</si>
  <si>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</si>
  <si>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</si>
  <si>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</si>
  <si>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</si>
  <si>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</si>
  <si>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</si>
  <si>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</si>
  <si>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</si>
  <si>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</si>
  <si>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</si>
  <si>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</si>
  <si>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</si>
  <si>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</si>
  <si>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</si>
  <si>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</si>
  <si>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</si>
  <si>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</si>
  <si>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</si>
  <si>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</si>
  <si>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</si>
  <si>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</si>
  <si>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</si>
  <si>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</si>
  <si>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</si>
  <si>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</si>
  <si>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</si>
  <si>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</si>
  <si>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</si>
  <si>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</si>
  <si>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</si>
  <si>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</si>
  <si>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</si>
  <si>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</si>
  <si>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</si>
  <si>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</si>
  <si>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</si>
  <si>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</si>
  <si>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</si>
  <si>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</si>
  <si>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</si>
  <si>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</si>
  <si>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</si>
  <si>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</si>
  <si>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</si>
  <si>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</si>
  <si>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</si>
  <si>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</si>
  <si>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</si>
  <si>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</si>
  <si>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</si>
  <si>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</si>
  <si>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</si>
  <si>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</si>
  <si>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</si>
  <si>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</si>
  <si>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</si>
  <si>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</si>
  <si>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</si>
  <si>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</si>
  <si>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</si>
  <si>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</si>
  <si>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</si>
  <si>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</si>
  <si>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</si>
  <si>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</si>
  <si>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</si>
  <si>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</si>
  <si>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</si>
  <si>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</si>
  <si>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</si>
  <si>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</si>
  <si>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</si>
  <si>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</si>
  <si>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</si>
  <si>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</si>
  <si>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</si>
  <si>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</si>
  <si>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</si>
  <si>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</si>
  <si>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</si>
  <si>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</si>
  <si>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</si>
  <si>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</si>
  <si>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</si>
  <si>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</si>
  <si>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</si>
  <si>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</si>
  <si>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</si>
  <si>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</si>
  <si>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</si>
  <si>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</si>
  <si>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</si>
  <si>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</si>
  <si>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</si>
  <si>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</si>
  <si>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</si>
  <si>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</si>
  <si>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</si>
  <si>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</si>
  <si>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</si>
  <si>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</si>
  <si>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</si>
  <si>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</si>
  <si>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</si>
  <si>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</si>
  <si>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</si>
  <si>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</si>
  <si>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</si>
  <si>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</si>
  <si>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</si>
  <si>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</si>
  <si>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</si>
  <si>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</si>
  <si>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</si>
  <si>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</si>
  <si>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</si>
  <si>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</si>
  <si>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</si>
  <si>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</si>
  <si>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</si>
  <si>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</si>
  <si>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</si>
  <si>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</si>
  <si>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</si>
  <si>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</si>
  <si>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</si>
  <si>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</si>
  <si>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</si>
  <si>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</si>
  <si>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</si>
  <si>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</si>
  <si>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</si>
  <si>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</si>
  <si>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</si>
  <si>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</si>
  <si>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</si>
  <si>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</si>
  <si>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</si>
  <si>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</si>
  <si>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</si>
  <si>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</si>
  <si>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</si>
  <si>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</si>
  <si>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</si>
  <si>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</si>
  <si>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</si>
  <si>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</si>
  <si>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</si>
  <si>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</si>
  <si>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</si>
  <si>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</si>
  <si>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</si>
  <si>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</si>
  <si>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</si>
  <si>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</si>
  <si>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</si>
  <si>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</si>
  <si>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</si>
  <si>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</si>
  <si>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</si>
  <si>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</si>
  <si>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</si>
  <si>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</si>
  <si>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</si>
  <si>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</si>
  <si>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</si>
  <si>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</si>
  <si>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</si>
  <si>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</si>
  <si>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</si>
  <si>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</si>
  <si>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</si>
  <si>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</si>
  <si>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</si>
  <si>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</si>
  <si>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</si>
  <si>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</si>
  <si>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</si>
  <si>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</si>
  <si>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</si>
  <si>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</si>
  <si>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</si>
  <si>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</si>
  <si>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</si>
  <si>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</si>
  <si>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</si>
  <si>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</si>
  <si>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</si>
  <si>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</si>
  <si>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</si>
  <si>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</si>
  <si>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</si>
  <si>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</si>
  <si>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</si>
  <si>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</si>
  <si>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</si>
  <si>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</si>
  <si>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</si>
  <si>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</si>
  <si>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</si>
  <si>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</si>
  <si>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</si>
  <si>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</si>
  <si>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</si>
  <si>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</si>
  <si>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</si>
  <si>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</si>
  <si>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</si>
  <si>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</si>
  <si>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</si>
  <si>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</si>
  <si>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</si>
  <si>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</si>
  <si>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</si>
  <si>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</si>
  <si>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</si>
  <si>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</si>
  <si>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</si>
  <si>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</si>
  <si>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</si>
  <si>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</si>
  <si>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</si>
  <si>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</si>
  <si>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</si>
  <si>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</si>
  <si>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</si>
  <si>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</si>
  <si>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</si>
  <si>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</si>
  <si>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</si>
  <si>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</si>
  <si>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</si>
  <si>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</si>
  <si>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</si>
  <si>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</si>
  <si>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</si>
  <si>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</si>
  <si>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</si>
  <si>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</si>
  <si>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</si>
  <si>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</si>
  <si>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</si>
  <si>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</si>
  <si>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</si>
  <si>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</si>
  <si>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</si>
  <si>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</si>
  <si>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</si>
  <si>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</si>
  <si>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</si>
  <si>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</si>
  <si>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</si>
  <si>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</si>
  <si>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</si>
  <si>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</si>
  <si>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</si>
  <si>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</si>
  <si>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</si>
  <si>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</si>
  <si>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</si>
  <si>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</si>
  <si>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</si>
  <si>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</si>
  <si>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</si>
  <si>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</si>
  <si>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</si>
  <si>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</si>
  <si>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</si>
  <si>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</si>
  <si>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</si>
  <si>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</si>
  <si>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</si>
  <si>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</si>
  <si>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</si>
  <si>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</si>
  <si>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</si>
  <si>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</si>
  <si>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</si>
  <si>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</si>
  <si>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</si>
  <si>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</si>
  <si>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</si>
  <si>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</si>
  <si>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</si>
  <si>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</si>
  <si>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</si>
  <si>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</si>
  <si>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</si>
  <si>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</si>
  <si>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</si>
  <si>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</si>
  <si>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</si>
  <si>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</si>
  <si>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</si>
  <si>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</si>
  <si>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</si>
  <si>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</si>
  <si>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</si>
  <si>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</si>
  <si>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</si>
  <si>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</si>
  <si>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</si>
  <si>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</si>
  <si>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</si>
  <si>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</si>
  <si>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</si>
  <si>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</si>
  <si>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</si>
  <si>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</si>
  <si>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</si>
  <si>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</si>
  <si>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</si>
  <si>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</si>
  <si>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</si>
  <si>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</si>
  <si>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</si>
  <si>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</si>
  <si>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</si>
  <si>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</si>
  <si>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</si>
  <si>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</si>
  <si>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</si>
  <si>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</si>
  <si>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</si>
  <si>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</si>
  <si>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</si>
  <si>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</si>
  <si>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</si>
  <si>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</si>
  <si>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</si>
  <si>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</si>
  <si>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</si>
  <si>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</si>
  <si>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</si>
  <si>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</si>
  <si>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</si>
  <si>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</si>
  <si>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</si>
  <si>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</si>
  <si>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</si>
  <si>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</si>
  <si>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</si>
  <si>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</si>
  <si>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</si>
  <si>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</si>
  <si>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</si>
  <si>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</si>
  <si>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</si>
  <si>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</si>
  <si>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</si>
  <si>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</si>
  <si>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</si>
  <si>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</si>
  <si>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</si>
  <si>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</si>
  <si>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</si>
  <si>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</si>
  <si>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</si>
  <si>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</si>
  <si>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</si>
  <si>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</si>
  <si>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</si>
  <si>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</si>
  <si>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</si>
  <si>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</si>
  <si>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</si>
  <si>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</si>
  <si>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</si>
  <si>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</si>
  <si>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</si>
  <si>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</si>
  <si>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</si>
  <si>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</si>
  <si>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</si>
  <si>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</si>
  <si>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</si>
  <si>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</si>
  <si>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</si>
  <si>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</si>
  <si>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</si>
  <si>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</si>
  <si>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</si>
  <si>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</si>
  <si>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</si>
  <si>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</si>
  <si>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</si>
  <si>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</si>
  <si>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</si>
  <si>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</si>
  <si>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</si>
  <si>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</si>
  <si>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</si>
  <si>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</si>
  <si>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</si>
  <si>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</si>
  <si>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</si>
  <si>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</si>
  <si>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</si>
  <si>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</si>
  <si>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</si>
  <si>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</si>
  <si>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</si>
  <si>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</si>
  <si>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</si>
  <si>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</si>
  <si>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</si>
  <si>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</si>
  <si>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</si>
  <si>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</si>
  <si>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</si>
  <si>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</si>
  <si>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</si>
  <si>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</si>
  <si>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</si>
  <si>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</si>
  <si>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</si>
  <si>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</si>
  <si>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</si>
  <si>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</si>
  <si>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</si>
  <si>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</si>
  <si>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</si>
  <si>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</si>
  <si>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</si>
  <si>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</si>
  <si>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</si>
  <si>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</si>
  <si>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</si>
  <si>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</si>
  <si>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</si>
  <si>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</si>
  <si>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</si>
  <si>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</si>
  <si>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</si>
  <si>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</si>
  <si>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</si>
  <si>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</si>
  <si>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</si>
  <si>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</si>
  <si>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</si>
  <si>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</si>
  <si>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</si>
  <si>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</si>
  <si>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</si>
  <si>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</si>
  <si>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</si>
  <si>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</si>
  <si>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</si>
  <si>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</si>
  <si>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</si>
  <si>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</si>
  <si>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</si>
  <si>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</si>
  <si>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</si>
  <si>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</si>
  <si>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</si>
  <si>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</si>
  <si>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</si>
  <si>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</si>
  <si>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</si>
  <si>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</si>
  <si>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</si>
  <si>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</si>
  <si>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</si>
  <si>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</si>
  <si>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</si>
  <si>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</si>
  <si>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</si>
  <si>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</si>
  <si>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</si>
  <si>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</si>
  <si>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</si>
  <si>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</si>
  <si>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</si>
  <si>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</si>
  <si>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</si>
  <si>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</si>
  <si>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</si>
  <si>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</si>
  <si>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</si>
  <si>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</si>
  <si>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</si>
  <si>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</si>
  <si>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</si>
  <si>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</si>
  <si>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</si>
  <si>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</si>
  <si>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</si>
  <si>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</si>
  <si>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</si>
  <si>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</si>
  <si>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</si>
  <si>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</si>
  <si>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</si>
  <si>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</si>
  <si>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</si>
  <si>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</si>
  <si>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</si>
  <si>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</si>
  <si>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</si>
  <si>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</si>
  <si>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</si>
  <si>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</si>
  <si>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</si>
  <si>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</si>
  <si>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</si>
  <si>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</si>
  <si>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</si>
  <si>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</si>
  <si>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</si>
  <si>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</si>
  <si>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</si>
  <si>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</si>
  <si>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</si>
  <si>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</si>
  <si>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</si>
  <si>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</si>
  <si>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</si>
  <si>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</si>
  <si>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</si>
  <si>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</si>
  <si>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</si>
  <si>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</si>
  <si>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</si>
  <si>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</si>
  <si>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</si>
  <si>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</si>
  <si>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</si>
  <si>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</si>
  <si>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</si>
  <si>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</si>
  <si>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</si>
  <si>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</si>
  <si>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</si>
  <si>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</si>
  <si>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</si>
  <si>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</si>
  <si>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</si>
  <si>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</si>
  <si>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</si>
  <si>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</si>
  <si>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</si>
  <si>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</si>
  <si>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</si>
  <si>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</si>
  <si>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</si>
  <si>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</si>
  <si>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</si>
  <si>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</si>
  <si>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</si>
  <si>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</si>
  <si>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</si>
  <si>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</si>
  <si>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</si>
  <si>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</si>
  <si>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</si>
  <si>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</si>
  <si>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</si>
  <si>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</si>
  <si>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</si>
  <si>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</si>
  <si>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</si>
  <si>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</si>
  <si>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</si>
  <si>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</si>
  <si>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</si>
  <si>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</si>
  <si>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</si>
  <si>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</si>
  <si>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</si>
  <si>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</si>
  <si>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</si>
  <si>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</si>
  <si>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</si>
  <si>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</si>
  <si>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</si>
  <si>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</si>
  <si>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</si>
  <si>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</si>
  <si>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</si>
  <si>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</si>
  <si>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</si>
  <si>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</si>
  <si>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</si>
  <si>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</si>
  <si>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</si>
  <si>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</si>
  <si>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</si>
  <si>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</si>
  <si>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</si>
  <si>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</si>
  <si>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</si>
  <si>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</si>
  <si>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</si>
  <si>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</si>
  <si>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</si>
  <si>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</si>
  <si>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</si>
  <si>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</si>
  <si>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</si>
  <si>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</si>
  <si>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</si>
  <si>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</si>
  <si>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</si>
  <si>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</si>
  <si>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</si>
  <si>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</si>
  <si>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</si>
  <si>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</si>
  <si>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</si>
  <si>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</si>
  <si>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</si>
  <si>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</si>
  <si>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</si>
  <si>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</si>
  <si>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</si>
  <si>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</si>
  <si>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</si>
  <si>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</si>
  <si>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</si>
  <si>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</si>
  <si>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</si>
  <si>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</si>
  <si>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</si>
  <si>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</si>
  <si>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</si>
  <si>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</si>
  <si>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</si>
  <si>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</si>
  <si>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</si>
  <si>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</si>
  <si>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</si>
  <si>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</si>
  <si>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</si>
  <si>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</si>
  <si>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</si>
  <si>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</si>
  <si>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</si>
  <si>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</si>
  <si>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</si>
  <si>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</si>
  <si>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</si>
  <si>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</si>
  <si>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</si>
  <si>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</si>
  <si>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</si>
  <si>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</si>
  <si>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</si>
  <si>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</si>
  <si>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</si>
  <si>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</si>
  <si>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</si>
  <si>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</si>
  <si>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</si>
  <si>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</si>
  <si>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</si>
  <si>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</si>
  <si>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</si>
  <si>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</si>
  <si>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</si>
  <si>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</si>
  <si>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</si>
  <si>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</si>
  <si>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</si>
  <si>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</si>
  <si>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</si>
  <si>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</si>
  <si>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</si>
  <si>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</si>
  <si>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</si>
  <si>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</si>
  <si>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</si>
  <si>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</si>
  <si>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</si>
  <si>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</si>
  <si>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</si>
  <si>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</si>
  <si>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</si>
  <si>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</si>
  <si>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</si>
  <si>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</si>
  <si>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</si>
  <si>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</si>
  <si>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</si>
  <si>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</si>
  <si>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</si>
  <si>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</si>
  <si>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</si>
  <si>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</si>
  <si>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</si>
  <si>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</si>
  <si>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</si>
  <si>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</si>
  <si>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</si>
  <si>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</si>
  <si>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</si>
  <si>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</si>
  <si>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</si>
  <si>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</si>
  <si>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</si>
  <si>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</si>
  <si>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</si>
  <si>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</si>
  <si>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</si>
  <si>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</si>
  <si>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</si>
  <si>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</si>
  <si>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</si>
  <si>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</si>
  <si>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</si>
  <si>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</si>
  <si>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</si>
  <si>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</si>
  <si>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</si>
  <si>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</si>
  <si>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</si>
  <si>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</si>
  <si>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</si>
  <si>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</si>
  <si>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</si>
  <si>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</si>
  <si>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</si>
  <si>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</si>
  <si>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</si>
  <si>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</si>
  <si>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</si>
  <si>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</si>
  <si>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</si>
  <si>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</si>
  <si>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</si>
  <si>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</si>
  <si>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</si>
  <si>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</si>
  <si>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</si>
  <si>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</si>
  <si>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</si>
  <si>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</si>
  <si>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</si>
  <si>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</si>
  <si>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</si>
  <si>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</si>
  <si>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</si>
  <si>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</si>
  <si>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</si>
  <si>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</si>
  <si>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</si>
  <si>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</si>
  <si>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</si>
  <si>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</si>
  <si>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</si>
  <si>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</si>
  <si>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</si>
  <si>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</si>
  <si>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</si>
  <si>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</si>
  <si>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</si>
  <si>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</si>
  <si>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</si>
  <si>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</si>
  <si>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</si>
  <si>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</si>
  <si>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</si>
  <si>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</si>
  <si>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</si>
  <si>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</si>
  <si>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</si>
  <si>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</si>
  <si>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</si>
  <si>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</si>
  <si>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</si>
  <si>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</si>
  <si>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</si>
  <si>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</si>
  <si>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</si>
  <si>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</si>
  <si>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</si>
  <si>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</si>
  <si>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</si>
  <si>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</si>
  <si>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</si>
  <si>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</si>
  <si>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</si>
  <si>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</si>
  <si>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</si>
  <si>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</si>
  <si>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</si>
  <si>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</si>
  <si>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</si>
  <si>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</si>
  <si>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</si>
  <si>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</si>
  <si>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</si>
  <si>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</si>
  <si>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</si>
  <si>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</si>
  <si>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</si>
  <si>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</si>
  <si>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</si>
  <si>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</si>
  <si>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</si>
  <si>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</si>
  <si>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</si>
  <si>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</si>
  <si>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</si>
  <si>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</si>
  <si>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</si>
  <si>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</si>
  <si>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</si>
  <si>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</si>
  <si>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</si>
  <si>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</si>
  <si>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</si>
  <si>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</si>
  <si>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</si>
  <si>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</si>
  <si>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</si>
  <si>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</si>
  <si>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</si>
  <si>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</si>
  <si>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</si>
  <si>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</si>
  <si>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</si>
  <si>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</si>
  <si>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</si>
  <si>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</si>
  <si>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</si>
  <si>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</si>
  <si>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</si>
  <si>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</si>
  <si>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</si>
  <si>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</si>
  <si>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</si>
  <si>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</si>
  <si>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</si>
  <si>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</si>
  <si>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</si>
  <si>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</si>
  <si>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</si>
  <si>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</si>
  <si>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</si>
  <si>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</si>
  <si>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</si>
  <si>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</si>
  <si>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</si>
  <si>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</si>
  <si>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</si>
  <si>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</si>
  <si>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</si>
  <si>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</si>
  <si>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</si>
  <si>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</si>
  <si>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</si>
  <si>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</si>
  <si>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</si>
  <si>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</si>
  <si>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</si>
  <si>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</si>
  <si>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</si>
  <si>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</si>
  <si>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</si>
  <si>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</si>
  <si>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</si>
  <si>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</si>
  <si>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</si>
  <si>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</si>
  <si>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</si>
  <si>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</si>
  <si>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</si>
  <si>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</si>
  <si>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</si>
  <si>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</si>
  <si>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</si>
  <si>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</si>
  <si>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</si>
  <si>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</si>
  <si>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</si>
  <si>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</si>
  <si>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</si>
  <si>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</si>
  <si>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</si>
  <si>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</si>
  <si>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</si>
  <si>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</si>
  <si>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</si>
  <si>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</si>
  <si>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</si>
  <si>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</si>
  <si>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</si>
  <si>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</si>
  <si>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</si>
  <si>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</si>
  <si>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</si>
  <si>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</si>
  <si>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</si>
  <si>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</si>
  <si>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</si>
  <si>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</si>
  <si>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</si>
  <si>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</si>
  <si>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</si>
  <si>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</si>
  <si>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</si>
  <si>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</si>
  <si>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</si>
  <si>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</si>
  <si>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</si>
  <si>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</si>
  <si>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</si>
  <si>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</si>
  <si>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</si>
  <si>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</si>
  <si>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</si>
  <si>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</si>
  <si>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</si>
  <si>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</si>
  <si>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</si>
  <si>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</si>
  <si>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</si>
  <si>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</si>
  <si>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</si>
  <si>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</si>
  <si>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</si>
  <si>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</si>
  <si>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</si>
  <si>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</si>
  <si>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</si>
  <si>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</si>
  <si>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</si>
  <si>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</si>
  <si>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</si>
  <si>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</si>
  <si>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</si>
  <si>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</si>
  <si>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</si>
  <si>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</si>
  <si>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</si>
  <si>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</si>
  <si>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</si>
  <si>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</si>
  <si>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</si>
  <si>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</si>
  <si>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</si>
  <si>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</si>
  <si>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</si>
  <si>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</si>
  <si>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</si>
  <si>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</si>
  <si>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</si>
  <si>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</si>
  <si>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</si>
  <si>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</si>
  <si>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</si>
  <si>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</si>
  <si>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</si>
  <si>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</si>
  <si>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</si>
  <si>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</si>
  <si>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</si>
  <si>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</si>
  <si>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</si>
  <si>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</si>
  <si>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</si>
  <si>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</si>
  <si>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</si>
  <si>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</si>
  <si>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</si>
  <si>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</si>
  <si>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</si>
  <si>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</si>
  <si>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</si>
  <si>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</si>
  <si>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</si>
  <si>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</si>
  <si>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</si>
  <si>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</si>
  <si>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</si>
  <si>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</si>
  <si>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</si>
  <si>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</si>
  <si>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</si>
  <si>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</si>
  <si>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</si>
  <si>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</si>
  <si>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</si>
  <si>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</si>
  <si>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</si>
  <si>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</si>
  <si>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</si>
  <si>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</si>
  <si>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</si>
  <si>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</si>
  <si>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</si>
  <si>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</si>
  <si>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</si>
  <si>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</si>
  <si>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</si>
  <si>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</si>
  <si>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</si>
  <si>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</si>
  <si>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</si>
  <si>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</si>
  <si>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</si>
  <si>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</si>
  <si>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</si>
  <si>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</si>
  <si>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</si>
  <si>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</si>
  <si>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</si>
  <si>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</si>
  <si>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</si>
  <si>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</si>
  <si>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</si>
  <si>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</si>
  <si>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</si>
  <si>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</si>
  <si>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</si>
  <si>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</si>
  <si>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</si>
  <si>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</si>
  <si>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</si>
  <si>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</si>
  <si>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</si>
  <si>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</si>
  <si>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</si>
  <si>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</si>
  <si>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</si>
  <si>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</si>
  <si>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</si>
  <si>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</si>
  <si>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</si>
  <si>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</si>
  <si>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</si>
  <si>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</si>
  <si>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</si>
  <si>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</si>
  <si>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</si>
  <si>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</si>
  <si>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</si>
  <si>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</si>
  <si>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</si>
  <si>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</si>
  <si>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</si>
  <si>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</si>
  <si>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</si>
  <si>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</si>
  <si>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</si>
  <si>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</si>
  <si>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</si>
  <si>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</si>
  <si>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</si>
  <si>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</si>
  <si>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</si>
  <si>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</si>
  <si>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</si>
  <si>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</si>
  <si>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</si>
  <si>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</si>
  <si>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</si>
  <si>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</si>
  <si>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</si>
  <si>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</si>
  <si>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</si>
  <si>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</si>
  <si>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</si>
  <si>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</si>
  <si>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</si>
  <si>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</si>
  <si>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</si>
  <si>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</si>
  <si>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</si>
  <si>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</si>
  <si>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</si>
  <si>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</si>
  <si>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</si>
  <si>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</si>
  <si>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</si>
  <si>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</si>
  <si>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</si>
  <si>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</si>
  <si>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</si>
  <si>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</si>
  <si>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</si>
  <si>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</si>
  <si>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</si>
  <si>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</si>
  <si>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</si>
  <si>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</si>
  <si>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</si>
  <si>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</si>
  <si>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</si>
  <si>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</si>
  <si>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</si>
  <si>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</si>
  <si>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</si>
  <si>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</si>
  <si>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</si>
  <si>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</si>
  <si>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</si>
  <si>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</si>
  <si>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</si>
  <si>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</si>
  <si>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</si>
  <si>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</si>
  <si>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</si>
  <si>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</si>
  <si>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</si>
  <si>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</si>
  <si>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</si>
  <si>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</si>
  <si>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</si>
  <si>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</si>
  <si>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</si>
  <si>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</si>
  <si>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</si>
  <si>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</si>
  <si>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</si>
  <si>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</si>
  <si>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</si>
  <si>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</si>
  <si>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</si>
  <si>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</si>
  <si>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</si>
  <si>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</si>
  <si>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</si>
  <si>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</si>
  <si>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</si>
  <si>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</si>
  <si>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</si>
  <si>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</si>
  <si>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</si>
  <si>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</si>
  <si>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</si>
  <si>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</si>
  <si>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</si>
  <si>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</si>
  <si>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</si>
  <si>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</si>
  <si>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</si>
  <si>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</si>
  <si>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</si>
  <si>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</si>
  <si>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</si>
  <si>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</si>
  <si>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</si>
  <si>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</si>
  <si>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</si>
  <si>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</si>
  <si>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</si>
  <si>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</si>
  <si>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</si>
  <si>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</si>
  <si>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</si>
  <si>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</si>
  <si>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</si>
  <si>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</si>
  <si>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</si>
  <si>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</si>
  <si>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</si>
  <si>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</si>
  <si>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</si>
  <si>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</si>
  <si>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</si>
  <si>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</si>
  <si>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</si>
  <si>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</si>
  <si>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</si>
  <si>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</si>
  <si>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</si>
  <si>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</si>
  <si>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</si>
  <si>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</si>
  <si>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</si>
  <si>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</si>
  <si>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</si>
  <si>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</si>
  <si>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</si>
  <si>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</si>
  <si>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</si>
  <si>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</si>
  <si>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</si>
  <si>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</si>
  <si>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</si>
  <si>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</si>
  <si>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</si>
  <si>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</si>
  <si>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</si>
  <si>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</si>
  <si>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</si>
  <si>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</si>
  <si>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</si>
  <si>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</si>
  <si>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</si>
  <si>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</si>
  <si>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</si>
  <si>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</si>
  <si>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</si>
  <si>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</si>
  <si>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</si>
  <si>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</si>
  <si>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</si>
  <si>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</si>
  <si>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</si>
  <si>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</si>
  <si>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</si>
  <si>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</si>
  <si>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</si>
  <si>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</si>
  <si>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</si>
  <si>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</si>
  <si>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</si>
  <si>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</si>
  <si>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</si>
  <si>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</si>
  <si>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</si>
  <si>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</si>
  <si>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</si>
  <si>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</si>
  <si>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</si>
  <si>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</si>
  <si>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</si>
  <si>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</si>
  <si>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</si>
  <si>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</si>
  <si>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</si>
  <si>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</si>
  <si>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</si>
  <si>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</si>
  <si>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</si>
  <si>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</si>
  <si>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</si>
  <si>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</si>
  <si>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</si>
  <si>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</si>
  <si>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</si>
  <si>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</si>
  <si>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</si>
  <si>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</si>
  <si>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</si>
  <si>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</si>
  <si>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</si>
  <si>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</si>
  <si>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</si>
  <si>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</si>
  <si>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</si>
  <si>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</si>
  <si>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</si>
  <si>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</si>
  <si>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</si>
  <si>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</si>
  <si>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</si>
  <si>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</si>
  <si>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</si>
  <si>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</si>
  <si>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</si>
  <si>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</si>
  <si>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</si>
  <si>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</si>
  <si>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</si>
  <si>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</si>
  <si>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</si>
  <si>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</si>
  <si>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</si>
  <si>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</si>
  <si>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</si>
  <si>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</si>
  <si>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</si>
  <si>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</si>
  <si>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</si>
  <si>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</si>
  <si>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</si>
  <si>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</si>
  <si>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</si>
  <si>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</si>
  <si>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</si>
  <si>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</si>
  <si>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</si>
  <si>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</si>
  <si>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</si>
  <si>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</si>
  <si>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</si>
  <si>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</si>
  <si>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</si>
  <si>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</si>
  <si>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</si>
  <si>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</si>
  <si>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</si>
  <si>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</si>
  <si>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</si>
  <si>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</si>
  <si>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</si>
  <si>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</si>
  <si>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</si>
  <si>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</si>
  <si>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</si>
  <si>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</si>
  <si>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</si>
  <si>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</si>
  <si>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</si>
  <si>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</si>
  <si>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</si>
  <si>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</si>
  <si>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</si>
  <si>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</si>
  <si>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</si>
  <si>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</si>
  <si>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</si>
  <si>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</si>
  <si>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</si>
  <si>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</si>
  <si>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</si>
  <si>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</si>
  <si>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</si>
  <si>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</si>
  <si>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</si>
  <si>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</si>
  <si>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</si>
  <si>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</si>
  <si>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</si>
  <si>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</si>
  <si>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</si>
  <si>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</si>
  <si>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</si>
  <si>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</si>
  <si>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</si>
  <si>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</si>
  <si>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</si>
  <si>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</si>
  <si>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</si>
  <si>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</si>
  <si>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</si>
  <si>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</si>
  <si>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</si>
  <si>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</si>
  <si>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</si>
  <si>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</si>
  <si>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</si>
  <si>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</si>
  <si>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</si>
  <si>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</si>
  <si>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</si>
  <si>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</si>
  <si>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</si>
  <si>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</si>
  <si>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</si>
  <si>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</si>
  <si>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</si>
  <si>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</si>
  <si>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</si>
  <si>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</si>
  <si>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</si>
  <si>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</si>
  <si>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</si>
  <si>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</si>
  <si>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</si>
  <si>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</si>
  <si>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</si>
  <si>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</si>
  <si>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</si>
  <si>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</si>
  <si>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</si>
  <si>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</si>
  <si>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</si>
  <si>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</si>
  <si>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</si>
  <si>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</si>
  <si>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</si>
  <si>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</si>
  <si>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</si>
  <si>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</si>
  <si>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</si>
  <si>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</si>
  <si>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</si>
  <si>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</si>
  <si>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</si>
  <si>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</si>
  <si>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</si>
  <si>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</si>
  <si>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</si>
  <si>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</si>
  <si>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</si>
  <si>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</si>
  <si>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</si>
  <si>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</si>
  <si>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</si>
  <si>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</si>
  <si>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</si>
  <si>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</si>
  <si>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</si>
  <si>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</si>
  <si>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</si>
  <si>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</si>
  <si>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</si>
  <si>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</si>
  <si>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</si>
  <si>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</si>
  <si>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</si>
  <si>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</si>
  <si>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</si>
  <si>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</si>
  <si>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</si>
  <si>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</si>
  <si>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</si>
  <si>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</si>
  <si>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</si>
  <si>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</si>
  <si>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</si>
  <si>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</si>
  <si>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</si>
  <si>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</si>
  <si>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</si>
  <si>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</si>
  <si>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</si>
  <si>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</si>
  <si>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</si>
  <si>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</si>
  <si>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</si>
  <si>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</si>
  <si>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</si>
  <si>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</si>
  <si>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</si>
  <si>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</si>
  <si>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</si>
  <si>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</si>
  <si>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</si>
  <si>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</si>
  <si>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</si>
  <si>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</si>
  <si>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</si>
  <si>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</si>
  <si>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</si>
  <si>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</si>
  <si>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</si>
  <si>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</si>
  <si>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</si>
  <si>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</si>
  <si>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</si>
  <si>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</si>
  <si>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</si>
  <si>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</si>
  <si>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</si>
  <si>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</si>
  <si>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</si>
  <si>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</si>
  <si>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</si>
  <si>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</si>
  <si>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</si>
  <si>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</si>
  <si>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</si>
  <si>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</si>
  <si>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</si>
  <si>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</si>
  <si>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</si>
  <si>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</si>
  <si>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</si>
  <si>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</si>
  <si>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</si>
  <si>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</si>
  <si>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</si>
  <si>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</si>
  <si>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</si>
  <si>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</si>
  <si>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</si>
  <si>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</si>
  <si>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</si>
  <si>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</si>
  <si>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</si>
  <si>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</si>
  <si>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</si>
  <si>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</si>
  <si>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</si>
  <si>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</si>
  <si>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</si>
  <si>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</si>
  <si>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</si>
  <si>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</si>
  <si>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</si>
  <si>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</si>
  <si>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</si>
  <si>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</si>
  <si>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</si>
  <si>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</si>
  <si>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</si>
  <si>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</si>
  <si>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</si>
  <si>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</si>
  <si>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</si>
  <si>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</si>
  <si>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</si>
  <si>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</si>
  <si>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</si>
  <si>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</si>
  <si>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</si>
  <si>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</si>
  <si>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</si>
  <si>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</si>
  <si>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</si>
  <si>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</si>
  <si>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</si>
  <si>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</si>
  <si>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</si>
  <si>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</si>
  <si>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</si>
  <si>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</si>
  <si>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</si>
  <si>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</si>
  <si>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</si>
  <si>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</si>
  <si>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</si>
  <si>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</si>
  <si>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</si>
  <si>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</si>
  <si>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</si>
  <si>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</si>
  <si>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</si>
  <si>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</si>
  <si>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</si>
  <si>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</si>
  <si>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</si>
  <si>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</si>
  <si>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</si>
  <si>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</si>
  <si>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</si>
  <si>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</si>
  <si>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</si>
  <si>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</si>
  <si>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</si>
  <si>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</si>
  <si>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</si>
  <si>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</si>
  <si>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</si>
  <si>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</si>
  <si>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</si>
  <si>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</si>
  <si>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</si>
  <si>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</si>
  <si>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</si>
  <si>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</si>
  <si>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</si>
  <si>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</si>
  <si>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</si>
  <si>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</si>
  <si>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</si>
  <si>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</si>
  <si>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</si>
  <si>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</si>
  <si>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</si>
  <si>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</si>
  <si>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</si>
  <si>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</si>
  <si>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</si>
  <si>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</si>
  <si>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</si>
  <si>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</si>
  <si>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</si>
  <si>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</si>
  <si>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</si>
  <si>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</si>
  <si>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</si>
  <si>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</si>
  <si>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</si>
  <si>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</si>
  <si>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</si>
  <si>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</si>
  <si>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</si>
  <si>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</si>
  <si>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</si>
  <si>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</si>
  <si>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</si>
  <si>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</si>
  <si>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</si>
  <si>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</si>
  <si>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</si>
  <si>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</si>
  <si>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</si>
  <si>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</si>
  <si>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</si>
  <si>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</si>
  <si>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</si>
  <si>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</si>
  <si>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</si>
  <si>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</si>
  <si>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</si>
  <si>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</si>
  <si>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</si>
  <si>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</si>
  <si>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</si>
  <si>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</si>
  <si>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</si>
  <si>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</si>
  <si>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</si>
  <si>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</si>
  <si>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</si>
  <si>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</si>
  <si>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</si>
  <si>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</si>
  <si>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</si>
  <si>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</si>
  <si>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</si>
  <si>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</si>
  <si>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</si>
  <si>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</si>
  <si>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</si>
  <si>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</si>
  <si>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</si>
  <si>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</si>
  <si>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</si>
  <si>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</si>
  <si>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</si>
  <si>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</si>
  <si>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</si>
  <si>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</si>
  <si>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</si>
  <si>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</si>
  <si>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</si>
  <si>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</si>
  <si>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</si>
  <si>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</si>
  <si>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</si>
  <si>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</si>
  <si>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</si>
  <si>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</si>
  <si>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</si>
  <si>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</si>
  <si>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</si>
  <si>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</si>
  <si>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</si>
  <si>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</si>
  <si>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</si>
  <si>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</si>
  <si>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</si>
  <si>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</si>
  <si>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</si>
  <si>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</si>
  <si>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</si>
  <si>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</si>
  <si>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</si>
  <si>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</si>
  <si>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</si>
  <si>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</si>
  <si>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</si>
  <si>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</si>
  <si>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</si>
  <si>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</si>
  <si>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</si>
  <si>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</si>
  <si>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</si>
  <si>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</si>
  <si>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</si>
  <si>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</si>
  <si>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</si>
  <si>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</si>
  <si>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</si>
  <si>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</si>
  <si>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</si>
  <si>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</si>
  <si>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</si>
  <si>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</si>
  <si>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</si>
  <si>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</si>
  <si>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</si>
  <si>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</si>
  <si>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</si>
  <si>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</si>
  <si>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</si>
  <si>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</si>
  <si>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</si>
  <si>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</si>
  <si>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</si>
  <si>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</si>
  <si>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</si>
  <si>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</si>
  <si>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</si>
  <si>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</si>
  <si>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</si>
  <si>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</si>
  <si>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</si>
  <si>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</si>
  <si>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</si>
  <si>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</si>
  <si>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</si>
  <si>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</si>
  <si>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</si>
  <si>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</si>
  <si>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</si>
  <si>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</si>
  <si>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</si>
  <si>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</si>
  <si>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</si>
  <si>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</si>
  <si>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</si>
  <si>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</si>
  <si>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</si>
  <si>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</si>
  <si>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</si>
  <si>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</si>
  <si>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</si>
  <si>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</si>
  <si>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</si>
  <si>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</si>
  <si>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</si>
  <si>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</si>
  <si>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</si>
  <si>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</si>
  <si>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</si>
  <si>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</si>
  <si>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</si>
  <si>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</si>
  <si>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</si>
  <si>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</si>
  <si>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</si>
  <si>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</si>
  <si>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</si>
  <si>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</si>
  <si>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</si>
  <si>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</si>
  <si>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</si>
  <si>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</si>
  <si>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</si>
  <si>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</si>
  <si>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</si>
  <si>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</si>
  <si>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</si>
  <si>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</si>
  <si>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</si>
  <si>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</si>
  <si>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</si>
  <si>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</si>
  <si>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</si>
  <si>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</si>
  <si>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</si>
  <si>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</si>
  <si>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</si>
  <si>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</si>
  <si>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</si>
  <si>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</si>
  <si>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</si>
  <si>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</si>
  <si>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</si>
  <si>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</si>
  <si>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</si>
  <si>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</si>
  <si>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</si>
  <si>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</si>
  <si>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</si>
  <si>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</si>
  <si>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</si>
  <si>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</si>
  <si>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</si>
  <si>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</si>
  <si>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</si>
  <si>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</si>
  <si>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</si>
  <si>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</si>
  <si>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</si>
  <si>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</si>
  <si>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</si>
  <si>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</si>
  <si>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</si>
  <si>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</si>
  <si>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</si>
  <si>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</si>
  <si>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</si>
  <si>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</si>
  <si>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</si>
  <si>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</si>
  <si>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</si>
  <si>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</si>
  <si>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</si>
  <si>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</si>
  <si>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</si>
  <si>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</si>
  <si>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</si>
  <si>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</si>
  <si>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</si>
  <si>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</si>
  <si>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</si>
  <si>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</si>
  <si>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</si>
  <si>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</si>
  <si>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</si>
  <si>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</si>
  <si>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</si>
  <si>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</si>
  <si>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</si>
  <si>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</si>
  <si>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</si>
  <si>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</si>
  <si>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</si>
  <si>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</si>
  <si>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</si>
  <si>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</si>
  <si>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</si>
  <si>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</si>
  <si>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</si>
  <si>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</si>
  <si>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</si>
  <si>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</si>
  <si>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</si>
  <si>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</si>
  <si>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</si>
  <si>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</si>
  <si>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</si>
  <si>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</si>
  <si>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</si>
  <si>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</si>
  <si>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</si>
  <si>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</si>
  <si>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</si>
  <si>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</si>
  <si>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</si>
  <si>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</si>
  <si>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</si>
  <si>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</si>
  <si>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</si>
  <si>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</si>
  <si>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</si>
  <si>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</si>
  <si>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</si>
  <si>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</si>
  <si>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</si>
  <si>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</si>
  <si>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</si>
  <si>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</si>
  <si>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</si>
  <si>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</si>
  <si>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</si>
  <si>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</si>
  <si>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</si>
  <si>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</si>
  <si>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</si>
  <si>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</si>
  <si>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</si>
  <si>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</si>
  <si>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</si>
  <si>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</si>
  <si>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</si>
  <si>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</si>
  <si>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</si>
  <si>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</si>
  <si>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</si>
  <si>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</si>
  <si>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</si>
  <si>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</si>
  <si>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</si>
  <si>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</si>
  <si>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</si>
  <si>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</si>
  <si>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</si>
  <si>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</si>
  <si>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</si>
  <si>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</si>
  <si>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</si>
  <si>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</si>
  <si>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</si>
  <si>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</si>
  <si>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</si>
  <si>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</si>
  <si>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</si>
  <si>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</si>
  <si>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</si>
  <si>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</si>
  <si>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</si>
  <si>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</si>
  <si>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</si>
  <si>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</si>
  <si>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</si>
  <si>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</si>
  <si>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</si>
  <si>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</si>
  <si>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</si>
  <si>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</si>
  <si>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</si>
  <si>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</si>
  <si>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</si>
  <si>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</si>
  <si>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</si>
  <si>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</si>
  <si>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</si>
  <si>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</si>
  <si>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</si>
  <si>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</si>
  <si>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</si>
  <si>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</si>
  <si>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</si>
  <si>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</si>
  <si>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</si>
  <si>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</si>
  <si>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</si>
  <si>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</si>
  <si>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</si>
  <si>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</si>
  <si>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</si>
  <si>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</si>
  <si>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</si>
  <si>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</si>
  <si>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</si>
  <si>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</si>
  <si>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</si>
  <si>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</si>
  <si>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</si>
  <si>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</si>
  <si>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</si>
  <si>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</si>
  <si>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</si>
  <si>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</si>
  <si>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</si>
  <si>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</si>
  <si>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</si>
  <si>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</si>
  <si>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</si>
  <si>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</si>
  <si>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</si>
  <si>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</si>
  <si>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</si>
  <si>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</si>
  <si>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</si>
  <si>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</si>
  <si>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</si>
  <si>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</si>
  <si>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</si>
  <si>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</si>
  <si>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</si>
  <si>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</si>
  <si>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</si>
  <si>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</si>
  <si>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</si>
  <si>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</si>
  <si>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</si>
  <si>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</si>
  <si>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</si>
  <si>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</si>
  <si>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</si>
  <si>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</si>
  <si>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</si>
  <si>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</si>
  <si>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</si>
  <si>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</si>
  <si>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</si>
  <si>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</si>
  <si>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</si>
  <si>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</si>
  <si>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</si>
  <si>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</si>
  <si>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</si>
  <si>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</si>
  <si>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</si>
  <si>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</si>
  <si>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</si>
  <si>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</si>
  <si>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</si>
  <si>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</si>
  <si>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</si>
  <si>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</si>
  <si>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</si>
  <si>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</si>
  <si>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</si>
  <si>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</si>
  <si>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</si>
  <si>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</si>
  <si>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</si>
  <si>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</si>
  <si>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</si>
  <si>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</si>
  <si>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</si>
  <si>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</si>
  <si>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</si>
  <si>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</si>
  <si>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</si>
  <si>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</si>
  <si>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</si>
  <si>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</si>
  <si>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</si>
  <si>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</si>
  <si>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</si>
  <si>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</si>
  <si>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</si>
  <si>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</si>
  <si>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</si>
  <si>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</si>
  <si>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</si>
  <si>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</si>
  <si>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</si>
  <si>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</si>
  <si>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</si>
  <si>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</si>
  <si>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</si>
  <si>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</si>
  <si>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</si>
  <si>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</si>
  <si>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</si>
  <si>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</si>
  <si>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</si>
  <si>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</si>
  <si>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</si>
  <si>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</si>
  <si>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</si>
  <si>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</si>
  <si>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</si>
  <si>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</si>
  <si>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</si>
  <si>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</si>
  <si>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</si>
  <si>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</si>
  <si>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</si>
  <si>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</si>
  <si>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</si>
  <si>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</si>
  <si>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</si>
  <si>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</si>
  <si>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</si>
  <si>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</si>
  <si>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</si>
  <si>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</si>
  <si>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</si>
  <si>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</si>
  <si>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</si>
  <si>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</si>
  <si>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</si>
  <si>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</si>
  <si>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</si>
  <si>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</si>
  <si>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</si>
  <si>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</si>
  <si>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</si>
  <si>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</si>
  <si>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</si>
  <si>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</si>
  <si>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</si>
  <si>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</si>
  <si>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</si>
  <si>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</si>
  <si>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</si>
  <si>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</si>
  <si>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</si>
  <si>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</si>
  <si>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</si>
  <si>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</si>
  <si>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</si>
  <si>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</si>
  <si>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</si>
  <si>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</si>
  <si>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</si>
  <si>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</si>
  <si>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</si>
  <si>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</si>
  <si>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</si>
  <si>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</si>
  <si>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</si>
  <si>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</si>
  <si>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</si>
  <si>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</si>
  <si>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</si>
  <si>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</si>
  <si>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</si>
  <si>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</si>
  <si>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</si>
  <si>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</si>
  <si>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</si>
  <si>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</si>
  <si>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</si>
  <si>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</si>
  <si>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</si>
  <si>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</si>
  <si>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</si>
  <si>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</si>
  <si>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</si>
  <si>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</si>
  <si>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</si>
  <si>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</si>
  <si>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</si>
  <si>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</si>
  <si>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</si>
  <si>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</si>
  <si>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</si>
  <si>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</si>
  <si>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</si>
  <si>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</si>
  <si>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</si>
  <si>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</si>
  <si>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</si>
  <si>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</si>
  <si>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</si>
  <si>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</si>
  <si>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</si>
  <si>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</si>
  <si>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</si>
  <si>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</si>
  <si>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</si>
  <si>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</si>
  <si>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</si>
  <si>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</si>
  <si>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</si>
  <si>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</si>
  <si>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</si>
  <si>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</si>
  <si>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</si>
  <si>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</si>
  <si>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</si>
  <si>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</si>
  <si>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</si>
  <si>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</si>
  <si>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</si>
  <si>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</si>
  <si>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</si>
  <si>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</si>
  <si>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</si>
  <si>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</si>
  <si>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</si>
  <si>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</si>
  <si>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</si>
  <si>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</si>
  <si>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</si>
  <si>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</si>
  <si>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</si>
  <si>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</si>
  <si>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</si>
  <si>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</si>
  <si>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</si>
  <si>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</si>
  <si>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</si>
  <si>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</si>
  <si>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</si>
  <si>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</si>
  <si>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</si>
  <si>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</si>
  <si>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</si>
  <si>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</si>
  <si>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</si>
  <si>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</si>
  <si>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</si>
  <si>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</si>
  <si>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</si>
  <si>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</si>
  <si>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</si>
  <si>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</si>
  <si>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</si>
  <si>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</si>
  <si>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</si>
  <si>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</si>
  <si>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</si>
  <si>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</si>
  <si>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</si>
  <si>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</si>
  <si>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</si>
  <si>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</si>
  <si>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</si>
  <si>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</si>
  <si>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</si>
  <si>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</si>
  <si>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</si>
  <si>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</si>
  <si>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</si>
  <si>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</si>
  <si>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</si>
  <si>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</si>
  <si>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</si>
  <si>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</si>
  <si>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</si>
  <si>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</si>
  <si>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</si>
  <si>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</si>
  <si>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</si>
  <si>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</si>
  <si>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</si>
  <si>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</si>
  <si>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</si>
  <si>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</si>
  <si>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</si>
  <si>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</si>
  <si>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</si>
  <si>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</si>
  <si>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</si>
  <si>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</si>
  <si>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</si>
  <si>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</si>
  <si>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</si>
  <si>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</si>
  <si>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</si>
  <si>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</si>
  <si>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</si>
  <si>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</si>
  <si>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</si>
  <si>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</si>
  <si>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</si>
  <si>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</si>
  <si>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</si>
  <si>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</si>
  <si>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</si>
  <si>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</si>
  <si>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</si>
  <si>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</si>
  <si>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</si>
  <si>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</si>
  <si>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</si>
  <si>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</si>
  <si>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</si>
  <si>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</si>
  <si>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</si>
  <si>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</si>
  <si>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</si>
  <si>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</si>
  <si>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</si>
  <si>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</si>
  <si>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</si>
  <si>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</si>
  <si>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</si>
  <si>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</si>
  <si>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</si>
  <si>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</si>
  <si>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</si>
  <si>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</si>
  <si>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</si>
  <si>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</si>
  <si>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</si>
  <si>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</si>
  <si>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</si>
  <si>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</si>
  <si>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</si>
  <si>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</si>
  <si>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</si>
  <si>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</si>
  <si>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</si>
  <si>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</si>
  <si>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</si>
  <si>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</si>
  <si>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</si>
  <si>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</si>
  <si>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</si>
  <si>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</si>
  <si>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</si>
  <si>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</si>
  <si>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</si>
  <si>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</si>
  <si>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</si>
  <si>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</si>
  <si>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</si>
  <si>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</si>
  <si>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</si>
  <si>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</si>
  <si>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</si>
  <si>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</si>
  <si>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</si>
  <si>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</si>
  <si>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</si>
  <si>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</si>
  <si>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</si>
  <si>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</si>
  <si>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</si>
  <si>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</si>
  <si>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</si>
  <si>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</si>
  <si>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</si>
  <si>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</si>
  <si>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</si>
  <si>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</si>
  <si>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</si>
  <si>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</si>
  <si>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</si>
  <si>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</si>
  <si>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</si>
  <si>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</si>
  <si>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</si>
  <si>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</si>
  <si>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</si>
  <si>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</si>
  <si>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</si>
  <si>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</si>
  <si>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</si>
  <si>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</si>
  <si>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</si>
  <si>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</si>
  <si>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</si>
  <si>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</si>
  <si>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</si>
  <si>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</si>
  <si>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</si>
  <si>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</si>
  <si>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</si>
  <si>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</si>
  <si>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</si>
  <si>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</si>
  <si>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</si>
  <si>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</si>
  <si>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</si>
  <si>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</si>
  <si>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</si>
  <si>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</si>
  <si>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</si>
  <si>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</si>
  <si>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</si>
  <si>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</si>
  <si>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</si>
  <si>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</si>
  <si>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</si>
  <si>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</si>
  <si>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</si>
  <si>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</si>
  <si>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</si>
  <si>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</si>
  <si>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</si>
  <si>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</si>
  <si>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</si>
  <si>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</si>
  <si>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</si>
  <si>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</si>
  <si>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</si>
  <si>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</si>
  <si>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</si>
  <si>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</si>
  <si>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</si>
  <si>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</si>
  <si>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</si>
  <si>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</si>
  <si>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</si>
  <si>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</si>
  <si>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</si>
  <si>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</si>
  <si>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</si>
  <si>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</si>
  <si>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</si>
  <si>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</si>
  <si>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</si>
  <si>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</si>
  <si>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</si>
  <si>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</si>
  <si>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</si>
  <si>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</si>
  <si>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</si>
  <si>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</si>
  <si>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</si>
  <si>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</si>
  <si>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</si>
  <si>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</si>
  <si>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</si>
  <si>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</si>
  <si>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</si>
  <si>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</si>
  <si>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</si>
  <si>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</si>
  <si>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</si>
  <si>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</si>
  <si>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</si>
  <si>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</si>
  <si>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</si>
  <si>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</si>
  <si>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</si>
  <si>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</si>
  <si>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</si>
  <si>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</si>
  <si>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</si>
  <si>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</si>
  <si>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</si>
  <si>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</si>
  <si>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</si>
  <si>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</si>
  <si>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</si>
  <si>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</si>
  <si>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</si>
  <si>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</si>
  <si>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</si>
  <si>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</si>
  <si>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</si>
  <si>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</si>
  <si>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</si>
  <si>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</si>
  <si>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</si>
  <si>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</si>
  <si>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</si>
  <si>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</si>
  <si>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</si>
  <si>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</si>
  <si>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</si>
  <si>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</si>
  <si>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</si>
  <si>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</si>
  <si>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</si>
  <si>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</si>
  <si>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</si>
  <si>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</si>
  <si>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</si>
  <si>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</si>
  <si>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</si>
  <si>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</si>
  <si>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</si>
  <si>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</si>
  <si>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</si>
  <si>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</si>
  <si>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</si>
  <si>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</si>
  <si>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</si>
  <si>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</si>
  <si>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</si>
  <si>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</si>
  <si>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</si>
  <si>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</si>
  <si>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</si>
  <si>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</si>
  <si>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</si>
  <si>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</si>
  <si>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</si>
  <si>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</si>
  <si>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</si>
  <si>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</si>
  <si>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</si>
  <si>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</si>
  <si>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</si>
  <si>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</si>
  <si>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</si>
  <si>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</si>
  <si>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</si>
  <si>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</si>
  <si>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</si>
  <si>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</si>
  <si>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</si>
  <si>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</si>
  <si>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</si>
  <si>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</si>
  <si>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</si>
  <si>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</si>
  <si>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</si>
  <si>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</si>
  <si>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</si>
  <si>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</si>
  <si>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</si>
  <si>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</si>
  <si>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</si>
  <si>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</si>
  <si>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</si>
  <si>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</si>
  <si>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</si>
  <si>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</si>
  <si>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</si>
  <si>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</si>
  <si>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</si>
  <si>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</si>
  <si>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</si>
  <si>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</si>
  <si>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</si>
  <si>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</si>
  <si>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</si>
  <si>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</si>
  <si>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</si>
  <si>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</si>
  <si>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</si>
  <si>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</si>
  <si>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</si>
  <si>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</si>
  <si>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</si>
  <si>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</si>
  <si>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</si>
  <si>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</si>
  <si>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</si>
  <si>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</si>
  <si>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</si>
  <si>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</si>
  <si>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</si>
  <si>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</si>
  <si>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</si>
  <si>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</si>
  <si>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</si>
  <si>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</si>
  <si>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</si>
  <si>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</si>
  <si>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</si>
  <si>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</si>
  <si>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</si>
  <si>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</si>
  <si>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</si>
  <si>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</si>
  <si>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</si>
  <si>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</si>
  <si>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</si>
  <si>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</si>
  <si>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</si>
  <si>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</si>
  <si>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</si>
  <si>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</si>
  <si>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</si>
  <si>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</si>
  <si>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</si>
  <si>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</si>
  <si>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</si>
  <si>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</si>
  <si>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</si>
  <si>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</si>
  <si>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</si>
  <si>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</si>
  <si>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</si>
  <si>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</si>
  <si>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</si>
  <si>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</si>
  <si>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</si>
  <si>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</si>
  <si>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</si>
  <si>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</si>
  <si>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</si>
  <si>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</si>
  <si>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</si>
  <si>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</si>
  <si>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</si>
  <si>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</si>
  <si>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</si>
  <si>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</si>
  <si>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</si>
  <si>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</si>
  <si>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</si>
  <si>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</si>
  <si>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</si>
  <si>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</si>
  <si>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</si>
  <si>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</si>
  <si>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</si>
  <si>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</si>
  <si>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</si>
  <si>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</si>
  <si>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</si>
  <si>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</si>
  <si>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</si>
  <si>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</si>
  <si>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</si>
  <si>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</si>
  <si>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</si>
  <si>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</si>
  <si>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</si>
  <si>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</si>
  <si>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</si>
  <si>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</si>
  <si>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</si>
  <si>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</si>
  <si>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</si>
  <si>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</si>
  <si>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</si>
  <si>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</si>
  <si>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</si>
  <si>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</si>
  <si>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</si>
  <si>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</si>
  <si>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</si>
  <si>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</si>
  <si>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</si>
  <si>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</si>
  <si>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</si>
  <si>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</si>
  <si>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</si>
  <si>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</si>
  <si>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</si>
  <si>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</si>
  <si>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</si>
  <si>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</si>
  <si>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</si>
  <si>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</si>
  <si>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</si>
  <si>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</si>
  <si>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</si>
  <si>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</si>
  <si>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</si>
  <si>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</si>
  <si>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</si>
  <si>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</si>
  <si>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</si>
  <si>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</si>
  <si>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</si>
  <si>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</si>
  <si>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</si>
  <si>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</si>
  <si>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</si>
  <si>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</si>
  <si>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</si>
  <si>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</si>
  <si>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</si>
  <si>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</si>
  <si>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</si>
  <si>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</si>
  <si>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</si>
  <si>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</si>
  <si>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</si>
  <si>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</si>
  <si>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</si>
  <si>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</si>
  <si>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</si>
  <si>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</si>
  <si>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</si>
  <si>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</si>
  <si>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</si>
  <si>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</si>
  <si>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</si>
  <si>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</si>
  <si>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</si>
  <si>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</si>
  <si>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</si>
  <si>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</si>
  <si>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</si>
  <si>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</si>
  <si>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</si>
  <si>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</si>
  <si>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</si>
  <si>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</si>
  <si>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</si>
  <si>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</si>
  <si>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</si>
  <si>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</si>
  <si>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</si>
  <si>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</si>
  <si>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</si>
  <si>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</si>
  <si>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</si>
  <si>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</si>
  <si>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</si>
  <si>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</si>
  <si>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</si>
  <si>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</si>
  <si>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</si>
  <si>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</si>
  <si>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</si>
  <si>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</si>
  <si>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</si>
  <si>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</si>
  <si>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</si>
  <si>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</si>
  <si>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</si>
  <si>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</si>
  <si>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</si>
  <si>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</si>
  <si>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</si>
  <si>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</si>
  <si>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</si>
  <si>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</si>
  <si>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</si>
  <si>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</si>
  <si>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</si>
  <si>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</si>
  <si>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</si>
  <si>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</si>
  <si>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</si>
  <si>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</si>
  <si>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</si>
  <si>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</si>
  <si>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</si>
  <si>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</si>
  <si>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</si>
  <si>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</si>
  <si>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</si>
  <si>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</si>
  <si>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</si>
  <si>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</si>
  <si>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</si>
  <si>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</si>
  <si>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</si>
  <si>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</si>
  <si>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</si>
  <si>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</si>
  <si>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</si>
  <si>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</si>
  <si>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</si>
  <si>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</si>
  <si>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</si>
  <si>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</si>
  <si>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</si>
  <si>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</si>
  <si>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</si>
  <si>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</si>
  <si>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</si>
  <si>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</si>
  <si>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</si>
  <si>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</si>
  <si>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</si>
  <si>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</si>
  <si>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</si>
  <si>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</si>
  <si>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</si>
  <si>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</si>
  <si>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</si>
  <si>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</si>
  <si>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</si>
  <si>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</si>
  <si>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</si>
  <si>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</si>
  <si>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</si>
  <si>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</si>
  <si>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</si>
  <si>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</si>
  <si>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</si>
  <si>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</si>
  <si>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</si>
  <si>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</si>
  <si>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</si>
  <si>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</si>
  <si>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</si>
  <si>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</si>
  <si>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</si>
  <si>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</si>
  <si>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</si>
  <si>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</si>
  <si>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</si>
  <si>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</si>
  <si>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</si>
  <si>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</si>
  <si>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</si>
  <si>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</si>
  <si>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</si>
  <si>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</si>
  <si>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</si>
  <si>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</si>
  <si>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</si>
  <si>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</si>
  <si>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</si>
  <si>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</si>
  <si>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</si>
  <si>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</si>
  <si>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</si>
  <si>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</si>
  <si>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</si>
  <si>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</si>
  <si>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</si>
  <si>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</si>
  <si>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</si>
  <si>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</si>
  <si>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</si>
  <si>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</si>
  <si>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</si>
  <si>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</si>
  <si>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</si>
  <si>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</si>
  <si>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</si>
  <si>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</si>
  <si>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</si>
  <si>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</si>
  <si>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</si>
  <si>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</si>
  <si>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</si>
  <si>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</si>
  <si>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</si>
  <si>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</si>
  <si>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</si>
  <si>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</si>
  <si>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</si>
  <si>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</si>
  <si>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</si>
  <si>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</si>
  <si>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</si>
  <si>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</si>
  <si>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</si>
  <si>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</si>
  <si>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</si>
  <si>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</si>
  <si>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</si>
  <si>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</si>
  <si>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</si>
  <si>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</si>
  <si>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</si>
  <si>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</si>
  <si>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</si>
  <si>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</si>
  <si>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</si>
  <si>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</si>
  <si>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</si>
  <si>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</si>
  <si>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</si>
  <si>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</si>
  <si>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</si>
  <si>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</si>
  <si>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</si>
  <si>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</si>
  <si>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</si>
  <si>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</si>
  <si>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</si>
  <si>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</si>
  <si>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</si>
  <si>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</si>
  <si>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</si>
  <si>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</si>
  <si>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</si>
  <si>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</si>
  <si>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</si>
  <si>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</si>
  <si>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</si>
  <si>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</si>
  <si>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</si>
  <si>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</si>
  <si>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</si>
  <si>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</si>
  <si>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</si>
  <si>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</si>
  <si>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</si>
  <si>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</si>
  <si>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</si>
  <si>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</si>
  <si>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</si>
  <si>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</si>
  <si>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</si>
  <si>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</si>
  <si>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</si>
  <si>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</si>
  <si>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</si>
  <si>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</si>
  <si>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</si>
  <si>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</si>
  <si>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</si>
  <si>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</si>
  <si>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</si>
  <si>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</si>
  <si>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</si>
  <si>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</si>
  <si>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</si>
  <si>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</si>
  <si>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</si>
  <si>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</si>
  <si>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</si>
  <si>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</si>
  <si>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</si>
  <si>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</si>
  <si>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</si>
  <si>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</si>
  <si>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</si>
  <si>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</si>
  <si>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</si>
  <si>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</si>
  <si>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</si>
  <si>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</si>
  <si>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</si>
  <si>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</si>
  <si>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</si>
  <si>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</si>
  <si>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</si>
  <si>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</si>
  <si>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</si>
  <si>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</si>
  <si>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</si>
  <si>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</si>
  <si>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</si>
  <si>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</si>
  <si>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</si>
  <si>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</si>
  <si>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</si>
  <si>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</si>
  <si>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</si>
  <si>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</si>
  <si>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</si>
  <si>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</si>
  <si>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</si>
  <si>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</si>
  <si>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</si>
  <si>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</si>
  <si>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</si>
  <si>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</si>
  <si>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</si>
  <si>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</si>
  <si>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</si>
  <si>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</si>
  <si>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</si>
  <si>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</si>
  <si>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</si>
  <si>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</si>
  <si>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</si>
  <si>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</si>
  <si>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</si>
  <si>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</si>
  <si>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</si>
  <si>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</si>
  <si>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</si>
  <si>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</si>
  <si>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</si>
  <si>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</si>
  <si>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</si>
  <si>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</si>
  <si>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</si>
  <si>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</si>
  <si>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</si>
  <si>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</si>
  <si>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</si>
  <si>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</si>
  <si>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</si>
  <si>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</si>
  <si>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</si>
  <si>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</si>
  <si>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</si>
  <si>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</si>
  <si>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</si>
  <si>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</si>
  <si>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</si>
  <si>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</si>
  <si>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</si>
  <si>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</si>
  <si>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</si>
  <si>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</si>
  <si>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</si>
  <si>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</si>
  <si>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</si>
  <si>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</si>
  <si>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</si>
  <si>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</si>
  <si>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</si>
  <si>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</si>
  <si>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</si>
  <si>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</si>
  <si>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</si>
  <si>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</si>
  <si>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</si>
  <si>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</si>
  <si>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</si>
  <si>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</si>
  <si>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</si>
  <si>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</si>
  <si>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</si>
  <si>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</si>
  <si>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</si>
  <si>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</si>
  <si>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</si>
  <si>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</si>
  <si>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</si>
  <si>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</si>
  <si>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</si>
  <si>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</si>
  <si>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</si>
  <si>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</si>
  <si>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</si>
  <si>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</si>
  <si>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</si>
  <si>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</si>
  <si>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</si>
  <si>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</si>
  <si>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</si>
  <si>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</si>
  <si>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</si>
  <si>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</si>
  <si>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</si>
  <si>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</si>
  <si>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</si>
  <si>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</si>
  <si>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</si>
  <si>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</si>
  <si>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</si>
  <si>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</si>
  <si>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</si>
  <si>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</si>
  <si>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</si>
  <si>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</si>
  <si>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</si>
  <si>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</si>
  <si>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</si>
  <si>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</si>
  <si>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</si>
  <si>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</si>
  <si>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</si>
  <si>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</si>
  <si>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</si>
  <si>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</si>
  <si>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</si>
  <si>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</si>
  <si>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</si>
  <si>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</si>
  <si>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</si>
  <si>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</si>
  <si>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</si>
  <si>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</si>
  <si>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</si>
  <si>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</si>
  <si>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</si>
  <si>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</si>
  <si>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</si>
  <si>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</si>
  <si>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</si>
  <si>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</si>
  <si>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</si>
  <si>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</si>
  <si>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</si>
  <si>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</si>
  <si>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</si>
  <si>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</si>
  <si>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</si>
  <si>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</si>
  <si>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</si>
  <si>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</si>
  <si>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</si>
  <si>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</si>
  <si>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</si>
  <si>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</si>
  <si>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</si>
  <si>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</si>
  <si>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</si>
  <si>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</si>
  <si>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</si>
  <si>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</si>
  <si>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</si>
  <si>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</si>
  <si>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</si>
  <si>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</si>
  <si>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</si>
  <si>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</si>
  <si>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</si>
  <si>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</si>
  <si>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</si>
  <si>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</si>
  <si>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</si>
  <si>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</si>
  <si>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</si>
  <si>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</si>
  <si>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</si>
  <si>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</si>
  <si>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</si>
  <si>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</si>
  <si>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</si>
  <si>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</si>
  <si>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</si>
  <si>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</si>
  <si>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</si>
  <si>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</si>
  <si>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</si>
  <si>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</si>
  <si>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</si>
  <si>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</si>
  <si>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</si>
  <si>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</si>
  <si>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</si>
  <si>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</si>
  <si>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</si>
  <si>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</si>
  <si>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</si>
  <si>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</si>
  <si>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</si>
  <si>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</si>
  <si>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</si>
  <si>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</si>
  <si>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</si>
  <si>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</si>
  <si>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</si>
  <si>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</si>
  <si>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</si>
  <si>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</si>
  <si>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</si>
  <si>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</si>
  <si>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</si>
  <si>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</si>
  <si>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</si>
  <si>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</si>
  <si>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</si>
  <si>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</si>
  <si>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</si>
  <si>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</si>
  <si>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</si>
  <si>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</si>
  <si>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</si>
  <si>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</si>
  <si>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</si>
  <si>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</si>
  <si>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</si>
  <si>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</si>
  <si>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</si>
  <si>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</si>
  <si>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</si>
  <si>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</si>
  <si>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</si>
  <si>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</si>
  <si>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</si>
  <si>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</si>
  <si>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</si>
  <si>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</si>
  <si>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</si>
  <si>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</si>
  <si>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</si>
  <si>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</si>
  <si>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</si>
  <si>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</si>
  <si>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</si>
  <si>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</si>
  <si>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</si>
  <si>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</si>
  <si>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</si>
  <si>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</si>
  <si>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</si>
  <si>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</si>
  <si>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</si>
  <si>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</si>
  <si>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</si>
  <si>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</si>
  <si>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</si>
  <si>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</si>
  <si>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</si>
  <si>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</si>
  <si>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</si>
  <si>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</si>
  <si>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</si>
  <si>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</si>
  <si>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</si>
  <si>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</si>
  <si>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</si>
  <si>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</si>
  <si>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</si>
  <si>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</si>
  <si>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</si>
  <si>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</si>
  <si>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</si>
  <si>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</si>
  <si>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</si>
  <si>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</si>
  <si>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</si>
  <si>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</si>
  <si>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</si>
  <si>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</si>
  <si>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</si>
  <si>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</si>
  <si>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</si>
  <si>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</si>
  <si>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</si>
  <si>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</si>
  <si>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</si>
  <si>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</si>
  <si>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</si>
  <si>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</si>
  <si>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</si>
  <si>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</si>
  <si>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</si>
  <si>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</si>
  <si>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</si>
  <si>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</si>
  <si>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</si>
  <si>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</si>
  <si>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</si>
  <si>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</si>
  <si>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</si>
  <si>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</si>
  <si>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</si>
  <si>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</si>
  <si>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</si>
  <si>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</si>
  <si>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</si>
  <si>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</si>
  <si>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</si>
  <si>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</si>
  <si>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</si>
  <si>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</si>
  <si>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</si>
  <si>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</si>
  <si>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</si>
  <si>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</si>
  <si>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</si>
  <si>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</si>
  <si>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</si>
  <si>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</si>
  <si>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</si>
  <si>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</si>
  <si>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</si>
  <si>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</si>
  <si>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</si>
  <si>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</si>
  <si>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</si>
  <si>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</si>
  <si>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</si>
  <si>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</si>
  <si>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</si>
  <si>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</si>
  <si>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</si>
  <si>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</si>
  <si>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</si>
  <si>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</si>
  <si>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</si>
  <si>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</si>
  <si>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</si>
  <si>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</si>
  <si>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</si>
  <si>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</si>
  <si>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</si>
  <si>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</si>
  <si>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</si>
  <si>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</si>
  <si>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</si>
  <si>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</si>
  <si>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</si>
  <si>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</si>
  <si>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</si>
  <si>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</si>
  <si>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</si>
  <si>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</si>
  <si>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</si>
  <si>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</si>
  <si>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</si>
  <si>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</si>
  <si>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</si>
  <si>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</si>
  <si>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</si>
  <si>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</si>
  <si>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</si>
  <si>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</si>
  <si>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</si>
  <si>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</si>
  <si>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</si>
  <si>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</si>
  <si>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</si>
  <si>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</si>
  <si>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</si>
  <si>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</si>
  <si>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</si>
  <si>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</si>
  <si>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</si>
  <si>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</si>
  <si>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</si>
  <si>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</si>
  <si>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</si>
  <si>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</si>
  <si>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</si>
  <si>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</si>
  <si>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</si>
  <si>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</si>
  <si>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</si>
  <si>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</si>
  <si>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</si>
  <si>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</si>
  <si>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</si>
  <si>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</si>
  <si>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</si>
  <si>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</si>
  <si>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</si>
  <si>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</si>
  <si>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</si>
  <si>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</si>
  <si>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</si>
  <si>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</si>
  <si>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</si>
  <si>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</si>
  <si>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</si>
  <si>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</si>
  <si>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</si>
  <si>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</si>
  <si>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</si>
  <si>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</si>
  <si>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</si>
  <si>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</si>
  <si>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</si>
  <si>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</si>
  <si>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</si>
  <si>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</si>
  <si>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</si>
  <si>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</si>
  <si>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</si>
  <si>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</si>
  <si>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</si>
  <si>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</si>
  <si>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</si>
  <si>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</si>
  <si>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</si>
  <si>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</si>
  <si>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</si>
  <si>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</si>
  <si>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</si>
  <si>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</si>
  <si>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</si>
  <si>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</si>
  <si>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</si>
  <si>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</si>
  <si>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</si>
  <si>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</si>
  <si>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</si>
  <si>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</si>
  <si>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</si>
  <si>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</si>
  <si>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</si>
  <si>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</si>
  <si>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</si>
  <si>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</si>
  <si>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</si>
  <si>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</si>
  <si>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</si>
  <si>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</si>
  <si>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</si>
  <si>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</si>
  <si>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</si>
  <si>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</si>
  <si>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</si>
  <si>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</si>
  <si>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</si>
  <si>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</si>
  <si>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</si>
  <si>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</si>
  <si>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</si>
  <si>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</si>
  <si>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</si>
  <si>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</si>
  <si>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</si>
  <si>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</si>
  <si>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</si>
  <si>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</si>
  <si>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</si>
  <si>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</si>
  <si>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</si>
  <si>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</si>
  <si>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</si>
  <si>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</si>
  <si>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</si>
  <si>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</si>
  <si>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</si>
  <si>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</si>
  <si>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</si>
  <si>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</si>
  <si>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</si>
  <si>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</si>
  <si>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</si>
  <si>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</si>
  <si>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</si>
  <si>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</si>
  <si>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</si>
  <si>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</si>
  <si>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</si>
  <si>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</si>
  <si>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</si>
  <si>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</si>
  <si>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</si>
  <si>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</si>
  <si>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</si>
  <si>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</si>
  <si>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</si>
  <si>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</si>
  <si>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</si>
  <si>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</si>
  <si>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</si>
  <si>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</si>
  <si>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</si>
  <si>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</si>
  <si>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</si>
  <si>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</si>
  <si>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</si>
  <si>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</si>
  <si>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</si>
  <si>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</si>
  <si>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</si>
  <si>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</si>
  <si>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</si>
  <si>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</si>
  <si>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</si>
  <si>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</si>
  <si>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</si>
  <si>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</si>
  <si>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</si>
  <si>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</si>
  <si>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</si>
  <si>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</si>
  <si>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</si>
  <si>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https://raw.githubusercontent.com/edgardoraul/imagenes_rerda/main/4120770/1.jpg,https://raw.githubusercontent.com/edgardoraul/imagenes_rerda/main/4120770/2.jpg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</si>
  <si>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</si>
  <si>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</si>
  <si>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</si>
  <si>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</si>
  <si>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</si>
  <si>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</si>
  <si>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</si>
  <si>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</si>
  <si>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</si>
  <si>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</si>
  <si>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</si>
  <si>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</si>
  <si>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</si>
  <si>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</si>
  <si>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</si>
  <si>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</si>
  <si>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</si>
  <si>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</si>
  <si>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</si>
  <si>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</si>
  <si>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</si>
  <si>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</si>
  <si>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</si>
  <si>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</si>
  <si>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</si>
  <si>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</si>
  <si>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</si>
  <si>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</si>
  <si>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</si>
  <si>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</si>
  <si>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</si>
  <si>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</si>
  <si>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</si>
  <si>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</si>
  <si>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</si>
  <si>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</si>
  <si>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</si>
  <si>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</si>
  <si>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</si>
  <si>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</si>
  <si>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</si>
  <si>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</si>
  <si>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</si>
  <si>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</si>
  <si>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</si>
  <si>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</si>
  <si>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</si>
  <si>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</si>
  <si>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</si>
  <si>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</si>
  <si>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</si>
  <si>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</si>
  <si>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</si>
  <si>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</si>
  <si>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</si>
  <si>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</si>
  <si>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</si>
  <si>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</si>
  <si>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</si>
  <si>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</si>
  <si>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</si>
  <si>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</si>
  <si>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</si>
  <si>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</si>
  <si>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https://raw.githubusercontent.com/edgardoraul/imagenes_rerda/main/4120950/1.jpg,https://raw.githubusercontent.com/edgardoraul/imagenes_rerda/main/4120950/2.jpg,https://raw.githubusercontent.com/edgardoraul/imagenes_rerda/main/4120950/3.jpg</t>
  </si>
  <si>
    <t>https://raw.githubusercontent.com/edgardoraul/imagenes_rerda/main/4120066/1.jpg,https://raw.githubusercontent.com/edgardoraul/imagenes_rerda/main/4120066/2.jpg,https://raw.githubusercontent.com/edgardoraul/imagenes_rerda/main/4120066/3.jpg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</si>
  <si>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</t>
  </si>
  <si>
    <t>https://raw.githubusercontent.com/edgardoraul/imagenes_rerda/main/4120270/1.jpg,https://raw.githubusercontent.com/edgardoraul/imagenes_rerda/main/4120270/2.jpg,https://raw.githubusercontent.com/edgardoraul/imagenes_rerda/main/4120270/3.jpg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</si>
  <si>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</si>
  <si>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</si>
  <si>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</si>
  <si>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</si>
  <si>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</si>
  <si>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</si>
  <si>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</si>
  <si>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</si>
  <si>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</si>
  <si>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</si>
  <si>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</si>
  <si>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</si>
  <si>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</si>
  <si>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</si>
  <si>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</si>
  <si>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</si>
  <si>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</si>
  <si>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</si>
  <si>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</si>
  <si>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</si>
  <si>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</si>
  <si>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</si>
  <si>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</si>
  <si>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</si>
  <si>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</si>
  <si>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</si>
  <si>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</si>
  <si>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</si>
  <si>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</si>
  <si>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</si>
  <si>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</si>
  <si>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</si>
  <si>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</si>
  <si>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</si>
  <si>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</si>
  <si>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</si>
  <si>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</si>
  <si>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</si>
  <si>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</si>
  <si>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</si>
  <si>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</si>
  <si>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</si>
  <si>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</si>
  <si>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</si>
  <si>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</si>
  <si>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</si>
  <si>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</si>
  <si>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</si>
  <si>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</si>
  <si>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</si>
  <si>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</si>
  <si>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</si>
  <si>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</si>
  <si>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</si>
  <si>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</si>
  <si>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</si>
  <si>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</si>
  <si>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</si>
  <si>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</si>
  <si>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</si>
  <si>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</si>
  <si>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</si>
  <si>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</si>
  <si>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</si>
  <si>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</si>
  <si>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</si>
  <si>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</si>
  <si>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</si>
  <si>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</si>
  <si>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</si>
  <si>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</si>
  <si>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</si>
  <si>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</si>
  <si>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</t>
  </si>
  <si>
    <t>https://raw.githubusercontent.com/edgardoraul/imagenes_rerda/main/8708899/061.jpg</t>
  </si>
  <si>
    <t>https://raw.githubusercontent.com/edgardoraul/imagenes_rerda/main/8708899/071.jpg</t>
  </si>
  <si>
    <t>https://raw.githubusercontent.com/edgardoraul/imagenes_rerda/main/8708899/091.jpg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</si>
  <si>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</si>
  <si>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</si>
  <si>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</si>
  <si>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</si>
  <si>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</si>
  <si>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</si>
  <si>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</si>
  <si>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</si>
  <si>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</si>
  <si>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</si>
  <si>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</si>
  <si>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</si>
  <si>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</si>
  <si>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</si>
  <si>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</si>
  <si>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</si>
  <si>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</si>
  <si>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</si>
  <si>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</si>
  <si>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</si>
  <si>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</si>
  <si>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</si>
  <si>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</si>
  <si>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</si>
  <si>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</si>
  <si>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</si>
  <si>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</si>
  <si>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</si>
  <si>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</si>
  <si>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</si>
  <si>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</si>
  <si>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</si>
  <si>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</si>
  <si>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</si>
  <si>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</si>
  <si>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</si>
  <si>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</si>
  <si>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</si>
  <si>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</si>
  <si>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</si>
  <si>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</si>
  <si>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</si>
  <si>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</si>
  <si>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</si>
  <si>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</si>
  <si>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</si>
  <si>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</si>
  <si>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</si>
  <si>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</si>
  <si>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</si>
  <si>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</si>
  <si>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</si>
  <si>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</si>
  <si>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</t>
  </si>
  <si>
    <t>https://raw.githubusercontent.com/edgardoraul/imagenes_rerda/main/5101165/1.jpg</t>
  </si>
  <si>
    <t>https://raw.githubusercontent.com/edgardoraul/imagenes_rerda/main/5101654/1.jpg,https://raw.githubusercontent.com/edgardoraul/imagenes_rerda/main/5101654/2.jpg,https://raw.githubusercontent.com/edgardoraul/imagenes_rerda/main/5101654/3.jpg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</si>
  <si>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</t>
  </si>
  <si>
    <t>https://raw.githubusercontent.com/edgardoraul/imagenes_rerda/main/5101873/1.jpg,https://raw.githubusercontent.com/edgardoraul/imagenes_rerda/main/5101873/2.jpg,https://raw.githubusercontent.com/edgardoraul/imagenes_rerda/main/5101873/3.jpg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</si>
  <si>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</si>
  <si>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</si>
  <si>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</si>
  <si>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</si>
  <si>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</si>
  <si>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</si>
  <si>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</si>
  <si>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</si>
  <si>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</t>
  </si>
  <si>
    <t>1120430##</t>
  </si>
  <si>
    <t>1120431##</t>
  </si>
  <si>
    <t>1120447##</t>
  </si>
  <si>
    <t>https://raw.githubusercontent.com/edgardoraul/imagenes_rerda/main/2103069/1.jpg,https://raw.githubusercontent.com/edgardoraul/imagenes_rerda/main/2103069/2.jpg,https://raw.githubusercontent.com/edgardoraul/imagenes_rerda/main/2103069/3.jpg</t>
  </si>
  <si>
    <t>https://raw.githubusercontent.com/edgardoraul/imagenes_rerda/main/2101000/1.jpg,https://raw.githubusercontent.com/edgardoraul/imagenes_rerda/main/2101000/2.jpg,https://raw.githubusercontent.com/edgardoraul/imagenes_rerda/main/2101000/3.jpg</t>
  </si>
  <si>
    <t>https://raw.githubusercontent.com/edgardoraul/imagenes_rerda/main/2103068/1.jpg,https://raw.githubusercontent.com/edgardoraul/imagenes_rerda/main/2103068/2.jpg,https://raw.githubusercontent.com/edgardoraul/imagenes_rerda/main/2103068/3.jpg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</si>
  <si>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</si>
  <si>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</si>
  <si>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</si>
  <si>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</si>
  <si>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</si>
  <si>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</si>
  <si>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</si>
  <si>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</si>
  <si>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</si>
  <si>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</si>
  <si>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</si>
  <si>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</si>
  <si>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</si>
  <si>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</si>
  <si>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</si>
  <si>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</si>
  <si>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</si>
  <si>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</si>
  <si>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</si>
  <si>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</t>
  </si>
  <si>
    <t>https://raw.githubusercontent.com/edgardoraul/imagenes_rerda/main/1120130/1.jpg,https://raw.githubusercontent.com/edgardoraul/imagenes_rerda/main/1120130/2.jpg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</si>
  <si>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</si>
  <si>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</si>
  <si>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</t>
  </si>
  <si>
    <t>https://raw.githubusercontent.com/edgardoraul/imagenes_rerda/main/1120055/1.jpg,https://raw.githubusercontent.com/edgardoraul/imagenes_rerda/main/1120055/2.jpg,https://raw.githubusercontent.com/edgardoraul/imagenes_rerda/main/1120055/3.jpg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</si>
  <si>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</si>
  <si>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</si>
  <si>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</t>
  </si>
  <si>
    <t>El código 5101115 no tiene imágenes.</t>
  </si>
  <si>
    <t>El código 5101223 no tiene imágenes.</t>
  </si>
  <si>
    <t>El código 5101114 no tiene imágenes.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</si>
  <si>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</si>
  <si>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</si>
  <si>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</si>
  <si>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</si>
  <si>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</si>
  <si>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</si>
  <si>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</si>
  <si>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Procedados: 685 de 685</t>
  </si>
  <si>
    <t>1120486##</t>
  </si>
  <si>
    <t>1120783##</t>
  </si>
  <si>
    <t>Procedados: 508 de 508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</si>
  <si>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</si>
  <si>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</si>
  <si>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</si>
  <si>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</si>
  <si>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</si>
  <si>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</si>
  <si>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</si>
  <si>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</si>
  <si>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</si>
  <si>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</si>
  <si>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</t>
  </si>
  <si>
    <t>https://raw.githubusercontent.com/edgardoraul/imagenes_rerda/main/1120780/1.jpg,https://raw.githubusercontent.com/edgardoraul/imagenes_rerda/main/1120780/2.jpg,https://raw.githubusercontent.com/edgardoraul/imagenes_rerda/main/1120780/3.jpg</t>
  </si>
  <si>
    <t>https://raw.githubusercontent.com/edgardoraul/imagenes_rerda/main/1120782/1.jpg,https://raw.githubusercontent.com/edgardoraul/imagenes_rerda/main/1120782/2.jpg,https://raw.githubusercontent.com/edgardoraul/imagenes_rerda/main/1120782/3.jpg</t>
  </si>
  <si>
    <t>https://raw.githubusercontent.com/edgardoraul/imagenes_rerda/main/7703129/091.jpg</t>
  </si>
  <si>
    <t>https://raw.githubusercontent.com/edgardoraul/imagenes_rerda/main/7703129/181.jpg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</si>
</sst>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44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84"/>
  <sheetViews>
    <sheetView workbookViewId="0">
      <pane ySplit="1" topLeftCell="A491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IFERROR(VLOOKUP(1*LEFT(C2,7),DF!$A$1:$F$9446,2,FALSE),"")</f>
        <v>BOMB AMER RIP DIGITAL ACU 34/48 RER</v>
      </c>
      <c r="F2">
        <v>1120165</v>
      </c>
      <c r="G2" t="s">
        <v>13879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12160</v>
      </c>
      <c r="E3" t="str">
        <f>IFERROR(VLOOKUP(1*LEFT(C3,7),DF!$A$1:$F$9446,2,FALSE),"")</f>
        <v>BOMB AMER RIP DIGITAL ACU 50/54 RER</v>
      </c>
      <c r="F3">
        <v>1120165</v>
      </c>
      <c r="G3" t="s">
        <v>13879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12161</v>
      </c>
      <c r="E4" t="str">
        <f>IFERROR(VLOOKUP(1*LEFT(C4,7),DF!$A$1:$F$9446,2,FALSE),"")</f>
        <v>BOMB AMER RIP DIGITAL ACU 56/60 RER</v>
      </c>
      <c r="F4">
        <v>1120165</v>
      </c>
      <c r="G4" t="s">
        <v>13879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12162</v>
      </c>
      <c r="E5" t="str">
        <f>IFERROR(VLOOKUP(1*LEFT(C5,7),DF!$A$1:$F$9446,2,FALSE),"")</f>
        <v>BOMB AMER RIP DIGITAL ACU 62/66 RER</v>
      </c>
      <c r="F5">
        <v>1120165</v>
      </c>
      <c r="G5" t="s">
        <v>13879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IFERROR(VLOOKUP(1*LEFT(C6,7),DF!$A$1:$F$9446,2,FALSE),"")</f>
        <v>BOMB CLAS GAB AZUL 36/48 RER</v>
      </c>
      <c r="F6">
        <v>1120285</v>
      </c>
      <c r="G6" t="s">
        <v>13880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IFERROR(VLOOKUP(1*LEFT(C7,7),DF!$A$1:$F$9446,2,FALSE),"")</f>
        <v>BOMB CLAS GAB AZUL 50/54 RER</v>
      </c>
      <c r="F7">
        <v>1120285</v>
      </c>
      <c r="G7" t="s">
        <v>13880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IFERROR(VLOOKUP(1*LEFT(C8,7),DF!$A$1:$F$9446,2,FALSE),"")</f>
        <v>BOMB CLAS GAB AZUL 56/60 RER</v>
      </c>
      <c r="F8">
        <v>1120285</v>
      </c>
      <c r="G8" t="s">
        <v>13880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IFERROR(VLOOKUP(1*LEFT(C9,7),DF!$A$1:$F$9446,2,FALSE),"")</f>
        <v>BOMB CLAS GAB AZUL 62/68 RER</v>
      </c>
      <c r="F9">
        <v>1120285</v>
      </c>
      <c r="G9" t="s">
        <v>13880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IFERROR(VLOOKUP(1*LEFT(C10,7),DF!$A$1:$F$9446,2,FALSE),"")</f>
        <v>BOMB CLAS GAB GRIS 34/48 RER</v>
      </c>
      <c r="F10">
        <v>1120140</v>
      </c>
      <c r="G10" t="s">
        <v>13881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IFERROR(VLOOKUP(1*LEFT(C11,7),DF!$A$1:$F$9446,2,FALSE),"")</f>
        <v>BOMB CLAS GAB GRIS 50/54 RER</v>
      </c>
      <c r="F11">
        <v>1120140</v>
      </c>
      <c r="G11" t="s">
        <v>13881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IFERROR(VLOOKUP(1*LEFT(C12,7),DF!$A$1:$F$9446,2,FALSE),"")</f>
        <v>BOMB CLAS GAB GRIS 56/60 RER</v>
      </c>
      <c r="F12">
        <v>1120140</v>
      </c>
      <c r="G12" t="s">
        <v>13881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IFERROR(VLOOKUP(1*LEFT(C13,7),DF!$A$1:$F$9446,2,FALSE),"")</f>
        <v>BOMB CLAS GAB GRIS 62/66 RER</v>
      </c>
      <c r="F13">
        <v>1120140</v>
      </c>
      <c r="G13" t="s">
        <v>13881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IFERROR(VLOOKUP(1*LEFT(C14,7),DF!$A$1:$F$9446,2,FALSE),"")</f>
        <v>BOMB CLAS GAB NEGRA 34/48 RER</v>
      </c>
      <c r="F14">
        <v>1120170</v>
      </c>
      <c r="G14" t="s">
        <v>13882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IFERROR(VLOOKUP(1*LEFT(C15,7),DF!$A$1:$F$9446,2,FALSE),"")</f>
        <v>BOMB CLAS GAB NEGRA 50/54 RER</v>
      </c>
      <c r="F15">
        <v>1120170</v>
      </c>
      <c r="G15" t="s">
        <v>13882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IFERROR(VLOOKUP(1*LEFT(C16,7),DF!$A$1:$F$9446,2,FALSE),"")</f>
        <v>BOMB CLAS GAB NEGRA 56/60 RER</v>
      </c>
      <c r="F16">
        <v>1120170</v>
      </c>
      <c r="G16" t="s">
        <v>13882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IFERROR(VLOOKUP(1*LEFT(C17,7),DF!$A$1:$F$9446,2,FALSE),"")</f>
        <v>BOMB CLAS GAB NEGRA 62/66 RER</v>
      </c>
      <c r="F17">
        <v>1120170</v>
      </c>
      <c r="G17" t="s">
        <v>13882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IFERROR(VLOOKUP(1*LEFT(C18,7),DF!$A$1:$F$9446,2,FALSE),"")</f>
        <v>BOMB CLAS GAB PETREO 34/48 RER</v>
      </c>
      <c r="F18">
        <v>1120286</v>
      </c>
      <c r="G18" t="s">
        <v>13883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10888</v>
      </c>
      <c r="E19" t="str">
        <f>IFERROR(VLOOKUP(1*LEFT(C19,7),DF!$A$1:$F$9446,2,FALSE),"")</f>
        <v>BOMB CLAS GAB PETREO 34/48 RER</v>
      </c>
      <c r="F19">
        <v>1120286</v>
      </c>
      <c r="G19" t="s">
        <v>13883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10886</v>
      </c>
      <c r="E20" t="str">
        <f>IFERROR(VLOOKUP(1*LEFT(C20,7),DF!$A$1:$F$9446,2,FALSE),"")</f>
        <v>BOMB CLAS GAB PETREO 50/54 RER</v>
      </c>
      <c r="F20">
        <v>1120286</v>
      </c>
      <c r="G20" t="s">
        <v>13883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10887</v>
      </c>
      <c r="E21" t="str">
        <f>IFERROR(VLOOKUP(1*LEFT(C21,7),DF!$A$1:$F$9446,2,FALSE),"")</f>
        <v>BOMB CLAS GAB PETREO 56/60 RER</v>
      </c>
      <c r="F21">
        <v>1120286</v>
      </c>
      <c r="G21" t="s">
        <v>13883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IFERROR(VLOOKUP(1*LEFT(C22,7),DF!$A$1:$F$9446,2,FALSE),"")</f>
        <v>BOMB CLAS RIP AZUL DAMA/SPANDE 34/48 RER</v>
      </c>
      <c r="F22">
        <v>1120710</v>
      </c>
      <c r="G22" t="s">
        <v>13884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12141</v>
      </c>
      <c r="E23" t="str">
        <f>IFERROR(VLOOKUP(1*LEFT(C23,7),DF!$A$1:$F$9446,2,FALSE),"")</f>
        <v>BOMB CLAS RIP AZUL DAMA/SPANDE 50/54 RER</v>
      </c>
      <c r="F23">
        <v>1120710</v>
      </c>
      <c r="G23" t="s">
        <v>13884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IFERROR(VLOOKUP(1*LEFT(C24,7),DF!$A$1:$F$9446,2,FALSE),"")</f>
        <v>BOMB CLAS RIP DAMA AZUL 34/48 RER</v>
      </c>
      <c r="F24">
        <v>1200001</v>
      </c>
      <c r="G24" t="s">
        <v>13885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IFERROR(VLOOKUP(1*LEFT(C25,7),DF!$A$1:$F$9446,2,FALSE),"")</f>
        <v>BOMB CLAS RIP DAMA AZUL 50/54 RER</v>
      </c>
      <c r="F25">
        <v>1200001</v>
      </c>
      <c r="G25" t="s">
        <v>13885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IFERROR(VLOOKUP(1*LEFT(C26,7),DF!$A$1:$F$9446,2,FALSE),"")</f>
        <v>BOMB CLAS RIP DAMA NEGRA 36/48 RER</v>
      </c>
      <c r="F26">
        <v>1200900</v>
      </c>
      <c r="G26" t="s">
        <v>13886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IFERROR(VLOOKUP(1*LEFT(C27,7),DF!$A$1:$F$9446,2,FALSE),"")</f>
        <v>BOMB CLAS RIP DAMA NEGRA 50/56 RER</v>
      </c>
      <c r="F27">
        <v>1200900</v>
      </c>
      <c r="G27" t="s">
        <v>13886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IFERROR(VLOOKUP(1*LEFT(C28,7),DF!$A$1:$F$9446,2,FALSE),"")</f>
        <v>BOMB CLAS RIP MULTICAM 34/48 RER</v>
      </c>
      <c r="F28">
        <v>1120323</v>
      </c>
      <c r="G28" t="s">
        <v>13887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12194</v>
      </c>
      <c r="E29" t="str">
        <f>IFERROR(VLOOKUP(1*LEFT(C29,7),DF!$A$1:$F$9446,2,FALSE),"")</f>
        <v>BOMB CLAS RIP MULTICAM 50/54 RER</v>
      </c>
      <c r="F29">
        <v>1120323</v>
      </c>
      <c r="G29" t="s">
        <v>13887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12195</v>
      </c>
      <c r="E30" t="str">
        <f>IFERROR(VLOOKUP(1*LEFT(C30,7),DF!$A$1:$F$9446,2,FALSE),"")</f>
        <v>BOMB CLAS RIP MULTICAM 56/60 RER</v>
      </c>
      <c r="F30">
        <v>1120323</v>
      </c>
      <c r="G30" t="s">
        <v>13887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12196</v>
      </c>
      <c r="E31" t="str">
        <f>IFERROR(VLOOKUP(1*LEFT(C31,7),DF!$A$1:$F$9446,2,FALSE),"")</f>
        <v>BOMB CLAS RIP MULTICAM 62/66 RER</v>
      </c>
      <c r="F31">
        <v>1120323</v>
      </c>
      <c r="G31" t="s">
        <v>13887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IFERROR(VLOOKUP(1*LEFT(C32,7),DF!$A$1:$F$9446,2,FALSE),"")</f>
        <v>BOMB CLAS RIP NEGRA DAMA/SPANDE 34/48 RE</v>
      </c>
      <c r="F32">
        <v>1120910</v>
      </c>
      <c r="G32" t="s">
        <v>13888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12142</v>
      </c>
      <c r="E33" t="str">
        <f>IFERROR(VLOOKUP(1*LEFT(C33,7),DF!$A$1:$F$9446,2,FALSE),"")</f>
        <v>BOMB CLAS RIP NEGRA DAMA/SPANDE 50/54RER</v>
      </c>
      <c r="F33">
        <v>1120910</v>
      </c>
      <c r="G33" t="s">
        <v>13888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IFERROR(VLOOKUP(1*LEFT(C34,7),DF!$A$1:$F$9446,2,FALSE),"")</f>
        <v>BOMB JAZAK GAB AZUL 34/48 RER</v>
      </c>
      <c r="F34" s="7">
        <v>1120196</v>
      </c>
      <c r="G34" t="s">
        <v>13889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IFERROR(VLOOKUP(1*LEFT(C35,7),DF!$A$1:$F$9446,2,FALSE),"")</f>
        <v>BOMB JAZAK GAB AZUL 50/54 RER</v>
      </c>
      <c r="F35" s="7">
        <v>1120196</v>
      </c>
      <c r="G35" t="s">
        <v>13889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IFERROR(VLOOKUP(1*LEFT(C36,7),DF!$A$1:$F$9446,2,FALSE),"")</f>
        <v>BOMB JAZAK GAB AZUL 56/60 RER</v>
      </c>
      <c r="F36" s="7">
        <v>1120196</v>
      </c>
      <c r="G36" t="s">
        <v>13889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12378</v>
      </c>
      <c r="E37" t="str">
        <f>IFERROR(VLOOKUP(1*LEFT(C37,7),DF!$A$1:$F$9446,2,FALSE),"")</f>
        <v>BOMB JAZAK GAB AZUL 62/66 RER</v>
      </c>
      <c r="F37" s="7">
        <v>1120196</v>
      </c>
      <c r="G37" t="s">
        <v>13889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IFERROR(VLOOKUP(1*LEFT(C38,7),DF!$A$1:$F$9446,2,FALSE),"")</f>
        <v>BOMB KADIMA GAB AZUL NQN 34/48 RER</v>
      </c>
      <c r="F38">
        <v>1120742</v>
      </c>
      <c r="G38" t="s">
        <v>13890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IFERROR(VLOOKUP(1*LEFT(C39,7),DF!$A$1:$F$9446,2,FALSE),"")</f>
        <v>BOMB KADIMA GAB AZUL NQN 50/54 RER</v>
      </c>
      <c r="F39">
        <v>1120742</v>
      </c>
      <c r="G39" t="s">
        <v>13890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IFERROR(VLOOKUP(1*LEFT(C40,7),DF!$A$1:$F$9446,2,FALSE),"")</f>
        <v>BOMB TERMICA AZUL 36/48 RER</v>
      </c>
      <c r="F40">
        <v>1120173</v>
      </c>
      <c r="G40" t="s">
        <v>13891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IFERROR(VLOOKUP(1*LEFT(C41,7),DF!$A$1:$F$9446,2,FALSE),"")</f>
        <v>BOMB TERMICA AZUL 50/54 RER</v>
      </c>
      <c r="F41">
        <v>1120173</v>
      </c>
      <c r="G41" t="s">
        <v>13891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12192</v>
      </c>
      <c r="E42" t="str">
        <f>IFERROR(VLOOKUP(1*LEFT(C42,7),DF!$A$1:$F$9446,2,FALSE),"")</f>
        <v>BOMB TERMICA AZUL 56/60 RER</v>
      </c>
      <c r="F42">
        <v>1120173</v>
      </c>
      <c r="G42" t="s">
        <v>13891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12193</v>
      </c>
      <c r="E43" t="str">
        <f>IFERROR(VLOOKUP(1*LEFT(C43,7),DF!$A$1:$F$9446,2,FALSE),"")</f>
        <v>BOMB TERMICA AZUL 62/66 RER</v>
      </c>
      <c r="F43">
        <v>1120173</v>
      </c>
      <c r="G43" t="s">
        <v>13891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IFERROR(VLOOKUP(1*LEFT(C44,7),DF!$A$1:$F$9446,2,FALSE),"")</f>
        <v>BOMB TERMICA NEGRA 34/48 RER</v>
      </c>
      <c r="F44">
        <v>1120414</v>
      </c>
      <c r="G44" t="s">
        <v>13892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IFERROR(VLOOKUP(1*LEFT(C45,7),DF!$A$1:$F$9446,2,FALSE),"")</f>
        <v>BOMB TERMICA NEGRA 50/54 RER</v>
      </c>
      <c r="F45">
        <v>1120414</v>
      </c>
      <c r="G45" t="s">
        <v>13892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12190</v>
      </c>
      <c r="E46" t="str">
        <f>IFERROR(VLOOKUP(1*LEFT(C46,7),DF!$A$1:$F$9446,2,FALSE),"")</f>
        <v>BOMB TERMICA NEGRA 56/60 RER</v>
      </c>
      <c r="F46">
        <v>1120414</v>
      </c>
      <c r="G46" t="s">
        <v>13892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12191</v>
      </c>
      <c r="E47" t="str">
        <f>IFERROR(VLOOKUP(1*LEFT(C47,7),DF!$A$1:$F$9446,2,FALSE),"")</f>
        <v>BOMB TERMICA NEGRA 62/66 RER</v>
      </c>
      <c r="F47">
        <v>1120414</v>
      </c>
      <c r="G47" t="s">
        <v>13892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">
        <v>12143</v>
      </c>
      <c r="E48" t="str">
        <f>IFERROR(VLOOKUP(1*LEFT(C48,7),DF!$A$1:$F$9446,2,FALSE),"")</f>
        <v>BUZO FRIZA AZUL CON CIERRE 3XL/4XL RER</v>
      </c>
      <c r="F48" s="3">
        <v>2601495</v>
      </c>
      <c r="G48" t="s">
        <v>13906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>CONCATENATE(F49,"##")</f>
        <v>2601495##</v>
      </c>
      <c r="E49" t="str">
        <f>IFERROR(VLOOKUP(1*LEFT(C49,7),DF!$A$1:$F$9446,2,FALSE),"")</f>
        <v>BUZO FRIZA AZUL CON CIERRE 3XS/2XL RER</v>
      </c>
      <c r="F49" s="3">
        <v>2601495</v>
      </c>
      <c r="G49" t="s">
        <v>13906</v>
      </c>
      <c r="H49">
        <v>8</v>
      </c>
      <c r="I49">
        <v>1</v>
      </c>
    </row>
    <row r="50" spans="1:9" x14ac:dyDescent="0.25">
      <c r="A50">
        <v>19599</v>
      </c>
      <c r="B50" t="s">
        <v>7</v>
      </c>
      <c r="C50" t="str">
        <f>CONCATENATE(F50,"##")</f>
        <v>2601850##</v>
      </c>
      <c r="E50" t="str">
        <f>IFERROR(VLOOKUP(1*LEFT(C50,7),DF!$A$1:$F$9446,2,FALSE),"")</f>
        <v>BUZO FRIZA GRIS CON CIERRE  3XS/2XL RER</v>
      </c>
      <c r="F50" s="3">
        <v>2601850</v>
      </c>
      <c r="G50" t="s">
        <v>13907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">
        <v>12145</v>
      </c>
      <c r="E51" t="str">
        <f>IFERROR(VLOOKUP(1*LEFT(C51,7),DF!$A$1:$F$9446,2,FALSE),"")</f>
        <v>BUZO FRIZA GRIS CON CIERRE 3XL/4XL RER</v>
      </c>
      <c r="F51" s="3">
        <v>2601850</v>
      </c>
      <c r="G51" t="s">
        <v>13907</v>
      </c>
      <c r="H51">
        <v>5</v>
      </c>
      <c r="I51">
        <v>1</v>
      </c>
    </row>
    <row r="52" spans="1:9" x14ac:dyDescent="0.25">
      <c r="A52">
        <v>19599</v>
      </c>
      <c r="B52" t="s">
        <v>7</v>
      </c>
      <c r="C52" t="s">
        <v>12144</v>
      </c>
      <c r="E52" t="str">
        <f>IFERROR(VLOOKUP(1*LEFT(C52,7),DF!$A$1:$F$9446,2,FALSE),"")</f>
        <v>BUZO FRIZA NEGRO CON CIERRE 3XL/4XL RER</v>
      </c>
      <c r="F52" s="3">
        <v>2601900</v>
      </c>
      <c r="G52" t="s">
        <v>13908</v>
      </c>
      <c r="H52">
        <v>6</v>
      </c>
      <c r="I52">
        <v>1</v>
      </c>
    </row>
    <row r="53" spans="1:9" x14ac:dyDescent="0.25">
      <c r="A53">
        <v>19599</v>
      </c>
      <c r="B53" t="s">
        <v>7</v>
      </c>
      <c r="C53" t="str">
        <f>CONCATENATE(F53,"##")</f>
        <v>2601900##</v>
      </c>
      <c r="E53" t="str">
        <f>IFERROR(VLOOKUP(1*LEFT(C53,7),DF!$A$1:$F$9446,2,FALSE),"")</f>
        <v>BUZO FRIZA NEGRO CON CIERRE 3XS/2XL RER</v>
      </c>
      <c r="F53" s="3">
        <v>2601900</v>
      </c>
      <c r="G53" t="s">
        <v>13908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s="2" t="str">
        <f>CONCATENATE(F54,"##")</f>
        <v>4120086##</v>
      </c>
      <c r="D54" s="2"/>
      <c r="E54" s="2" t="str">
        <f>IFERROR(VLOOKUP(1*LEFT(C54,7),DF!$A$1:$F$9446,2,FALSE),"")</f>
        <v>CAMISA MC AZUL SOLAPA VIP 34/44</v>
      </c>
      <c r="F54" s="2">
        <v>4120086</v>
      </c>
      <c r="G54" t="s">
        <v>13909</v>
      </c>
      <c r="H54">
        <v>7</v>
      </c>
      <c r="I54">
        <v>1</v>
      </c>
    </row>
    <row r="55" spans="1:9" x14ac:dyDescent="0.25">
      <c r="A55">
        <v>19599</v>
      </c>
      <c r="B55" t="s">
        <v>7</v>
      </c>
      <c r="C55" s="2" t="s">
        <v>12394</v>
      </c>
      <c r="D55" s="2"/>
      <c r="E55" s="2" t="str">
        <f>IFERROR(VLOOKUP(1*LEFT(C55,7),DF!$A$1:$F$9446,2,FALSE),"")</f>
        <v>CAMISA MC AZUL SOLAPA VIP 46/50</v>
      </c>
      <c r="F55" s="2">
        <v>4120086</v>
      </c>
      <c r="G55" t="s">
        <v>13909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s="2" t="s">
        <v>12415</v>
      </c>
      <c r="D56" s="2"/>
      <c r="E56" s="2" t="str">
        <f>IFERROR(VLOOKUP(1*LEFT(C56,7),DF!$A$1:$F$9446,2,FALSE),"")</f>
        <v>CAMISA MC AZUL SOLAPA VIP 52/56</v>
      </c>
      <c r="F56" s="2">
        <v>4120086</v>
      </c>
      <c r="G56" t="s">
        <v>13909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12395</v>
      </c>
      <c r="D57" s="2"/>
      <c r="E57" s="2" t="str">
        <f>IFERROR(VLOOKUP(1*LEFT(C57,7),DF!$A$1:$F$9446,2,FALSE),"")</f>
        <v>CAMISA MC AZUL SOLAPA VIP 58/66</v>
      </c>
      <c r="F57" s="2">
        <v>4120086</v>
      </c>
      <c r="G57" t="s">
        <v>13909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4120600##</v>
      </c>
      <c r="E58" t="str">
        <f>IFERROR(VLOOKUP(1*LEFT(C58,7),DF!$A$1:$F$9446,2,FALSE),"")</f>
        <v>CAMISA MC BAT AZUL CORBATA 34/44 RER</v>
      </c>
      <c r="F58">
        <v>4120600</v>
      </c>
      <c r="G58" t="s">
        <v>13910</v>
      </c>
      <c r="H58">
        <v>1</v>
      </c>
      <c r="I58">
        <v>1</v>
      </c>
    </row>
    <row r="59" spans="1:9" x14ac:dyDescent="0.25">
      <c r="A59">
        <v>19599</v>
      </c>
      <c r="B59" t="s">
        <v>7</v>
      </c>
      <c r="C59" t="s">
        <v>4167</v>
      </c>
      <c r="E59" t="str">
        <f>IFERROR(VLOOKUP(1*LEFT(C59,7),DF!$A$1:$F$9446,2,FALSE),"")</f>
        <v>CAMISA MC BAT AZUL CORBATA 46/50 RER</v>
      </c>
      <c r="F59">
        <v>4120600</v>
      </c>
      <c r="G59" t="s">
        <v>13910</v>
      </c>
      <c r="H59">
        <v>1</v>
      </c>
      <c r="I59">
        <v>1</v>
      </c>
    </row>
    <row r="60" spans="1:9" x14ac:dyDescent="0.25">
      <c r="A60">
        <v>19599</v>
      </c>
      <c r="B60" t="s">
        <v>7</v>
      </c>
      <c r="C60" t="s">
        <v>12402</v>
      </c>
      <c r="E60" t="str">
        <f>IFERROR(VLOOKUP(1*LEFT(C60,7),DF!$A$1:$F$9446,2,FALSE),"")</f>
        <v>CAMISA MC BAT AZUL CORBATA 52/56 RER</v>
      </c>
      <c r="F60">
        <v>4120600</v>
      </c>
      <c r="G60" t="s">
        <v>13910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tr">
        <f>CONCATENATE(F61,"##")</f>
        <v>4120300##</v>
      </c>
      <c r="E61" t="str">
        <f>IFERROR(VLOOKUP(1*LEFT(C61,7),DF!$A$1:$F$9446,2,FALSE),"")</f>
        <v>CAMISA MC BAT AZUL CORBATA VIP 34/44</v>
      </c>
      <c r="F61">
        <v>4120300</v>
      </c>
      <c r="G61" t="s">
        <v>13911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12411</v>
      </c>
      <c r="E62" t="str">
        <f>IFERROR(VLOOKUP(1*LEFT(C62,7),DF!$A$1:$F$9446,2,FALSE),"")</f>
        <v>CAMISA MC BAT AZUL CORBATA VIP 46/50</v>
      </c>
      <c r="F62">
        <v>4120300</v>
      </c>
      <c r="G62" t="s">
        <v>13911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">
        <v>12412</v>
      </c>
      <c r="E63" t="str">
        <f>IFERROR(VLOOKUP(1*LEFT(C63,7),DF!$A$1:$F$9446,2,FALSE),"")</f>
        <v>CAMISA MC BAT AZUL CORBATA VIP 52/56</v>
      </c>
      <c r="F63">
        <v>4120300</v>
      </c>
      <c r="G63" t="s">
        <v>13911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s="2" t="str">
        <f>CONCATENATE(F64,"##")</f>
        <v>4120854##</v>
      </c>
      <c r="D64" s="2"/>
      <c r="E64" s="2" t="str">
        <f>IFERROR(VLOOKUP(1*LEFT(C64,7),DF!$A$1:$F$9446,2,FALSE),"")</f>
        <v>CAMISA MC BAT AZUL SOLAPA 34/44 RER</v>
      </c>
      <c r="F64" s="2">
        <v>4120854</v>
      </c>
      <c r="G64" t="s">
        <v>13912</v>
      </c>
      <c r="H64" s="2">
        <v>7</v>
      </c>
      <c r="I64">
        <v>1</v>
      </c>
    </row>
    <row r="65" spans="1:9" x14ac:dyDescent="0.25">
      <c r="A65">
        <v>19599</v>
      </c>
      <c r="B65" t="s">
        <v>7</v>
      </c>
      <c r="C65" s="2" t="s">
        <v>2959</v>
      </c>
      <c r="D65" s="2"/>
      <c r="E65" s="2" t="str">
        <f>IFERROR(VLOOKUP(1*LEFT(C65,7),DF!$A$1:$F$9446,2,FALSE),"")</f>
        <v>CAMISA MC BAT AZUL SOLAPA 46/50 RER</v>
      </c>
      <c r="F65" s="2">
        <v>4120854</v>
      </c>
      <c r="G65" t="s">
        <v>13912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s="2" t="s">
        <v>2967</v>
      </c>
      <c r="D66" s="2"/>
      <c r="E66" s="2" t="str">
        <f>IFERROR(VLOOKUP(1*LEFT(C66,7),DF!$A$1:$F$9446,2,FALSE),"")</f>
        <v>CAMISA MC BAT AZUL SOLAPA 52/56 RER</v>
      </c>
      <c r="F66" s="2">
        <v>4120854</v>
      </c>
      <c r="G66" t="s">
        <v>13912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12382</v>
      </c>
      <c r="D67" s="2"/>
      <c r="E67" s="2" t="str">
        <f>IFERROR(VLOOKUP(1*LEFT(C67,7),DF!$A$1:$F$9446,2,FALSE),"")</f>
        <v>CAMISA MC BAT BEIGE LMGE 30/32 RER</v>
      </c>
      <c r="F67" s="2">
        <v>4130777</v>
      </c>
      <c r="G67" t="s">
        <v>13913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tr">
        <f>CONCATENATE(F68,"##")</f>
        <v>4130777##</v>
      </c>
      <c r="D68" s="2"/>
      <c r="E68" s="2" t="str">
        <f>IFERROR(VLOOKUP(1*LEFT(C68,7),DF!$A$1:$F$9446,2,FALSE),"")</f>
        <v>CAMISA MC BAT BEIGE LMGE 34/44 RER</v>
      </c>
      <c r="F68" s="2">
        <v>4130777</v>
      </c>
      <c r="G68" t="s">
        <v>13913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3067</v>
      </c>
      <c r="D69" s="2"/>
      <c r="E69" s="2" t="str">
        <f>IFERROR(VLOOKUP(1*LEFT(C69,7),DF!$A$1:$F$9446,2,FALSE),"")</f>
        <v>CAMISA MC BAT BEIGE LMGE 46/50 RER</v>
      </c>
      <c r="F69" s="2">
        <v>4130777</v>
      </c>
      <c r="G69" t="s">
        <v>13913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10864</v>
      </c>
      <c r="D70" s="2"/>
      <c r="E70" s="2" t="str">
        <f>IFERROR(VLOOKUP(1*LEFT(C70,7),DF!$A$1:$F$9446,2,FALSE),"")</f>
        <v>CAMISA MC BAT BEIGE LMGE 52/56 RER</v>
      </c>
      <c r="F70" s="2">
        <v>4130777</v>
      </c>
      <c r="G70" t="s">
        <v>13913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12383</v>
      </c>
      <c r="D71" s="2"/>
      <c r="E71" s="2" t="str">
        <f>IFERROR(VLOOKUP(1*LEFT(C71,7),DF!$A$1:$F$9446,2,FALSE),"")</f>
        <v>CAMISA MC BAT BEIGE LMGE 58/62 RER</v>
      </c>
      <c r="F71" s="2">
        <v>4130777</v>
      </c>
      <c r="G71" t="s">
        <v>13913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4120038##</v>
      </c>
      <c r="E72" t="str">
        <f>IFERROR(VLOOKUP(1*LEFT(C72,7),DF!$A$1:$F$9446,2,FALSE),"")</f>
        <v>CAMISA MC BAT BLANCA CORBATA 34/44 RER</v>
      </c>
      <c r="F72">
        <v>4120038</v>
      </c>
      <c r="G72" t="s">
        <v>13914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12405</v>
      </c>
      <c r="E73" t="str">
        <f>IFERROR(VLOOKUP(1*LEFT(C73,7),DF!$A$1:$F$9446,2,FALSE),"")</f>
        <v>CAMISA MC BAT BLANCA CORBATA 46/50 RER</v>
      </c>
      <c r="F73">
        <v>4120038</v>
      </c>
      <c r="G73" t="s">
        <v>13914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">
        <v>12406</v>
      </c>
      <c r="E74" t="str">
        <f>IFERROR(VLOOKUP(1*LEFT(C74,7),DF!$A$1:$F$9446,2,FALSE),"")</f>
        <v>CAMISA MC BAT BLANCA CORBATA 52/56 RER</v>
      </c>
      <c r="F74">
        <v>4120038</v>
      </c>
      <c r="G74" t="s">
        <v>13914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12407</v>
      </c>
      <c r="E75" t="str">
        <f>IFERROR(VLOOKUP(1*LEFT(C75,7),DF!$A$1:$F$9446,2,FALSE),"")</f>
        <v>CAMISA MC BAT BLANCA CORBATA 58/62 RER</v>
      </c>
      <c r="F75">
        <v>4120038</v>
      </c>
      <c r="G75" t="s">
        <v>13914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s="2" t="str">
        <f>CONCATENATE(F76,"##")</f>
        <v>4120110##</v>
      </c>
      <c r="D76" s="2"/>
      <c r="E76" s="2" t="str">
        <f>IFERROR(VLOOKUP(1*LEFT(C76,7),DF!$A$1:$F$9446,2,FALSE),"")</f>
        <v>CAMISA MC BAT BLANCA SOLAPA 34/44 RER</v>
      </c>
      <c r="F76" s="2">
        <v>4120110</v>
      </c>
      <c r="G76" s="2" t="s">
        <v>13915</v>
      </c>
      <c r="H76" s="2">
        <v>7</v>
      </c>
      <c r="I76">
        <v>1</v>
      </c>
    </row>
    <row r="77" spans="1:9" x14ac:dyDescent="0.25">
      <c r="A77">
        <v>19599</v>
      </c>
      <c r="B77" t="s">
        <v>7</v>
      </c>
      <c r="C77" s="2" t="s">
        <v>3045</v>
      </c>
      <c r="D77" s="2"/>
      <c r="E77" s="2" t="str">
        <f>IFERROR(VLOOKUP(1*LEFT(C77,7),DF!$A$1:$F$9446,2,FALSE),"")</f>
        <v>CAMISA MC BAT BLANCA SOLAPA 46/50 RER</v>
      </c>
      <c r="F77" s="2">
        <v>4120110</v>
      </c>
      <c r="G77" s="2" t="s">
        <v>13915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10858</v>
      </c>
      <c r="D78" s="2"/>
      <c r="E78" s="2" t="str">
        <f>IFERROR(VLOOKUP(1*LEFT(C78,7),DF!$A$1:$F$9446,2,FALSE),"")</f>
        <v>CAMISA MC BAT BLANCA SOLAPA 52/56 RER</v>
      </c>
      <c r="F78" s="2">
        <v>4120110</v>
      </c>
      <c r="G78" t="s">
        <v>13915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10859</v>
      </c>
      <c r="D79" s="2"/>
      <c r="E79" s="2" t="str">
        <f>IFERROR(VLOOKUP(1*LEFT(C79,7),DF!$A$1:$F$9446,2,FALSE),"")</f>
        <v>CAMISA MC BAT BLANCA SOLAPA 58/62 RER</v>
      </c>
      <c r="F79" s="2">
        <v>4120110</v>
      </c>
      <c r="G79" t="s">
        <v>13915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12384</v>
      </c>
      <c r="D80" s="2"/>
      <c r="E80" s="2" t="str">
        <f>IFERROR(VLOOKUP(1*LEFT(C80,7),DF!$A$1:$F$9446,2,FALSE),"")</f>
        <v>CAMISA MC BAT BLANCA SOLAPA 64/66 RER</v>
      </c>
      <c r="F80" s="2">
        <v>4120110</v>
      </c>
      <c r="G80" t="s">
        <v>13915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4120860##</v>
      </c>
      <c r="E81" t="str">
        <f>IFERROR(VLOOKUP(1*LEFT(C81,7),DF!$A$1:$F$9446,2,FALSE),"")</f>
        <v>CAMISA MC BAT CEL CORBATA 34/44 RER</v>
      </c>
      <c r="F81">
        <v>4120860</v>
      </c>
      <c r="G81" t="s">
        <v>13916</v>
      </c>
      <c r="H81">
        <v>1</v>
      </c>
      <c r="I81">
        <v>1</v>
      </c>
    </row>
    <row r="82" spans="1:9" x14ac:dyDescent="0.25">
      <c r="A82">
        <v>19599</v>
      </c>
      <c r="B82" t="s">
        <v>7</v>
      </c>
      <c r="C82" t="s">
        <v>4233</v>
      </c>
      <c r="E82" t="str">
        <f>IFERROR(VLOOKUP(1*LEFT(C82,7),DF!$A$1:$F$9446,2,FALSE),"")</f>
        <v>CAMISA MC BAT CEL CORBATA 46/50 RER</v>
      </c>
      <c r="F82">
        <v>4120860</v>
      </c>
      <c r="G82" t="s">
        <v>13916</v>
      </c>
      <c r="H82">
        <v>1</v>
      </c>
      <c r="I82">
        <v>1</v>
      </c>
    </row>
    <row r="83" spans="1:9" x14ac:dyDescent="0.25">
      <c r="A83">
        <v>19599</v>
      </c>
      <c r="B83" t="s">
        <v>7</v>
      </c>
      <c r="C83" t="s">
        <v>12403</v>
      </c>
      <c r="E83" t="str">
        <f>IFERROR(VLOOKUP(1*LEFT(C83,7),DF!$A$1:$F$9446,2,FALSE),"")</f>
        <v>CAMISA MC BAT CEL CORBATA 52/56 RER</v>
      </c>
      <c r="F83">
        <v>4120860</v>
      </c>
      <c r="G83" t="s">
        <v>13916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12404</v>
      </c>
      <c r="E84" t="str">
        <f>IFERROR(VLOOKUP(1*LEFT(C84,7),DF!$A$1:$F$9446,2,FALSE),"")</f>
        <v>CAMISA MC BAT CEL CORBATA 58/62 RER</v>
      </c>
      <c r="F84">
        <v>4120860</v>
      </c>
      <c r="G84" t="s">
        <v>13916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4120239##</v>
      </c>
      <c r="E85" t="str">
        <f>IFERROR(VLOOKUP(1*LEFT(C85,7),DF!$A$1:$F$9446,2,FALSE),"")</f>
        <v>CAMISA MC BAT CEL NQN CORB 34/44 RER</v>
      </c>
      <c r="F85">
        <v>4120239</v>
      </c>
      <c r="G85" t="s">
        <v>13917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12413</v>
      </c>
      <c r="E86" t="str">
        <f>IFERROR(VLOOKUP(1*LEFT(C86,7),DF!$A$1:$F$9446,2,FALSE),"")</f>
        <v>CAMISA MC BAT CEL NQN CORB 46/50 RER</v>
      </c>
      <c r="F86">
        <v>4120239</v>
      </c>
      <c r="G86" t="s">
        <v>13917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12414</v>
      </c>
      <c r="E87" t="str">
        <f>IFERROR(VLOOKUP(1*LEFT(C87,7),DF!$A$1:$F$9446,2,FALSE),"")</f>
        <v>CAMISA MC BAT CEL NQN CORB 52/56 RER</v>
      </c>
      <c r="F87">
        <v>4120239</v>
      </c>
      <c r="G87" t="s">
        <v>13917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s="2" t="str">
        <f>CONCATENATE(F88,"##")</f>
        <v>4120242##</v>
      </c>
      <c r="D88" s="2"/>
      <c r="E88" s="2" t="str">
        <f>IFERROR(VLOOKUP(1*LEFT(C88,7),DF!$A$1:$F$9446,2,FALSE),"")</f>
        <v>CAMISA MC BAT CEL NQN SOLAP 34/44 RER</v>
      </c>
      <c r="F88" s="2">
        <v>4120242</v>
      </c>
      <c r="G88" t="s">
        <v>13918</v>
      </c>
      <c r="H88" s="2">
        <v>7</v>
      </c>
      <c r="I88">
        <v>1</v>
      </c>
    </row>
    <row r="89" spans="1:9" x14ac:dyDescent="0.25">
      <c r="A89">
        <v>19599</v>
      </c>
      <c r="B89" t="s">
        <v>7</v>
      </c>
      <c r="C89" s="2" t="s">
        <v>10856</v>
      </c>
      <c r="D89" s="2"/>
      <c r="E89" s="2" t="str">
        <f>IFERROR(VLOOKUP(1*LEFT(C89,7),DF!$A$1:$F$9446,2,FALSE),"")</f>
        <v>CAMISA MC BAT CEL NQN SOLAP 46/50 RER</v>
      </c>
      <c r="F89" s="2">
        <v>4120242</v>
      </c>
      <c r="G89" t="s">
        <v>13918</v>
      </c>
      <c r="H89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10857</v>
      </c>
      <c r="D90" s="2"/>
      <c r="E90" s="2" t="str">
        <f>IFERROR(VLOOKUP(1*LEFT(C90,7),DF!$A$1:$F$9446,2,FALSE),"")</f>
        <v>CAMISA MC BAT CEL NQN SOLAP 52/56 RER</v>
      </c>
      <c r="F90" s="2">
        <v>4120242</v>
      </c>
      <c r="G90" t="s">
        <v>13918</v>
      </c>
      <c r="H90">
        <v>7</v>
      </c>
      <c r="I90">
        <v>1</v>
      </c>
    </row>
    <row r="91" spans="1:9" x14ac:dyDescent="0.25">
      <c r="A91">
        <v>19599</v>
      </c>
      <c r="B91" t="s">
        <v>7</v>
      </c>
      <c r="C91" s="2" t="str">
        <f>CONCATENATE(F91,"##")</f>
        <v>4120800##</v>
      </c>
      <c r="D91" s="2"/>
      <c r="E91" s="2" t="str">
        <f>IFERROR(VLOOKUP(1*LEFT(C91,7),DF!$A$1:$F$9446,2,FALSE),"")</f>
        <v>CAMISA MC BAT CEL SOLAPA 34/44 RER</v>
      </c>
      <c r="F91" s="2">
        <v>4120800</v>
      </c>
      <c r="G91" t="s">
        <v>13919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2093</v>
      </c>
      <c r="D92" s="2"/>
      <c r="E92" s="2" t="str">
        <f>IFERROR(VLOOKUP(1*LEFT(C92,7),DF!$A$1:$F$9446,2,FALSE),"")</f>
        <v>CAMISA MC BAT CEL SOLAPA 46/50 RER</v>
      </c>
      <c r="F92" s="2">
        <v>4120800</v>
      </c>
      <c r="G92" t="s">
        <v>13919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2101</v>
      </c>
      <c r="D93" s="2"/>
      <c r="E93" s="2" t="str">
        <f>IFERROR(VLOOKUP(1*LEFT(C93,7),DF!$A$1:$F$9446,2,FALSE),"")</f>
        <v>CAMISA MC BAT CEL SOLAPA 52/56 RER</v>
      </c>
      <c r="F93" s="2">
        <v>4120800</v>
      </c>
      <c r="G93" t="s">
        <v>13919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10863</v>
      </c>
      <c r="D94" s="2"/>
      <c r="E94" s="2" t="str">
        <f>IFERROR(VLOOKUP(1*LEFT(C94,7),DF!$A$1:$F$9446,2,FALSE),"")</f>
        <v>CAMISA MC BAT CEL SOLAPA 58/62 RER</v>
      </c>
      <c r="F94" s="2">
        <v>4120800</v>
      </c>
      <c r="G94" t="s">
        <v>13919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12385</v>
      </c>
      <c r="D95" s="2"/>
      <c r="E95" s="2" t="str">
        <f>IFERROR(VLOOKUP(1*LEFT(C95,7),DF!$A$1:$F$9446,2,FALSE),"")</f>
        <v>CAMISA MC BAT CEL SOLAPA 64/68 RER</v>
      </c>
      <c r="F95" s="2">
        <v>4120800</v>
      </c>
      <c r="G95" t="s">
        <v>13919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tr">
        <f>CONCATENATE(F96,"##")</f>
        <v>4120015##</v>
      </c>
      <c r="D96" s="2"/>
      <c r="E96" s="2" t="str">
        <f>IFERROR(VLOOKUP(1*LEFT(C96,7),DF!$A$1:$F$9446,2,FALSE),"")</f>
        <v>CAMISA MC BAT CELESTE ITAL 32/44 RER</v>
      </c>
      <c r="F96" s="2">
        <v>4120015</v>
      </c>
      <c r="G96" t="s">
        <v>13920</v>
      </c>
      <c r="H96">
        <v>7</v>
      </c>
      <c r="I96">
        <v>1</v>
      </c>
    </row>
    <row r="97" spans="1:9" x14ac:dyDescent="0.25">
      <c r="A97">
        <v>19599</v>
      </c>
      <c r="B97" t="s">
        <v>7</v>
      </c>
      <c r="C97" t="str">
        <f>CONCATENATE(F97,"##")</f>
        <v>4120015##</v>
      </c>
      <c r="E97" t="str">
        <f>IFERROR(VLOOKUP(1*LEFT(C97,7),DF!$A$1:$F$9446,2,FALSE),"")</f>
        <v>CAMISA MC BAT CELESTE ITAL 32/44 RER</v>
      </c>
      <c r="F97">
        <v>4120015</v>
      </c>
      <c r="G97" t="s">
        <v>13920</v>
      </c>
      <c r="H97">
        <v>7</v>
      </c>
      <c r="I97">
        <v>1</v>
      </c>
    </row>
    <row r="98" spans="1:9" x14ac:dyDescent="0.25">
      <c r="A98">
        <v>19599</v>
      </c>
      <c r="B98" t="s">
        <v>7</v>
      </c>
      <c r="C98" s="2" t="s">
        <v>12380</v>
      </c>
      <c r="D98" s="2"/>
      <c r="E98" s="2" t="str">
        <f>IFERROR(VLOOKUP(1*LEFT(C98,7),DF!$A$1:$F$9446,2,FALSE),"")</f>
        <v>CAMISA MC BAT CELESTE ITAL 46/50 RER</v>
      </c>
      <c r="F98" s="2">
        <v>4120015</v>
      </c>
      <c r="G98" t="s">
        <v>13920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">
        <v>12380</v>
      </c>
      <c r="E99" t="str">
        <f>IFERROR(VLOOKUP(1*LEFT(C99,7),DF!$A$1:$F$9446,2,FALSE),"")</f>
        <v>CAMISA MC BAT CELESTE ITAL 46/50 RER</v>
      </c>
      <c r="F99">
        <v>4120015</v>
      </c>
      <c r="G99" t="s">
        <v>13920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12381</v>
      </c>
      <c r="D100" s="2"/>
      <c r="E100" s="2" t="str">
        <f>IFERROR(VLOOKUP(1*LEFT(C100,7),DF!$A$1:$F$9446,2,FALSE),"")</f>
        <v>CAMISA MC BAT CELESTE ITAL 52/56 RER</v>
      </c>
      <c r="F100" s="2">
        <v>4120015</v>
      </c>
      <c r="G100" t="s">
        <v>13920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12381</v>
      </c>
      <c r="E101" t="str">
        <f>IFERROR(VLOOKUP(1*LEFT(C101,7),DF!$A$1:$F$9446,2,FALSE),"")</f>
        <v>CAMISA MC BAT CELESTE ITAL 52/56 RER</v>
      </c>
      <c r="F101">
        <v>4120015</v>
      </c>
      <c r="G101" t="s">
        <v>13920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t="str">
        <f>CONCATENATE(F102,"##")</f>
        <v>4120670##</v>
      </c>
      <c r="E102" t="str">
        <f>IFERROR(VLOOKUP(1*LEFT(C102,7),DF!$A$1:$F$9446,2,FALSE),"")</f>
        <v>CAMISA MC BAT GRIS CORBATA 34/44 RER</v>
      </c>
      <c r="F102">
        <v>4120670</v>
      </c>
      <c r="G102" t="s">
        <v>13921</v>
      </c>
      <c r="H102" s="2">
        <v>1</v>
      </c>
      <c r="I102">
        <v>1</v>
      </c>
    </row>
    <row r="103" spans="1:9" x14ac:dyDescent="0.25">
      <c r="A103">
        <v>19599</v>
      </c>
      <c r="B103" t="s">
        <v>7</v>
      </c>
      <c r="C103" t="s">
        <v>4189</v>
      </c>
      <c r="E103" t="str">
        <f>IFERROR(VLOOKUP(1*LEFT(C103,7),DF!$A$1:$F$9446,2,FALSE),"")</f>
        <v>CAMISA MC BAT GRIS CORBATA 46/50 RER</v>
      </c>
      <c r="F103">
        <v>4120670</v>
      </c>
      <c r="G103" t="s">
        <v>13921</v>
      </c>
      <c r="H103" s="2">
        <v>1</v>
      </c>
      <c r="I103">
        <v>1</v>
      </c>
    </row>
    <row r="104" spans="1:9" x14ac:dyDescent="0.25">
      <c r="A104">
        <v>19599</v>
      </c>
      <c r="B104" t="s">
        <v>7</v>
      </c>
      <c r="C104" t="s">
        <v>12408</v>
      </c>
      <c r="E104" t="str">
        <f>IFERROR(VLOOKUP(1*LEFT(C104,7),DF!$A$1:$F$9446,2,FALSE),"")</f>
        <v>CAMISA MC BAT GRIS CORBATA 52/56 RER</v>
      </c>
      <c r="F104">
        <v>4120670</v>
      </c>
      <c r="G104" t="s">
        <v>13921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12409</v>
      </c>
      <c r="E105" t="str">
        <f>IFERROR(VLOOKUP(1*LEFT(C105,7),DF!$A$1:$F$9446,2,FALSE),"")</f>
        <v>CAMISA MC BAT GRIS CORBATA 58/62 RER</v>
      </c>
      <c r="F105">
        <v>4120670</v>
      </c>
      <c r="G105" t="s">
        <v>13921</v>
      </c>
      <c r="H105">
        <v>1</v>
      </c>
      <c r="I105">
        <v>1</v>
      </c>
    </row>
    <row r="106" spans="1:9" x14ac:dyDescent="0.25">
      <c r="A106">
        <v>19599</v>
      </c>
      <c r="B106" t="s">
        <v>7</v>
      </c>
      <c r="C106" s="2" t="str">
        <f>CONCATENATE(F106,"##")</f>
        <v>4120567##</v>
      </c>
      <c r="D106" s="2"/>
      <c r="E106" s="2" t="str">
        <f>IFERROR(VLOOKUP(1*LEFT(C106,7),DF!$A$1:$F$9446,2,FALSE),"")</f>
        <v>CAMISA MC BAT GRIS SOLAPA 34/44 RER</v>
      </c>
      <c r="F106" s="2">
        <v>4120567</v>
      </c>
      <c r="G106" t="s">
        <v>13922</v>
      </c>
      <c r="H106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3021</v>
      </c>
      <c r="D107" s="2"/>
      <c r="E107" s="2" t="str">
        <f>IFERROR(VLOOKUP(1*LEFT(C107,7),DF!$A$1:$F$9446,2,FALSE),"")</f>
        <v>CAMISA MC BAT GRIS SOLAPA 46/50 RER</v>
      </c>
      <c r="F107" s="2">
        <v>4120567</v>
      </c>
      <c r="G107" t="s">
        <v>13922</v>
      </c>
      <c r="H107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4999</v>
      </c>
      <c r="D108" s="2"/>
      <c r="E108" s="2" t="str">
        <f>IFERROR(VLOOKUP(1*LEFT(C108,7),DF!$A$1:$F$9446,2,FALSE),"")</f>
        <v>CAMISA MC BAT GRIS SOLAPA 52/56 RER</v>
      </c>
      <c r="F108" s="2">
        <v>4120567</v>
      </c>
      <c r="G108" t="s">
        <v>13922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t="str">
        <f>CONCATENATE(F109,"##")</f>
        <v>4120007##</v>
      </c>
      <c r="E109" t="str">
        <f>IFERROR(VLOOKUP(1*LEFT(C109,7),DF!$A$1:$F$9446,2,FALSE),"")</f>
        <v>CAMISA MC BAT GRIS TORC CORB 34/44 RER</v>
      </c>
      <c r="F109">
        <v>4120007</v>
      </c>
      <c r="G109" t="s">
        <v>13923</v>
      </c>
      <c r="H109">
        <v>1</v>
      </c>
      <c r="I109">
        <v>1</v>
      </c>
    </row>
    <row r="110" spans="1:9" x14ac:dyDescent="0.25">
      <c r="A110">
        <v>19599</v>
      </c>
      <c r="B110" t="s">
        <v>7</v>
      </c>
      <c r="C110" t="s">
        <v>4971</v>
      </c>
      <c r="E110" t="str">
        <f>IFERROR(VLOOKUP(1*LEFT(C110,7),DF!$A$1:$F$9446,2,FALSE),"")</f>
        <v>CAMISA MC BAT GRIS TORC CORB 46/50 RER</v>
      </c>
      <c r="F110">
        <v>4120007</v>
      </c>
      <c r="G110" t="s">
        <v>13923</v>
      </c>
      <c r="H110">
        <v>1</v>
      </c>
      <c r="I110">
        <v>1</v>
      </c>
    </row>
    <row r="111" spans="1:9" x14ac:dyDescent="0.25">
      <c r="A111">
        <v>19599</v>
      </c>
      <c r="B111" t="s">
        <v>7</v>
      </c>
      <c r="C111" t="s">
        <v>4979</v>
      </c>
      <c r="E111" t="str">
        <f>IFERROR(VLOOKUP(1*LEFT(C111,7),DF!$A$1:$F$9446,2,FALSE),"")</f>
        <v>CAMISA MC BAT GRIS TORC CORB 52/56 RER</v>
      </c>
      <c r="F111">
        <v>4120007</v>
      </c>
      <c r="G111" t="s">
        <v>13923</v>
      </c>
      <c r="H111">
        <v>1</v>
      </c>
      <c r="I111">
        <v>1</v>
      </c>
    </row>
    <row r="112" spans="1:9" x14ac:dyDescent="0.25">
      <c r="A112" s="2">
        <v>19599</v>
      </c>
      <c r="B112" s="2" t="s">
        <v>7</v>
      </c>
      <c r="C112" s="2" t="str">
        <f>CONCATENATE(F112,"##")</f>
        <v>4120042##</v>
      </c>
      <c r="D112" s="2"/>
      <c r="E112" s="2" t="str">
        <f>IFERROR(VLOOKUP(1*LEFT(C112,7),DF!$A$1:$F$9446,2,FALSE),"")</f>
        <v>CAMISA MC BAT GRIS TORC SOLAPA 34/44 RER</v>
      </c>
      <c r="F112" s="2">
        <v>4120042</v>
      </c>
      <c r="G112" t="s">
        <v>13924</v>
      </c>
      <c r="H112">
        <v>7</v>
      </c>
      <c r="I112">
        <v>1</v>
      </c>
    </row>
    <row r="113" spans="1:9" x14ac:dyDescent="0.25">
      <c r="A113" s="2">
        <v>19599</v>
      </c>
      <c r="B113" s="2" t="s">
        <v>7</v>
      </c>
      <c r="C113" s="2" t="s">
        <v>4256</v>
      </c>
      <c r="D113" s="2"/>
      <c r="E113" s="2" t="str">
        <f>IFERROR(VLOOKUP(1*LEFT(C113,7),DF!$A$1:$F$9446,2,FALSE),"")</f>
        <v>CAMISA MC BAT GRIS TORC SOLAPA 46/50 RER</v>
      </c>
      <c r="F113" s="2">
        <v>4120042</v>
      </c>
      <c r="G113" s="2" t="s">
        <v>13924</v>
      </c>
      <c r="H113" s="2">
        <v>7</v>
      </c>
      <c r="I113">
        <v>1</v>
      </c>
    </row>
    <row r="114" spans="1:9" x14ac:dyDescent="0.25">
      <c r="A114" s="2">
        <v>19599</v>
      </c>
      <c r="B114" s="2" t="s">
        <v>7</v>
      </c>
      <c r="C114" s="2" t="s">
        <v>8381</v>
      </c>
      <c r="D114" s="2"/>
      <c r="E114" s="2" t="str">
        <f>IFERROR(VLOOKUP(1*LEFT(C114,7),DF!$A$1:$F$9446,2,FALSE),"")</f>
        <v>CAMISA MC BAT GRIS TORC SOLAPA 52/56 RER</v>
      </c>
      <c r="F114" s="2">
        <v>4120042</v>
      </c>
      <c r="G114" s="2" t="s">
        <v>13924</v>
      </c>
      <c r="H114" s="2">
        <v>7</v>
      </c>
      <c r="I114">
        <v>1</v>
      </c>
    </row>
    <row r="115" spans="1:9" x14ac:dyDescent="0.25">
      <c r="A115" s="2">
        <v>19599</v>
      </c>
      <c r="B115" s="2" t="s">
        <v>7</v>
      </c>
      <c r="C115" s="2" t="s">
        <v>12386</v>
      </c>
      <c r="D115" s="2"/>
      <c r="E115" s="2" t="str">
        <f>IFERROR(VLOOKUP(1*LEFT(C115,7),DF!$A$1:$F$9446,2,FALSE),"")</f>
        <v>CAMISA MC BAT GRIS TORC SOLAPA 58/62 RER</v>
      </c>
      <c r="F115" s="2">
        <v>4120042</v>
      </c>
      <c r="G115" s="2" t="s">
        <v>13924</v>
      </c>
      <c r="H115" s="2">
        <v>7</v>
      </c>
      <c r="I115">
        <v>1</v>
      </c>
    </row>
    <row r="116" spans="1:9" x14ac:dyDescent="0.25">
      <c r="A116" s="2">
        <v>19599</v>
      </c>
      <c r="B116" s="2" t="s">
        <v>7</v>
      </c>
      <c r="C116" t="str">
        <f>CONCATENATE(F116,"##")</f>
        <v>4120700##</v>
      </c>
      <c r="E116" t="str">
        <f>IFERROR(VLOOKUP(1*LEFT(C116,7),DF!$A$1:$F$9446,2,FALSE),"")</f>
        <v>CAMISA MC BAT NEGRA CORBATA 34/44 RER</v>
      </c>
      <c r="F116">
        <v>4120700</v>
      </c>
      <c r="G116" t="s">
        <v>13925</v>
      </c>
      <c r="H116">
        <v>1</v>
      </c>
      <c r="I116">
        <v>1</v>
      </c>
    </row>
    <row r="117" spans="1:9" x14ac:dyDescent="0.25">
      <c r="A117" s="2">
        <v>19599</v>
      </c>
      <c r="B117" s="2" t="s">
        <v>7</v>
      </c>
      <c r="C117" t="s">
        <v>4211</v>
      </c>
      <c r="E117" t="str">
        <f>IFERROR(VLOOKUP(1*LEFT(C117,7),DF!$A$1:$F$9446,2,FALSE),"")</f>
        <v>CAMISA MC BAT NEGRA CORBATA 46/50 RER</v>
      </c>
      <c r="F117">
        <v>4120700</v>
      </c>
      <c r="G117" t="s">
        <v>13925</v>
      </c>
      <c r="H117">
        <v>1</v>
      </c>
      <c r="I117">
        <v>1</v>
      </c>
    </row>
    <row r="118" spans="1:9" x14ac:dyDescent="0.25">
      <c r="A118" s="2">
        <v>19599</v>
      </c>
      <c r="B118" s="2" t="s">
        <v>7</v>
      </c>
      <c r="C118" t="s">
        <v>12410</v>
      </c>
      <c r="E118" t="str">
        <f>IFERROR(VLOOKUP(1*LEFT(C118,7),DF!$A$1:$F$9446,2,FALSE),"")</f>
        <v>CAMISA MC BAT NEGRA CORBATA 52/56 RER</v>
      </c>
      <c r="F118">
        <v>4120700</v>
      </c>
      <c r="G118" t="s">
        <v>13925</v>
      </c>
      <c r="H118">
        <v>1</v>
      </c>
      <c r="I118">
        <v>1</v>
      </c>
    </row>
    <row r="119" spans="1:9" x14ac:dyDescent="0.25">
      <c r="A119" s="2">
        <v>19599</v>
      </c>
      <c r="B119" s="2" t="s">
        <v>7</v>
      </c>
      <c r="C119" s="2" t="str">
        <f>CONCATENATE(F119,"##")</f>
        <v>4120982##</v>
      </c>
      <c r="D119" s="2"/>
      <c r="E119" s="2" t="str">
        <f>IFERROR(VLOOKUP(1*LEFT(C119,7),DF!$A$1:$F$9446,2,FALSE),"")</f>
        <v>CAMISA MC BAT NEGRA SOLAPA 34/44 RER</v>
      </c>
      <c r="F119" s="2">
        <v>4120982</v>
      </c>
      <c r="G119" t="s">
        <v>13926</v>
      </c>
      <c r="H119">
        <v>7</v>
      </c>
      <c r="I119">
        <v>1</v>
      </c>
    </row>
    <row r="120" spans="1:9" x14ac:dyDescent="0.25">
      <c r="A120" s="2">
        <v>19599</v>
      </c>
      <c r="B120" s="2" t="s">
        <v>7</v>
      </c>
      <c r="C120" s="2" t="s">
        <v>2991</v>
      </c>
      <c r="D120" s="2"/>
      <c r="E120" s="2" t="str">
        <f>IFERROR(VLOOKUP(1*LEFT(C120,7),DF!$A$1:$F$9446,2,FALSE),"")</f>
        <v>CAMISA MC BAT NEGRA SOLAPA 46/50 RER</v>
      </c>
      <c r="F120" s="2">
        <v>4120982</v>
      </c>
      <c r="G120" t="s">
        <v>13926</v>
      </c>
      <c r="H120">
        <v>7</v>
      </c>
      <c r="I120">
        <v>1</v>
      </c>
    </row>
    <row r="121" spans="1:9" x14ac:dyDescent="0.25">
      <c r="A121" s="2">
        <v>19599</v>
      </c>
      <c r="B121" s="2" t="s">
        <v>7</v>
      </c>
      <c r="C121" s="2" t="s">
        <v>2999</v>
      </c>
      <c r="D121" s="2"/>
      <c r="E121" s="2" t="str">
        <f>IFERROR(VLOOKUP(1*LEFT(C121,7),DF!$A$1:$F$9446,2,FALSE),"")</f>
        <v>CAMISA MC BAT NEGRA SOLAPA 52/56 RER</v>
      </c>
      <c r="F121" s="2">
        <v>4120982</v>
      </c>
      <c r="G121" t="s">
        <v>13926</v>
      </c>
      <c r="H121">
        <v>7</v>
      </c>
      <c r="I121">
        <v>1</v>
      </c>
    </row>
    <row r="122" spans="1:9" x14ac:dyDescent="0.25">
      <c r="A122" s="2">
        <v>19599</v>
      </c>
      <c r="B122" s="2" t="s">
        <v>7</v>
      </c>
      <c r="C122" s="2" t="s">
        <v>12387</v>
      </c>
      <c r="D122" s="2"/>
      <c r="E122" s="2" t="str">
        <f>IFERROR(VLOOKUP(1*LEFT(C122,7),DF!$A$1:$F$9446,2,FALSE),"")</f>
        <v>CAMISA MC BAT NEGRA SOLAPA 58/62 RER</v>
      </c>
      <c r="F122" s="2">
        <v>4120982</v>
      </c>
      <c r="G122" t="s">
        <v>13926</v>
      </c>
      <c r="H122">
        <v>7</v>
      </c>
      <c r="I122">
        <v>1</v>
      </c>
    </row>
    <row r="123" spans="1:9" x14ac:dyDescent="0.25">
      <c r="A123" s="2">
        <v>19599</v>
      </c>
      <c r="B123" s="2" t="s">
        <v>7</v>
      </c>
      <c r="C123" s="2" t="str">
        <f>CONCATENATE(F123,"##")</f>
        <v>4120074##</v>
      </c>
      <c r="D123" s="2"/>
      <c r="E123" s="2" t="str">
        <f>IFERROR(VLOOKUP(1*LEFT(C123,7),DF!$A$1:$F$9446,2,FALSE),"")</f>
        <v>CAMISA MC BLANCA SOLAPA VIP 34/44</v>
      </c>
      <c r="F123" s="2">
        <v>4120074</v>
      </c>
      <c r="G123" t="s">
        <v>13927</v>
      </c>
      <c r="H123">
        <v>7</v>
      </c>
      <c r="I123">
        <v>1</v>
      </c>
    </row>
    <row r="124" spans="1:9" x14ac:dyDescent="0.25">
      <c r="A124" s="2">
        <v>19599</v>
      </c>
      <c r="B124" s="2" t="s">
        <v>7</v>
      </c>
      <c r="C124" s="2" t="s">
        <v>12388</v>
      </c>
      <c r="D124" s="2"/>
      <c r="E124" s="2" t="str">
        <f>IFERROR(VLOOKUP(1*LEFT(C124,7),DF!$A$1:$F$9446,2,FALSE),"")</f>
        <v>CAMISA MC BLANCA SOLAPA VIP 46/50</v>
      </c>
      <c r="F124" s="2">
        <v>4120074</v>
      </c>
      <c r="G124" t="s">
        <v>13927</v>
      </c>
      <c r="H124">
        <v>7</v>
      </c>
      <c r="I124">
        <v>1</v>
      </c>
    </row>
    <row r="125" spans="1:9" x14ac:dyDescent="0.25">
      <c r="A125" s="2">
        <v>19599</v>
      </c>
      <c r="B125" s="2" t="s">
        <v>7</v>
      </c>
      <c r="C125" s="2" t="s">
        <v>12389</v>
      </c>
      <c r="D125" s="2"/>
      <c r="E125" s="2" t="str">
        <f>IFERROR(VLOOKUP(1*LEFT(C125,7),DF!$A$1:$F$9446,2,FALSE),"")</f>
        <v>CAMISA MC BLANCA SOLAPA VIP 52/56</v>
      </c>
      <c r="F125" s="2">
        <v>4120074</v>
      </c>
      <c r="G125" t="s">
        <v>13927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12390</v>
      </c>
      <c r="D126" s="2"/>
      <c r="E126" s="2" t="str">
        <f>IFERROR(VLOOKUP(1*LEFT(C126,7),DF!$A$1:$F$9446,2,FALSE),"")</f>
        <v>CAMISA MC BLANCA SOLAPA VIP 58/66</v>
      </c>
      <c r="F126" s="2">
        <v>4120074</v>
      </c>
      <c r="G126" t="s">
        <v>13927</v>
      </c>
      <c r="H126">
        <v>7</v>
      </c>
      <c r="I126">
        <v>1</v>
      </c>
    </row>
    <row r="127" spans="1:9" x14ac:dyDescent="0.25">
      <c r="A127">
        <v>19599</v>
      </c>
      <c r="B127" t="s">
        <v>7</v>
      </c>
      <c r="C127" s="2" t="str">
        <f>CONCATENATE(F127,"##")</f>
        <v>4120070##</v>
      </c>
      <c r="D127" s="2"/>
      <c r="E127" s="2" t="str">
        <f>IFERROR(VLOOKUP(1*LEFT(C127,7),DF!$A$1:$F$9446,2,FALSE),"")</f>
        <v>CAMISA MC CEL SOLAPA VIP 34/44</v>
      </c>
      <c r="F127" s="2">
        <v>4120070</v>
      </c>
      <c r="G127" t="s">
        <v>13928</v>
      </c>
      <c r="H127">
        <v>7</v>
      </c>
      <c r="I127">
        <v>1</v>
      </c>
    </row>
    <row r="128" spans="1:9" x14ac:dyDescent="0.25">
      <c r="A128">
        <v>19599</v>
      </c>
      <c r="B128" t="s">
        <v>7</v>
      </c>
      <c r="C128" s="2" t="s">
        <v>12391</v>
      </c>
      <c r="D128" s="2"/>
      <c r="E128" s="2" t="str">
        <f>IFERROR(VLOOKUP(1*LEFT(C128,7),DF!$A$1:$F$9446,2,FALSE),"")</f>
        <v>CAMISA MC CEL SOLAPA VIP 46/50</v>
      </c>
      <c r="F128" s="2">
        <v>4120070</v>
      </c>
      <c r="G128" t="s">
        <v>13928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">
        <v>12392</v>
      </c>
      <c r="D129" s="2"/>
      <c r="E129" s="2" t="str">
        <f>IFERROR(VLOOKUP(1*LEFT(C129,7),DF!$A$1:$F$9446,2,FALSE),"")</f>
        <v>CAMISA MC CEL SOLAPA VIP 52/56</v>
      </c>
      <c r="F129" s="2">
        <v>4120070</v>
      </c>
      <c r="G129" t="s">
        <v>13928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12393</v>
      </c>
      <c r="D130" s="2"/>
      <c r="E130" s="2" t="str">
        <f>IFERROR(VLOOKUP(1*LEFT(C130,7),DF!$A$1:$F$9446,2,FALSE),"")</f>
        <v>CAMISA MC CEL SOLAPA VIP 58/66</v>
      </c>
      <c r="F130" s="2">
        <v>4120070</v>
      </c>
      <c r="G130" t="s">
        <v>13928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tr">
        <f>CONCATENATE(F131,"##")</f>
        <v>4120078##</v>
      </c>
      <c r="D131" s="2"/>
      <c r="E131" s="2" t="str">
        <f>IFERROR(VLOOKUP(1*LEFT(C131,7),DF!$A$1:$F$9446,2,FALSE),"")</f>
        <v>CAMISA MC GRIS SOLAPA VIP 34/44</v>
      </c>
      <c r="F131" s="2">
        <v>4120078</v>
      </c>
      <c r="G131" t="s">
        <v>13929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12396</v>
      </c>
      <c r="D132" s="2"/>
      <c r="E132" s="2" t="str">
        <f>IFERROR(VLOOKUP(1*LEFT(C132,7),DF!$A$1:$F$9446,2,FALSE),"")</f>
        <v>CAMISA MC GRIS SOLAPA VIP 46/50</v>
      </c>
      <c r="F132" s="2">
        <v>4120078</v>
      </c>
      <c r="G132" t="s">
        <v>13929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">
        <v>12397</v>
      </c>
      <c r="D133" s="2"/>
      <c r="E133" s="2" t="str">
        <f>IFERROR(VLOOKUP(1*LEFT(C133,7),DF!$A$1:$F$9446,2,FALSE),"")</f>
        <v>CAMISA MC GRIS SOLAPA VIP 52/56</v>
      </c>
      <c r="F133" s="2">
        <v>4120078</v>
      </c>
      <c r="G133" t="s">
        <v>13929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12398</v>
      </c>
      <c r="D134" s="2"/>
      <c r="E134" s="2" t="str">
        <f>IFERROR(VLOOKUP(1*LEFT(C134,7),DF!$A$1:$F$9446,2,FALSE),"")</f>
        <v>CAMISA MC GRIS SOLAPA VIP 58/66</v>
      </c>
      <c r="F134" s="2">
        <v>4120078</v>
      </c>
      <c r="G134" t="s">
        <v>13929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tr">
        <f>CONCATENATE(F135,"##")</f>
        <v>4120082##</v>
      </c>
      <c r="D135" s="2"/>
      <c r="E135" s="2" t="str">
        <f>IFERROR(VLOOKUP(1*LEFT(C135,7),DF!$A$1:$F$9446,2,FALSE),"")</f>
        <v>CAMISA MC NEGRA SOLAPA VIP 34/44</v>
      </c>
      <c r="F135" s="2">
        <v>4120082</v>
      </c>
      <c r="G135" t="s">
        <v>13930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12399</v>
      </c>
      <c r="D136" s="2"/>
      <c r="E136" s="2" t="str">
        <f>IFERROR(VLOOKUP(1*LEFT(C136,7),DF!$A$1:$F$9446,2,FALSE),"")</f>
        <v>CAMISA MC NEGRA SOLAPA VIP 46/50</v>
      </c>
      <c r="F136" s="2">
        <v>4120082</v>
      </c>
      <c r="G136" t="s">
        <v>13930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">
        <v>12400</v>
      </c>
      <c r="D137" s="2"/>
      <c r="E137" s="2" t="str">
        <f>IFERROR(VLOOKUP(1*LEFT(C137,7),DF!$A$1:$F$9446,2,FALSE),"")</f>
        <v>CAMISA MC NEGRA SOLAPA VIP 52/56</v>
      </c>
      <c r="F137" s="2">
        <v>4120082</v>
      </c>
      <c r="G137" t="s">
        <v>13930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12401</v>
      </c>
      <c r="D138" s="2"/>
      <c r="E138" s="2" t="str">
        <f>IFERROR(VLOOKUP(1*LEFT(C138,7),DF!$A$1:$F$9446,2,FALSE),"")</f>
        <v>CAMISA MC NEGRA SOLAPA VIP 58/66</v>
      </c>
      <c r="F138" s="2">
        <v>4120082</v>
      </c>
      <c r="G138" t="s">
        <v>13930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t="str">
        <f>CONCATENATE(F139,"##")</f>
        <v>4120853##</v>
      </c>
      <c r="E139" t="str">
        <f>IFERROR(VLOOKUP(1*LEFT(C139,7),DF!$A$1:$F$9446,2,FALSE),"")</f>
        <v>CAMISA ML BAT AZUL 34/44 RER</v>
      </c>
      <c r="F139">
        <v>4120853</v>
      </c>
      <c r="G139" t="s">
        <v>13931</v>
      </c>
      <c r="H139">
        <v>3</v>
      </c>
      <c r="I139">
        <v>1</v>
      </c>
    </row>
    <row r="140" spans="1:9" x14ac:dyDescent="0.25">
      <c r="A140">
        <v>16522</v>
      </c>
      <c r="B140" t="s">
        <v>7</v>
      </c>
      <c r="C140" t="s">
        <v>3153</v>
      </c>
      <c r="E140" t="str">
        <f>IFERROR(VLOOKUP(1*LEFT(C140,7),DF!$A$1:$F$9446,2,FALSE),"")</f>
        <v>CAMISA ML BAT AZUL 46/50 RER</v>
      </c>
      <c r="F140">
        <v>4120853</v>
      </c>
      <c r="G140" t="s">
        <v>13931</v>
      </c>
      <c r="H140">
        <v>3</v>
      </c>
      <c r="I140">
        <v>1</v>
      </c>
    </row>
    <row r="141" spans="1:9" x14ac:dyDescent="0.25">
      <c r="A141">
        <v>16522</v>
      </c>
      <c r="B141" t="s">
        <v>7</v>
      </c>
      <c r="C141" t="s">
        <v>3161</v>
      </c>
      <c r="E141" t="str">
        <f>IFERROR(VLOOKUP(1*LEFT(C141,7),DF!$A$1:$F$9446,2,FALSE),"")</f>
        <v>CAMISA ML BAT AZUL 52/56 RER</v>
      </c>
      <c r="F141">
        <v>4120853</v>
      </c>
      <c r="G141" t="s">
        <v>13931</v>
      </c>
      <c r="H141">
        <v>3</v>
      </c>
      <c r="I141">
        <v>1</v>
      </c>
    </row>
    <row r="142" spans="1:9" x14ac:dyDescent="0.25">
      <c r="A142">
        <v>19599</v>
      </c>
      <c r="B142" t="s">
        <v>7</v>
      </c>
      <c r="C142" t="str">
        <f>CONCATENATE(F142,"##")</f>
        <v>4130771##</v>
      </c>
      <c r="E142" t="str">
        <f>IFERROR(VLOOKUP(1*LEFT(C142,7),DF!$A$1:$F$9446,2,FALSE),"")</f>
        <v>CAMISA ML BAT BEIGE LMGE 34/44 RER</v>
      </c>
      <c r="F142" s="7">
        <v>4130771</v>
      </c>
      <c r="G142" t="s">
        <v>13932</v>
      </c>
      <c r="H142">
        <v>2</v>
      </c>
      <c r="I142">
        <v>1</v>
      </c>
    </row>
    <row r="143" spans="1:9" x14ac:dyDescent="0.25">
      <c r="A143">
        <v>19599</v>
      </c>
      <c r="B143" t="s">
        <v>7</v>
      </c>
      <c r="C143" t="s">
        <v>12379</v>
      </c>
      <c r="E143" t="str">
        <f>IFERROR(VLOOKUP(1*LEFT(C143,7),DF!$A$1:$F$9446,2,FALSE),"")</f>
        <v>CAMISA ML BAT BEIGE LMGE 46/50 RER</v>
      </c>
      <c r="F143" s="7">
        <v>4130771</v>
      </c>
      <c r="G143" t="s">
        <v>13932</v>
      </c>
      <c r="H143">
        <v>2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4120100##</v>
      </c>
      <c r="E144" t="str">
        <f>IFERROR(VLOOKUP(1*LEFT(C144,7),DF!$A$1:$F$9446,2,FALSE),"")</f>
        <v>CAMISA ML BAT BLANCA 34/44 RER</v>
      </c>
      <c r="F144">
        <v>4120100</v>
      </c>
      <c r="G144" t="s">
        <v>13933</v>
      </c>
      <c r="H144">
        <v>4</v>
      </c>
      <c r="I144">
        <v>1</v>
      </c>
    </row>
    <row r="145" spans="1:11" x14ac:dyDescent="0.25">
      <c r="A145">
        <v>16522</v>
      </c>
      <c r="B145" t="s">
        <v>7</v>
      </c>
      <c r="C145" t="s">
        <v>3467</v>
      </c>
      <c r="E145" t="str">
        <f>IFERROR(VLOOKUP(1*LEFT(C145,7),DF!$A$1:$F$9446,2,FALSE),"")</f>
        <v>CAMISA ML BAT BLANCA 46/50 RER</v>
      </c>
      <c r="F145">
        <v>4120100</v>
      </c>
      <c r="G145" t="s">
        <v>13933</v>
      </c>
      <c r="H145">
        <v>4</v>
      </c>
      <c r="I145">
        <v>1</v>
      </c>
    </row>
    <row r="146" spans="1:11" x14ac:dyDescent="0.25">
      <c r="A146">
        <v>16522</v>
      </c>
      <c r="B146" t="s">
        <v>7</v>
      </c>
      <c r="C146" t="s">
        <v>12417</v>
      </c>
      <c r="E146" t="str">
        <f>IFERROR(VLOOKUP(1*LEFT(C146,7),DF!$A$1:$F$9446,2,FALSE),"")</f>
        <v>CAMISA ML BAT BLANCA 52/56 RER</v>
      </c>
      <c r="F146">
        <v>4120100</v>
      </c>
      <c r="G146" t="s">
        <v>13933</v>
      </c>
      <c r="H146">
        <v>4</v>
      </c>
      <c r="I146">
        <v>1</v>
      </c>
    </row>
    <row r="147" spans="1:11" x14ac:dyDescent="0.25">
      <c r="A147">
        <v>16522</v>
      </c>
      <c r="B147" t="s">
        <v>7</v>
      </c>
      <c r="C147" t="s">
        <v>12418</v>
      </c>
      <c r="E147" t="str">
        <f>IFERROR(VLOOKUP(1*LEFT(C147,7),DF!$A$1:$F$9446,2,FALSE),"")</f>
        <v>CAMISA ML BAT BLANCA 58/66 RER</v>
      </c>
      <c r="F147">
        <v>4120100</v>
      </c>
      <c r="G147" t="s">
        <v>13933</v>
      </c>
      <c r="H147">
        <v>4</v>
      </c>
      <c r="I147">
        <v>1</v>
      </c>
    </row>
    <row r="148" spans="1:11" x14ac:dyDescent="0.25">
      <c r="A148">
        <v>19599</v>
      </c>
      <c r="B148" t="s">
        <v>7</v>
      </c>
      <c r="C148" t="str">
        <f>CONCATENATE(F148,"##")</f>
        <v>4120024##</v>
      </c>
      <c r="E148" t="str">
        <f>IFERROR(VLOOKUP(1*LEFT(C148,7),DF!$A$1:$F$9446,2,FALSE),"")</f>
        <v>CAMISA ML BAT CEL FORR 32/44 RER</v>
      </c>
      <c r="F148">
        <v>4120024</v>
      </c>
      <c r="G148" t="s">
        <v>13934</v>
      </c>
      <c r="H148">
        <v>3</v>
      </c>
      <c r="I148">
        <v>1</v>
      </c>
    </row>
    <row r="149" spans="1:11" x14ac:dyDescent="0.25">
      <c r="A149">
        <v>19599</v>
      </c>
      <c r="B149" t="s">
        <v>7</v>
      </c>
      <c r="C149" t="s">
        <v>2393</v>
      </c>
      <c r="E149" t="str">
        <f>IFERROR(VLOOKUP(1*LEFT(C149,7),DF!$A$1:$F$9446,2,FALSE),"")</f>
        <v>CAMISA ML BAT CEL FORR 46/50 RER</v>
      </c>
      <c r="F149">
        <v>4120024</v>
      </c>
      <c r="G149" t="s">
        <v>13934</v>
      </c>
      <c r="H149">
        <v>3</v>
      </c>
      <c r="I149">
        <v>1</v>
      </c>
    </row>
    <row r="150" spans="1:11" x14ac:dyDescent="0.25">
      <c r="A150">
        <v>19599</v>
      </c>
      <c r="B150" t="s">
        <v>7</v>
      </c>
      <c r="C150" t="s">
        <v>12377</v>
      </c>
      <c r="E150" t="str">
        <f>IFERROR(VLOOKUP(1*LEFT(C150,7),DF!$A$1:$F$9446,2,FALSE),"")</f>
        <v>CAMISA ML BAT CEL FORR 52/56 RER</v>
      </c>
      <c r="F150">
        <v>4120024</v>
      </c>
      <c r="G150" t="s">
        <v>13934</v>
      </c>
      <c r="H150">
        <v>3</v>
      </c>
      <c r="I150">
        <v>1</v>
      </c>
    </row>
    <row r="151" spans="1:11" x14ac:dyDescent="0.25">
      <c r="A151">
        <v>16522</v>
      </c>
      <c r="B151" t="s">
        <v>7</v>
      </c>
      <c r="C151" t="str">
        <f>CONCATENATE(F151,"##")</f>
        <v>4120236##</v>
      </c>
      <c r="E151" t="str">
        <f>IFERROR(VLOOKUP(1*LEFT(C151,7),DF!$A$1:$F$9446,2,FALSE),"")</f>
        <v>CAMISA ML BAT CEL NQN 34/44 RER</v>
      </c>
      <c r="F151">
        <v>4120236</v>
      </c>
      <c r="G151" t="s">
        <v>13935</v>
      </c>
      <c r="H151">
        <v>3</v>
      </c>
      <c r="I151">
        <v>1</v>
      </c>
    </row>
    <row r="152" spans="1:11" x14ac:dyDescent="0.25">
      <c r="A152">
        <v>16522</v>
      </c>
      <c r="B152" t="s">
        <v>7</v>
      </c>
      <c r="C152" t="s">
        <v>12188</v>
      </c>
      <c r="E152" t="str">
        <f>IFERROR(VLOOKUP(1*LEFT(C152,7),DF!$A$1:$F$9446,2,FALSE),"")</f>
        <v>CAMISA ML BAT CEL NQN 46/50 RER</v>
      </c>
      <c r="F152">
        <v>4120236</v>
      </c>
      <c r="G152" t="s">
        <v>13935</v>
      </c>
      <c r="H152">
        <v>3</v>
      </c>
      <c r="I152">
        <v>1</v>
      </c>
    </row>
    <row r="153" spans="1:11" x14ac:dyDescent="0.25">
      <c r="A153">
        <v>16522</v>
      </c>
      <c r="B153" t="s">
        <v>7</v>
      </c>
      <c r="C153" t="s">
        <v>12189</v>
      </c>
      <c r="E153" t="str">
        <f>IFERROR(VLOOKUP(1*LEFT(C153,7),DF!$A$1:$F$9446,2,FALSE),"")</f>
        <v>CAMISA ML BAT CEL NQN 52/56 RER</v>
      </c>
      <c r="F153">
        <v>4120236</v>
      </c>
      <c r="G153" t="s">
        <v>13935</v>
      </c>
      <c r="H153">
        <v>3</v>
      </c>
      <c r="I153">
        <v>1</v>
      </c>
    </row>
    <row r="154" spans="1:11" x14ac:dyDescent="0.25">
      <c r="A154">
        <v>16522</v>
      </c>
      <c r="B154" t="s">
        <v>7</v>
      </c>
      <c r="C154" t="s">
        <v>12416</v>
      </c>
      <c r="E154" t="str">
        <f>IFERROR(VLOOKUP(1*LEFT(C154,7),DF!$A$1:$F$9446,2,FALSE),"")</f>
        <v>CAMISA ML BAT CEL NQN 58/66 RER</v>
      </c>
      <c r="F154">
        <v>4120236</v>
      </c>
      <c r="G154" t="s">
        <v>13935</v>
      </c>
      <c r="H154">
        <v>3</v>
      </c>
      <c r="I154">
        <v>1</v>
      </c>
    </row>
    <row r="155" spans="1:11" x14ac:dyDescent="0.25">
      <c r="A155">
        <v>16522</v>
      </c>
      <c r="B155" t="s">
        <v>7</v>
      </c>
      <c r="C155" t="str">
        <f>CONCATENATE(F155,"##")</f>
        <v>4120850##</v>
      </c>
      <c r="E155" t="str">
        <f>IFERROR(VLOOKUP(1*LEFT(C155,7),DF!$A$1:$F$9446,2,FALSE),"")</f>
        <v>CAMISA ML BAT CELESTE 34/44 RER</v>
      </c>
      <c r="F155">
        <v>4120850</v>
      </c>
      <c r="G155" t="s">
        <v>13936</v>
      </c>
      <c r="H155">
        <v>3</v>
      </c>
      <c r="I155">
        <v>1</v>
      </c>
    </row>
    <row r="156" spans="1:11" x14ac:dyDescent="0.25">
      <c r="A156">
        <v>16522</v>
      </c>
      <c r="B156" t="s">
        <v>7</v>
      </c>
      <c r="C156" t="s">
        <v>3089</v>
      </c>
      <c r="E156" t="str">
        <f>IFERROR(VLOOKUP(1*LEFT(C156,7),DF!$A$1:$F$9446,2,FALSE),"")</f>
        <v>CAMISA ML BAT CELESTE 46/50 RER</v>
      </c>
      <c r="F156">
        <v>4120850</v>
      </c>
      <c r="G156" t="s">
        <v>13936</v>
      </c>
      <c r="H156">
        <v>3</v>
      </c>
      <c r="I156">
        <v>1</v>
      </c>
    </row>
    <row r="157" spans="1:11" x14ac:dyDescent="0.25">
      <c r="A157">
        <v>16522</v>
      </c>
      <c r="B157" t="s">
        <v>7</v>
      </c>
      <c r="C157" t="s">
        <v>3097</v>
      </c>
      <c r="E157" t="str">
        <f>IFERROR(VLOOKUP(1*LEFT(C157,7),DF!$A$1:$F$9446,2,FALSE),"")</f>
        <v>CAMISA ML BAT CELESTE 52/56 RER</v>
      </c>
      <c r="F157">
        <v>4120850</v>
      </c>
      <c r="G157" t="s">
        <v>13936</v>
      </c>
      <c r="H157">
        <v>3</v>
      </c>
      <c r="I157">
        <v>1</v>
      </c>
    </row>
    <row r="158" spans="1:11" x14ac:dyDescent="0.25">
      <c r="A158">
        <v>16522</v>
      </c>
      <c r="B158" t="s">
        <v>7</v>
      </c>
      <c r="C158" t="s">
        <v>4468</v>
      </c>
      <c r="E158" t="str">
        <f>IFERROR(VLOOKUP(1*LEFT(C158,7),DF!$A$1:$F$9446,2,FALSE),"")</f>
        <v>CAMISA ML BAT CELESTE 58/62 RER</v>
      </c>
      <c r="F158">
        <v>4120850</v>
      </c>
      <c r="G158" t="s">
        <v>13936</v>
      </c>
      <c r="H158">
        <v>3</v>
      </c>
      <c r="I158">
        <v>1</v>
      </c>
    </row>
    <row r="159" spans="1:11" x14ac:dyDescent="0.25">
      <c r="A159">
        <v>16522</v>
      </c>
      <c r="B159" t="s">
        <v>7</v>
      </c>
      <c r="C159" t="s">
        <v>12419</v>
      </c>
      <c r="E159" t="str">
        <f>IFERROR(VLOOKUP(1*LEFT(C159,7),DF!$A$1:$F$9446,2,FALSE),"")</f>
        <v>CAMISA ML BAT CELESTE 64/66 RER</v>
      </c>
      <c r="F159">
        <v>4120850</v>
      </c>
      <c r="G159" t="s">
        <v>13936</v>
      </c>
      <c r="H159">
        <v>3</v>
      </c>
      <c r="I159">
        <v>1</v>
      </c>
    </row>
    <row r="160" spans="1:11" x14ac:dyDescent="0.25">
      <c r="A160">
        <v>16522</v>
      </c>
      <c r="B160" t="s">
        <v>7</v>
      </c>
      <c r="C160" t="str">
        <f>CONCATENATE(F160,"##")</f>
        <v>4120058##</v>
      </c>
      <c r="E160" t="str">
        <f>IFERROR(VLOOKUP(1*LEFT(C160,7),DF!$A$1:$F$9446,2,FALSE),"")</f>
        <v>CAMISA ML BAT CELESTE VIP 34/44 RER</v>
      </c>
      <c r="F160">
        <v>4120058</v>
      </c>
      <c r="G160" t="s">
        <v>13937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7</v>
      </c>
      <c r="C161" t="s">
        <v>12423</v>
      </c>
      <c r="E161" t="str">
        <f>IFERROR(VLOOKUP(1*LEFT(C161,7),DF!$A$1:$F$9446,2,FALSE),"")</f>
        <v>CAMISA ML BAT CELESTE VIP 46/50 RER</v>
      </c>
      <c r="F161">
        <v>4120058</v>
      </c>
      <c r="G161" t="s">
        <v>13937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7</v>
      </c>
      <c r="C162" t="s">
        <v>12424</v>
      </c>
      <c r="E162" t="str">
        <f>IFERROR(VLOOKUP(1*LEFT(C162,7),DF!$A$1:$F$9446,2,FALSE),"")</f>
        <v>CAMISA ML BAT CELESTE VIP 52/56 RER</v>
      </c>
      <c r="F162">
        <v>4120058</v>
      </c>
      <c r="G162" t="s">
        <v>13937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12425</v>
      </c>
      <c r="E163" t="str">
        <f>IFERROR(VLOOKUP(1*LEFT(C163,7),DF!$A$1:$F$9446,2,FALSE),"")</f>
        <v>CAMISA ML BAT CELESTE VIP 58/66 RER</v>
      </c>
      <c r="F163">
        <v>4120058</v>
      </c>
      <c r="G163" t="s">
        <v>13937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tr">
        <f>CONCATENATE(F164,"##")</f>
        <v>4120011##</v>
      </c>
      <c r="E164" t="str">
        <f>IFERROR(VLOOKUP(1*LEFT(C164,7),DF!$A$1:$F$9446,2,FALSE),"")</f>
        <v>CAMISA ML BAT CLTE ITAL 32/44 RER</v>
      </c>
      <c r="F164">
        <v>4120011</v>
      </c>
      <c r="G164" t="s">
        <v>13938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12420</v>
      </c>
      <c r="E165" t="str">
        <f>IFERROR(VLOOKUP(1*LEFT(C165,7),DF!$A$1:$F$9446,2,FALSE),"")</f>
        <v>CAMISA ML BAT CLTE ITAL 32/44 RER</v>
      </c>
      <c r="F165">
        <v>4120011</v>
      </c>
      <c r="G165" t="s">
        <v>13938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12421</v>
      </c>
      <c r="E166" t="str">
        <f>IFERROR(VLOOKUP(1*LEFT(C166,7),DF!$A$1:$F$9446,2,FALSE),"")</f>
        <v>CAMISA ML BAT CLTE ITAL 46/50 RER</v>
      </c>
      <c r="F166">
        <v>4120011</v>
      </c>
      <c r="G166" t="s">
        <v>13938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12422</v>
      </c>
      <c r="E167" t="str">
        <f>IFERROR(VLOOKUP(1*LEFT(C167,7),DF!$A$1:$F$9446,2,FALSE),"")</f>
        <v>CAMISA ML BAT CLTE ITAL 52/56 RER</v>
      </c>
      <c r="F167">
        <v>4120011</v>
      </c>
      <c r="G167" t="s">
        <v>13938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4120900##</v>
      </c>
      <c r="E168" t="str">
        <f>IFERROR(VLOOKUP(1*LEFT(C168,7),DF!$A$1:$F$9446,2,FALSE),"")</f>
        <v>CAMISA ML BAT GRIS 34/44 RER</v>
      </c>
      <c r="F168">
        <v>4120900</v>
      </c>
      <c r="G168" t="s">
        <v>13939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3119</v>
      </c>
      <c r="E169" t="str">
        <f>IFERROR(VLOOKUP(1*LEFT(C169,7),DF!$A$1:$F$9446,2,FALSE),"")</f>
        <v>CAMISA ML BAT GRIS 46/50 RER</v>
      </c>
      <c r="F169">
        <v>4120900</v>
      </c>
      <c r="G169" t="s">
        <v>13939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3127</v>
      </c>
      <c r="E170" t="str">
        <f>IFERROR(VLOOKUP(1*LEFT(C170,7),DF!$A$1:$F$9446,2,FALSE),"")</f>
        <v>CAMISA ML BAT GRIS 52/56 RER</v>
      </c>
      <c r="F170">
        <v>4120900</v>
      </c>
      <c r="G170" t="s">
        <v>13939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12426</v>
      </c>
      <c r="E171" t="str">
        <f>IFERROR(VLOOKUP(1*LEFT(C171,7),DF!$A$1:$F$9446,2,FALSE),"")</f>
        <v>CAMISA ML BAT GRIS 58/62 RER</v>
      </c>
      <c r="F171">
        <v>4120900</v>
      </c>
      <c r="G171" t="s">
        <v>13939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tr">
        <f>CONCATENATE(F172,"##")</f>
        <v>4120003##</v>
      </c>
      <c r="E172" t="str">
        <f>IFERROR(VLOOKUP(1*LEFT(C172,7),DF!$A$1:$F$9446,2,FALSE),"")</f>
        <v>CAMISA ML BAT GRIS TORC 34/44 RER</v>
      </c>
      <c r="F172">
        <v>4120003</v>
      </c>
      <c r="G172" t="s">
        <v>13940</v>
      </c>
      <c r="H172">
        <v>2</v>
      </c>
      <c r="I172">
        <v>1</v>
      </c>
    </row>
    <row r="173" spans="1:11" x14ac:dyDescent="0.25">
      <c r="A173">
        <v>16522</v>
      </c>
      <c r="B173" t="s">
        <v>7</v>
      </c>
      <c r="C173" t="s">
        <v>3934</v>
      </c>
      <c r="E173" t="str">
        <f>IFERROR(VLOOKUP(1*LEFT(C173,7),DF!$A$1:$F$9446,2,FALSE),"")</f>
        <v>CAMISA ML BAT GRIS TORC 46/50 RER</v>
      </c>
      <c r="F173">
        <v>4120003</v>
      </c>
      <c r="G173" t="s">
        <v>13940</v>
      </c>
      <c r="H173">
        <v>2</v>
      </c>
      <c r="I173">
        <v>1</v>
      </c>
    </row>
    <row r="174" spans="1:11" x14ac:dyDescent="0.25">
      <c r="A174">
        <v>16522</v>
      </c>
      <c r="B174" t="s">
        <v>7</v>
      </c>
      <c r="C174" t="s">
        <v>4241</v>
      </c>
      <c r="E174" t="str">
        <f>IFERROR(VLOOKUP(1*LEFT(C174,7),DF!$A$1:$F$9446,2,FALSE),"")</f>
        <v>CAMISA ML BAT GRIS TORC 52/56 RER</v>
      </c>
      <c r="F174">
        <v>4120003</v>
      </c>
      <c r="G174" t="s">
        <v>13940</v>
      </c>
      <c r="H174">
        <v>2</v>
      </c>
      <c r="I174">
        <v>1</v>
      </c>
    </row>
    <row r="175" spans="1:11" x14ac:dyDescent="0.25">
      <c r="A175">
        <v>19599</v>
      </c>
      <c r="B175" t="s">
        <v>7</v>
      </c>
      <c r="C175" t="str">
        <f>CONCATENATE(F175,"##")</f>
        <v>4120027##</v>
      </c>
      <c r="E175" t="str">
        <f>IFERROR(VLOOKUP(1*LEFT(C175,7),DF!$A$1:$F$9446,2,FALSE),"")</f>
        <v>CAMISA ML BAT NEG FORR 32/44 RER</v>
      </c>
      <c r="F175">
        <v>4120027</v>
      </c>
      <c r="G175" t="s">
        <v>13941</v>
      </c>
      <c r="H175">
        <v>3</v>
      </c>
      <c r="I175">
        <v>1</v>
      </c>
    </row>
    <row r="176" spans="1:11" x14ac:dyDescent="0.25">
      <c r="A176">
        <v>19599</v>
      </c>
      <c r="B176" t="s">
        <v>7</v>
      </c>
      <c r="C176" t="s">
        <v>12375</v>
      </c>
      <c r="E176" t="str">
        <f>IFERROR(VLOOKUP(1*LEFT(C176,7),DF!$A$1:$F$9446,2,FALSE),"")</f>
        <v>CAMISA ML BAT NEG FORR 46/50 RER</v>
      </c>
      <c r="F176">
        <v>4120027</v>
      </c>
      <c r="G176" t="s">
        <v>13941</v>
      </c>
      <c r="H176">
        <v>3</v>
      </c>
      <c r="I176">
        <v>1</v>
      </c>
    </row>
    <row r="177" spans="1:9" x14ac:dyDescent="0.25">
      <c r="A177">
        <v>19599</v>
      </c>
      <c r="B177" t="s">
        <v>7</v>
      </c>
      <c r="C177" t="s">
        <v>12376</v>
      </c>
      <c r="E177" t="str">
        <f>IFERROR(VLOOKUP(1*LEFT(C177,7),DF!$A$1:$F$9446,2,FALSE),"")</f>
        <v>CAMISA ML BAT NEG FORR 52/56 RER</v>
      </c>
      <c r="F177">
        <v>4120027</v>
      </c>
      <c r="G177" t="s">
        <v>13941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>CONCATENATE(F178,"##")</f>
        <v>4120009##</v>
      </c>
      <c r="E178" t="str">
        <f>IFERROR(VLOOKUP(1*LEFT(C178,7),DF!$A$1:$F$9446,2,FALSE),"")</f>
        <v>CAMISA ML BAT NEGRA 34/44 RER</v>
      </c>
      <c r="F178">
        <v>4120009</v>
      </c>
      <c r="G178" t="s">
        <v>13942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4561</v>
      </c>
      <c r="E179" t="str">
        <f>IFERROR(VLOOKUP(1*LEFT(C179,7),DF!$A$1:$F$9446,2,FALSE),"")</f>
        <v>CAMISA ML BAT NEGRA 46/50 RER</v>
      </c>
      <c r="F179">
        <v>4120009</v>
      </c>
      <c r="G179" t="s">
        <v>13942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">
        <v>12427</v>
      </c>
      <c r="E180" t="str">
        <f>IFERROR(VLOOKUP(1*LEFT(C180,7),DF!$A$1:$F$9446,2,FALSE),"")</f>
        <v>CAMISA ML BAT NEGRA 52/56 RER</v>
      </c>
      <c r="F180">
        <v>4120009</v>
      </c>
      <c r="G180" t="s">
        <v>13942</v>
      </c>
      <c r="H180">
        <v>3</v>
      </c>
      <c r="I180">
        <v>1</v>
      </c>
    </row>
    <row r="181" spans="1:9" x14ac:dyDescent="0.25">
      <c r="A181">
        <v>19599</v>
      </c>
      <c r="B181" t="s">
        <v>7</v>
      </c>
      <c r="C181" t="str">
        <f>CONCATENATE(F181,"##")</f>
        <v>4120495##</v>
      </c>
      <c r="E181" t="str">
        <f>IFERROR(VLOOKUP(1*LEFT(C181,7),DF!$A$1:$F$9446,2,FALSE),"")</f>
        <v>CAMISA ML RIP AZUL 34/44 RER</v>
      </c>
      <c r="F181">
        <v>4120495</v>
      </c>
      <c r="G181" t="s">
        <v>13943</v>
      </c>
      <c r="H181">
        <v>3</v>
      </c>
      <c r="I181">
        <v>1</v>
      </c>
    </row>
    <row r="182" spans="1:9" x14ac:dyDescent="0.25">
      <c r="A182">
        <v>19599</v>
      </c>
      <c r="B182" t="s">
        <v>7</v>
      </c>
      <c r="C182" t="s">
        <v>5087</v>
      </c>
      <c r="E182" t="str">
        <f>IFERROR(VLOOKUP(1*LEFT(C182,7),DF!$A$1:$F$9446,2,FALSE),"")</f>
        <v>CAMISA ML RIP AZUL 46/50 RER</v>
      </c>
      <c r="F182">
        <v>4120495</v>
      </c>
      <c r="G182" t="s">
        <v>13943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">
        <v>10867</v>
      </c>
      <c r="E183" t="str">
        <f>IFERROR(VLOOKUP(1*LEFT(C183,7),DF!$A$1:$F$9446,2,FALSE),"")</f>
        <v>CAMISA ML RIP AZUL 52/56 RER</v>
      </c>
      <c r="F183">
        <v>4120495</v>
      </c>
      <c r="G183" t="s">
        <v>13943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tr">
        <f>CONCATENATE(F184,"##")</f>
        <v>5101190##</v>
      </c>
      <c r="E184" t="str">
        <f>IFERROR(VLOOKUP(1*LEFT(C184,7),DF!$A$1:$F$9446,2,FALSE),"")</f>
        <v>CAMP NEO SOFT SHELL AZUL 2XS/2XL RER</v>
      </c>
      <c r="F184">
        <v>5101190</v>
      </c>
      <c r="G184" t="s">
        <v>13952</v>
      </c>
      <c r="H184">
        <v>4</v>
      </c>
    </row>
    <row r="185" spans="1:9" x14ac:dyDescent="0.25">
      <c r="A185">
        <v>16522</v>
      </c>
      <c r="B185" t="s">
        <v>7</v>
      </c>
      <c r="C185" t="s">
        <v>2481</v>
      </c>
      <c r="E185" t="str">
        <f>IFERROR(VLOOKUP(1*LEFT(C185,7),DF!$A$1:$F$9446,2,FALSE),"")</f>
        <v>CAMP NEO SOFT SHELL AZUL 3XL/5XL RER</v>
      </c>
      <c r="F185">
        <v>5101190</v>
      </c>
      <c r="G185" t="s">
        <v>13952</v>
      </c>
      <c r="H185">
        <v>4</v>
      </c>
    </row>
    <row r="186" spans="1:9" x14ac:dyDescent="0.25">
      <c r="A186">
        <v>16522</v>
      </c>
      <c r="B186" t="s">
        <v>7</v>
      </c>
      <c r="C186" t="str">
        <f>CONCATENATE(F186,"##")</f>
        <v>5101195##</v>
      </c>
      <c r="E186" t="str">
        <f>IFERROR(VLOOKUP(1*LEFT(C186,7),DF!$A$1:$F$9446,2,FALSE),"")</f>
        <v>CAMP NEO SOFT SHELL GRIS 2XS/2XL RER</v>
      </c>
      <c r="F186">
        <v>5101195</v>
      </c>
      <c r="G186" t="s">
        <v>13953</v>
      </c>
      <c r="H186">
        <v>4</v>
      </c>
    </row>
    <row r="187" spans="1:9" x14ac:dyDescent="0.25">
      <c r="A187">
        <v>16522</v>
      </c>
      <c r="B187" t="s">
        <v>7</v>
      </c>
      <c r="C187" t="s">
        <v>2493</v>
      </c>
      <c r="E187" t="str">
        <f>IFERROR(VLOOKUP(1*LEFT(C187,7),DF!$A$1:$F$9446,2,FALSE),"")</f>
        <v>CAMP NEO SOFT SHELL GRIS 3XL/5XL RER</v>
      </c>
      <c r="F187">
        <v>5101195</v>
      </c>
      <c r="G187" t="s">
        <v>13953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5101185##</v>
      </c>
      <c r="E188" t="str">
        <f>IFERROR(VLOOKUP(1*LEFT(C188,7),DF!$A$1:$F$9446,2,FALSE),"")</f>
        <v>CAMP NEO SOFT SHELL NEGRA 2XS/2XL RER</v>
      </c>
      <c r="F188">
        <v>5101185</v>
      </c>
      <c r="G188" t="s">
        <v>13954</v>
      </c>
      <c r="H188">
        <v>4</v>
      </c>
    </row>
    <row r="189" spans="1:9" x14ac:dyDescent="0.25">
      <c r="A189">
        <v>16522</v>
      </c>
      <c r="B189" t="s">
        <v>7</v>
      </c>
      <c r="C189" t="s">
        <v>2487</v>
      </c>
      <c r="E189" t="str">
        <f>IFERROR(VLOOKUP(1*LEFT(C189,7),DF!$A$1:$F$9446,2,FALSE),"")</f>
        <v>CAMP NEO SOFT SHELL NEGRA 3XL/5XL RER</v>
      </c>
      <c r="F189">
        <v>5101185</v>
      </c>
      <c r="G189" t="s">
        <v>13954</v>
      </c>
      <c r="H189">
        <v>4</v>
      </c>
    </row>
    <row r="190" spans="1:9" x14ac:dyDescent="0.25">
      <c r="A190">
        <v>19599</v>
      </c>
      <c r="B190" t="s">
        <v>7</v>
      </c>
      <c r="C190" t="str">
        <f>CONCATENATE(F190,"##")</f>
        <v>5101090##</v>
      </c>
      <c r="E190" t="str">
        <f>IFERROR(VLOOKUP(1*LEFT(C190,7),DF!$A$1:$F$9446,2,FALSE),"")</f>
        <v>CAMP SOFT JAYAL AZUL 2XS/2XL</v>
      </c>
      <c r="F190" s="3">
        <v>5101090</v>
      </c>
      <c r="G190" t="s">
        <v>13964</v>
      </c>
      <c r="H190">
        <v>8</v>
      </c>
    </row>
    <row r="191" spans="1:9" x14ac:dyDescent="0.25">
      <c r="A191">
        <v>19599</v>
      </c>
      <c r="B191" t="s">
        <v>7</v>
      </c>
      <c r="C191" t="str">
        <f>CONCATENATE(F191,"##")</f>
        <v>5101093##</v>
      </c>
      <c r="E191" t="str">
        <f>IFERROR(VLOOKUP(1*LEFT(C191,7),DF!$A$1:$F$9446,2,FALSE),"")</f>
        <v>CAMP SOFT JAYAL NEGRA 2XS/2XL</v>
      </c>
      <c r="F191" s="3">
        <v>5101093</v>
      </c>
      <c r="G191" t="s">
        <v>13965</v>
      </c>
      <c r="H191">
        <v>8</v>
      </c>
    </row>
    <row r="192" spans="1:9" x14ac:dyDescent="0.25">
      <c r="A192">
        <v>16522</v>
      </c>
      <c r="B192" t="s">
        <v>7</v>
      </c>
      <c r="C192" t="s">
        <v>12129</v>
      </c>
      <c r="E192" t="str">
        <f>IFERROR(VLOOKUP(1*LEFT(C192,7),DF!$A$1:$F$9446,2,FALSE),"")</f>
        <v>CAMP SOFT SHELL AZUL 2XL/5XL RER</v>
      </c>
      <c r="F192">
        <v>5101138</v>
      </c>
      <c r="G192" t="s">
        <v>13966</v>
      </c>
      <c r="H192">
        <v>4</v>
      </c>
    </row>
    <row r="193" spans="1:9" x14ac:dyDescent="0.25">
      <c r="A193">
        <v>16522</v>
      </c>
      <c r="B193" t="s">
        <v>7</v>
      </c>
      <c r="C193" t="str">
        <f>CONCATENATE(F193,"##")</f>
        <v>5101138##</v>
      </c>
      <c r="E193" t="str">
        <f>IFERROR(VLOOKUP(1*LEFT(C193,7),DF!$A$1:$F$9446,2,FALSE),"")</f>
        <v>CAMP SOFTSHEL FRACTION AZUL 2XS/3XL RER</v>
      </c>
      <c r="F193">
        <v>5101138</v>
      </c>
      <c r="G193" t="s">
        <v>13966</v>
      </c>
      <c r="H193">
        <v>4</v>
      </c>
    </row>
    <row r="194" spans="1:9" x14ac:dyDescent="0.25">
      <c r="A194">
        <v>16522</v>
      </c>
      <c r="B194" t="s">
        <v>7</v>
      </c>
      <c r="C194" t="s">
        <v>10890</v>
      </c>
      <c r="E194" t="str">
        <f>IFERROR(VLOOKUP(1*LEFT(C194,7),DF!$A$1:$F$9446,2,FALSE),"")</f>
        <v>CAMP SOFTSHEL FRACTION NEGRA 2XS/3XL RER</v>
      </c>
      <c r="F194">
        <v>5101185</v>
      </c>
      <c r="G194" t="s">
        <v>13954</v>
      </c>
      <c r="H194">
        <v>4</v>
      </c>
    </row>
    <row r="195" spans="1:9" x14ac:dyDescent="0.25">
      <c r="A195">
        <v>16522</v>
      </c>
      <c r="B195" t="s">
        <v>7</v>
      </c>
      <c r="C195" t="str">
        <f>CONCATENATE(F195,"##")</f>
        <v>5101136##</v>
      </c>
      <c r="E195" t="str">
        <f>IFERROR(VLOOKUP(1*LEFT(C195,7),DF!$A$1:$F$9446,2,FALSE),"")</f>
        <v>CAMP SOFTSHEL FRACTION VERDE RER</v>
      </c>
      <c r="F195">
        <v>5101136</v>
      </c>
      <c r="G195" t="s">
        <v>13967</v>
      </c>
      <c r="H195">
        <v>4</v>
      </c>
    </row>
    <row r="196" spans="1:9" x14ac:dyDescent="0.25">
      <c r="A196">
        <v>19599</v>
      </c>
      <c r="B196" t="s">
        <v>7</v>
      </c>
      <c r="C196" t="str">
        <f>CONCATENATE(F196,"##")</f>
        <v>5101192##</v>
      </c>
      <c r="E196" t="str">
        <f>IFERROR(VLOOKUP(1*LEFT(C196,7),DF!$A$1:$F$9446,2,FALSE),"")</f>
        <v>CAMP SOFTSHEL PREMIUM AZUL 2XS/2XL RER</v>
      </c>
      <c r="F196">
        <v>5101192</v>
      </c>
      <c r="G196" t="s">
        <v>13968</v>
      </c>
      <c r="H196">
        <v>7</v>
      </c>
    </row>
    <row r="197" spans="1:9" x14ac:dyDescent="0.25">
      <c r="A197">
        <v>19599</v>
      </c>
      <c r="B197" t="s">
        <v>7</v>
      </c>
      <c r="C197" t="s">
        <v>2351</v>
      </c>
      <c r="E197" t="str">
        <f>IFERROR(VLOOKUP(1*LEFT(C197,7),DF!$A$1:$F$9446,2,FALSE),"")</f>
        <v>CAMP SOFTSHEL PREMIUM AZUL 3XL/6XL RER</v>
      </c>
      <c r="F197">
        <v>5101192</v>
      </c>
      <c r="G197" t="s">
        <v>13968</v>
      </c>
      <c r="H197">
        <v>7</v>
      </c>
    </row>
    <row r="198" spans="1:9" x14ac:dyDescent="0.25">
      <c r="A198">
        <v>19599</v>
      </c>
      <c r="B198" t="s">
        <v>7</v>
      </c>
      <c r="C198" t="str">
        <f>CONCATENATE(F198,"##")</f>
        <v>5101187##</v>
      </c>
      <c r="E198" t="str">
        <f>IFERROR(VLOOKUP(1*LEFT(C198,7),DF!$A$1:$F$9446,2,FALSE),"")</f>
        <v>CAMP SOFTSHEL PREMIUM NEGRA 2XS/2XL RER</v>
      </c>
      <c r="F198">
        <v>5101187</v>
      </c>
      <c r="G198" t="s">
        <v>13969</v>
      </c>
      <c r="H198">
        <v>7</v>
      </c>
    </row>
    <row r="199" spans="1:9" x14ac:dyDescent="0.25">
      <c r="A199">
        <v>19599</v>
      </c>
      <c r="B199" t="s">
        <v>7</v>
      </c>
      <c r="C199" t="s">
        <v>2373</v>
      </c>
      <c r="E199" t="str">
        <f>IFERROR(VLOOKUP(1*LEFT(C199,7),DF!$A$1:$F$9446,2,FALSE),"")</f>
        <v>CAMP SOFTSHEL PREMIUM NEGRA 3XL/6XL RER</v>
      </c>
      <c r="F199">
        <v>5101187</v>
      </c>
      <c r="G199" t="s">
        <v>13969</v>
      </c>
      <c r="H199">
        <v>7</v>
      </c>
    </row>
    <row r="200" spans="1:9" x14ac:dyDescent="0.25">
      <c r="A200">
        <v>16522</v>
      </c>
      <c r="B200" t="s">
        <v>7</v>
      </c>
      <c r="C200" t="str">
        <f>CONCATENATE(F200,"##")</f>
        <v>5101555##</v>
      </c>
      <c r="E200" t="str">
        <f>IFERROR(VLOOKUP(1*LEFT(C200,7),DF!$A$1:$F$9446,2,FALSE),"")</f>
        <v>CAMP TERMICO AZUL  2XS/2XL RER</v>
      </c>
      <c r="F200">
        <v>5101555</v>
      </c>
      <c r="G200" t="s">
        <v>13970</v>
      </c>
      <c r="H200">
        <v>1</v>
      </c>
      <c r="I200">
        <v>1</v>
      </c>
    </row>
    <row r="201" spans="1:9" x14ac:dyDescent="0.25">
      <c r="A201">
        <v>16522</v>
      </c>
      <c r="B201" t="s">
        <v>7</v>
      </c>
      <c r="C201" t="s">
        <v>10884</v>
      </c>
      <c r="E201" t="str">
        <f>IFERROR(VLOOKUP(1*LEFT(C201,7),DF!$A$1:$F$9446,2,FALSE),"")</f>
        <v>CAMP TERMICO AZUL 3XL/6XL RER</v>
      </c>
      <c r="F201">
        <v>5101555</v>
      </c>
      <c r="G201" t="s">
        <v>13970</v>
      </c>
      <c r="H201">
        <v>1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5101557##</v>
      </c>
      <c r="E202" t="str">
        <f>IFERROR(VLOOKUP(1*LEFT(C202,7),DF!$A$1:$F$9446,2,FALSE),"")</f>
        <v>CAMP TERMICO GRIS  2XS/2XL RER</v>
      </c>
      <c r="F202">
        <v>5101557</v>
      </c>
      <c r="G202" t="s">
        <v>13971</v>
      </c>
      <c r="H202">
        <v>4</v>
      </c>
      <c r="I202">
        <v>1</v>
      </c>
    </row>
    <row r="203" spans="1:9" x14ac:dyDescent="0.25">
      <c r="A203">
        <v>16522</v>
      </c>
      <c r="B203" t="s">
        <v>7</v>
      </c>
      <c r="C203" t="s">
        <v>10885</v>
      </c>
      <c r="E203" t="str">
        <f>IFERROR(VLOOKUP(1*LEFT(C203,7),DF!$A$1:$F$9446,2,FALSE),"")</f>
        <v>CAMP TERMICO GRIS 3XL/6XL RER</v>
      </c>
      <c r="F203">
        <v>5101557</v>
      </c>
      <c r="G203" t="s">
        <v>13971</v>
      </c>
      <c r="H203">
        <v>4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5101563##</v>
      </c>
      <c r="E204" t="str">
        <f>IFERROR(VLOOKUP(1*LEFT(C204,7),DF!$A$1:$F$9446,2,FALSE),"")</f>
        <v>CAMP TERMICO INFANTERIA 2XS/2XL</v>
      </c>
      <c r="F204">
        <v>5101563</v>
      </c>
      <c r="G204" t="s">
        <v>13972</v>
      </c>
      <c r="H204">
        <v>3</v>
      </c>
      <c r="I204">
        <v>1</v>
      </c>
    </row>
    <row r="205" spans="1:9" x14ac:dyDescent="0.25">
      <c r="A205">
        <v>16522</v>
      </c>
      <c r="B205" t="s">
        <v>7</v>
      </c>
      <c r="C205" t="str">
        <f>CONCATENATE(F205,"##")</f>
        <v>5101565##</v>
      </c>
      <c r="E205" t="str">
        <f>IFERROR(VLOOKUP(1*LEFT(C205,7),DF!$A$1:$F$9446,2,FALSE),"")</f>
        <v>CAMP TERMICO MULTICAM 2XS/2XL</v>
      </c>
      <c r="F205">
        <v>5101565</v>
      </c>
      <c r="G205" t="s">
        <v>13973</v>
      </c>
      <c r="H205">
        <v>4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5101556##</v>
      </c>
      <c r="E206" t="str">
        <f>IFERROR(VLOOKUP(1*LEFT(C206,7),DF!$A$1:$F$9446,2,FALSE),"")</f>
        <v>CAMP TERMICO NEGRO 2XS/2XL RER</v>
      </c>
      <c r="F206">
        <v>5101556</v>
      </c>
      <c r="G206" t="s">
        <v>13974</v>
      </c>
      <c r="H206">
        <v>16</v>
      </c>
      <c r="I206">
        <v>1</v>
      </c>
    </row>
    <row r="207" spans="1:9" x14ac:dyDescent="0.25">
      <c r="A207">
        <v>16522</v>
      </c>
      <c r="B207" t="s">
        <v>7</v>
      </c>
      <c r="C207" t="s">
        <v>10883</v>
      </c>
      <c r="E207" t="str">
        <f>IFERROR(VLOOKUP(1*LEFT(C207,7),DF!$A$1:$F$9446,2,FALSE),"")</f>
        <v>CAMP TERMICO NEGRO 3XL/6XL RER</v>
      </c>
      <c r="F207">
        <v>5101556</v>
      </c>
      <c r="G207" t="s">
        <v>13974</v>
      </c>
      <c r="H207">
        <v>16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5101569##</v>
      </c>
      <c r="E208" t="str">
        <f>IFERROR(VLOOKUP(1*LEFT(C208,7),DF!$A$1:$F$9446,2,FALSE),"")</f>
        <v>CAMP TERMICO RURAL 2XS/2XL</v>
      </c>
      <c r="F208" s="3">
        <v>5101569</v>
      </c>
      <c r="G208" t="s">
        <v>13975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tr">
        <f>CONCATENATE(F209,"##")</f>
        <v>2101110##</v>
      </c>
      <c r="E209" t="str">
        <f>IFERROR(VLOOKUP(1*LEFT(C209,7),DF!$A$1:$F$9446,2,FALSE),"")</f>
        <v>CHOMBA MC CIERRE BOMBERO 3XS/2XL RER</v>
      </c>
      <c r="F209">
        <v>2101110</v>
      </c>
      <c r="G209" s="9" t="s">
        <v>13979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">
        <v>13188</v>
      </c>
      <c r="E210" t="str">
        <f>IFERROR(VLOOKUP(1*LEFT(C210,7),DF!$A$1:$F$9446,2,FALSE),"")</f>
        <v>CHOMBA MC CIERRE BOMBERO 3XL/5XL RER</v>
      </c>
      <c r="F210">
        <v>2101110</v>
      </c>
      <c r="G210" s="9" t="s">
        <v>13979</v>
      </c>
      <c r="H210">
        <v>3</v>
      </c>
      <c r="I210">
        <v>1</v>
      </c>
    </row>
    <row r="211" spans="1:9" x14ac:dyDescent="0.25">
      <c r="A211">
        <v>19599</v>
      </c>
      <c r="B211" t="s">
        <v>7</v>
      </c>
      <c r="C211" t="s">
        <v>3964</v>
      </c>
      <c r="E211" t="str">
        <f>IFERROR(VLOOKUP(1*LEFT(C211,7),DF!$A$1:$F$9446,2,FALSE),"")</f>
        <v>CHOMBA ML CIERRE AZ 3XL/5XL RER</v>
      </c>
      <c r="F211">
        <v>2101496</v>
      </c>
      <c r="G211" t="s">
        <v>13980</v>
      </c>
      <c r="H211">
        <v>10</v>
      </c>
      <c r="I211">
        <v>1</v>
      </c>
    </row>
    <row r="212" spans="1:9" x14ac:dyDescent="0.25">
      <c r="A212">
        <v>19599</v>
      </c>
      <c r="B212" t="s">
        <v>7</v>
      </c>
      <c r="C212" t="str">
        <f>CONCATENATE(F212,"##")</f>
        <v>2101496##</v>
      </c>
      <c r="E212" t="str">
        <f>IFERROR(VLOOKUP(1*LEFT(C212,7),DF!$A$1:$F$9446,2,FALSE),"")</f>
        <v>CHOMBA ML CIERRE AZ 3XS/2XL RER</v>
      </c>
      <c r="F212">
        <v>2101496</v>
      </c>
      <c r="G212" t="s">
        <v>13980</v>
      </c>
      <c r="H212">
        <v>10</v>
      </c>
      <c r="I212">
        <v>1</v>
      </c>
    </row>
    <row r="213" spans="1:9" x14ac:dyDescent="0.25">
      <c r="A213">
        <v>19599</v>
      </c>
      <c r="B213" t="s">
        <v>7</v>
      </c>
      <c r="C213" t="s">
        <v>3968</v>
      </c>
      <c r="E213" t="str">
        <f>IFERROR(VLOOKUP(1*LEFT(C213,7),DF!$A$1:$F$9446,2,FALSE),"")</f>
        <v>CHOMBA ML CIERRE GR 3XL/6XL RER</v>
      </c>
      <c r="F213">
        <v>2101751</v>
      </c>
      <c r="G213" t="s">
        <v>13981</v>
      </c>
      <c r="H213">
        <v>10</v>
      </c>
      <c r="I213">
        <v>1</v>
      </c>
    </row>
    <row r="214" spans="1:9" x14ac:dyDescent="0.25">
      <c r="A214">
        <v>19599</v>
      </c>
      <c r="B214" t="s">
        <v>7</v>
      </c>
      <c r="C214" t="str">
        <f>CONCATENATE(F214,"##")</f>
        <v>2101751##</v>
      </c>
      <c r="E214" t="str">
        <f>IFERROR(VLOOKUP(1*LEFT(C214,7),DF!$A$1:$F$9446,2,FALSE),"")</f>
        <v>CHOMBA ML CIERRE GR 3XS/2XL RER</v>
      </c>
      <c r="F214">
        <v>2101751</v>
      </c>
      <c r="G214" t="s">
        <v>13981</v>
      </c>
      <c r="H214">
        <v>10</v>
      </c>
      <c r="I214">
        <v>1</v>
      </c>
    </row>
    <row r="215" spans="1:9" x14ac:dyDescent="0.25">
      <c r="A215">
        <v>19599</v>
      </c>
      <c r="B215" t="s">
        <v>7</v>
      </c>
      <c r="C215" t="s">
        <v>3966</v>
      </c>
      <c r="E215" t="str">
        <f>IFERROR(VLOOKUP(1*LEFT(C215,7),DF!$A$1:$F$9446,2,FALSE),"")</f>
        <v>CHOMBA ML CIERRE NE 3XL/6XL RER</v>
      </c>
      <c r="F215">
        <v>2101901</v>
      </c>
      <c r="G215" t="s">
        <v>13982</v>
      </c>
      <c r="H215">
        <v>10</v>
      </c>
      <c r="I215">
        <v>1</v>
      </c>
    </row>
    <row r="216" spans="1:9" x14ac:dyDescent="0.25">
      <c r="A216">
        <v>19599</v>
      </c>
      <c r="B216" t="s">
        <v>7</v>
      </c>
      <c r="C216" t="str">
        <f>CONCATENATE(F216,"##")</f>
        <v>2101901##</v>
      </c>
      <c r="E216" t="str">
        <f>IFERROR(VLOOKUP(1*LEFT(C216,7),DF!$A$1:$F$9446,2,FALSE),"")</f>
        <v>CHOMBA ML CIERRE NE 3XS/2XL RER</v>
      </c>
      <c r="F216">
        <v>2101901</v>
      </c>
      <c r="G216" t="s">
        <v>13982</v>
      </c>
      <c r="H216">
        <v>10</v>
      </c>
      <c r="I216">
        <v>1</v>
      </c>
    </row>
    <row r="217" spans="1:9" x14ac:dyDescent="0.25">
      <c r="A217">
        <v>16522</v>
      </c>
      <c r="B217" t="s">
        <v>7</v>
      </c>
      <c r="C217" t="str">
        <f>CONCATENATE(F217,"##")</f>
        <v>5101204##</v>
      </c>
      <c r="E217" t="str">
        <f>IFERROR(VLOOKUP(1*LEFT(C217,7),DF!$A$1:$F$9446,2,FALSE),"")</f>
        <v>GARIBALDINA MAO RIP MULTICA 2XS/2XL RER</v>
      </c>
      <c r="F217">
        <v>5101204</v>
      </c>
      <c r="G217" t="s">
        <v>13984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">
        <v>4761</v>
      </c>
      <c r="E218" t="str">
        <f>IFERROR(VLOOKUP(1*LEFT(C218,7),DF!$A$1:$F$9446,2,FALSE),"")</f>
        <v>GARIBALDINA MAO RIP MULTICA 3XL/5XL RER</v>
      </c>
      <c r="F218">
        <v>5101204</v>
      </c>
      <c r="G218" t="s">
        <v>13984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tr">
        <f>CONCATENATE(F219,"##")</f>
        <v>5101876##</v>
      </c>
      <c r="E219" t="str">
        <f>IFERROR(VLOOKUP(1*LEFT(C219,7),DF!$A$1:$F$9446,2,FALSE),"")</f>
        <v>GARIBALDINA MAO RIP VIAL TUC 2XS/2XL RER</v>
      </c>
      <c r="F219">
        <v>5101876</v>
      </c>
      <c r="G219" t="s">
        <v>13985</v>
      </c>
      <c r="H219">
        <v>4</v>
      </c>
      <c r="I219">
        <v>1</v>
      </c>
    </row>
    <row r="220" spans="1:9" x14ac:dyDescent="0.25">
      <c r="A220">
        <v>16522</v>
      </c>
      <c r="B220" t="s">
        <v>7</v>
      </c>
      <c r="C220" t="s">
        <v>12184</v>
      </c>
      <c r="E220" t="str">
        <f>IFERROR(VLOOKUP(1*LEFT(C220,7),DF!$A$1:$F$9446,2,FALSE),"")</f>
        <v>GARIBALDINA MAO RIP VIAL TUC 3XL/5XL RER</v>
      </c>
      <c r="F220">
        <v>5101876</v>
      </c>
      <c r="G220" t="s">
        <v>13985</v>
      </c>
      <c r="H220">
        <v>4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2220034##</v>
      </c>
      <c r="E221" t="str">
        <f>IFERROR(VLOOKUP(1*LEFT(C221,7),DF!$A$1:$F$9446,2,FALSE),"")</f>
        <v>POLERA ALGODON BLANCA RER</v>
      </c>
      <c r="F221">
        <v>2220034</v>
      </c>
      <c r="G221" t="s">
        <v>13713</v>
      </c>
      <c r="H221">
        <v>2</v>
      </c>
    </row>
    <row r="222" spans="1:9" x14ac:dyDescent="0.25">
      <c r="A222">
        <v>16522</v>
      </c>
      <c r="B222" t="s">
        <v>7</v>
      </c>
      <c r="C222" t="str">
        <f>CONCATENATE(F222,"##")</f>
        <v>2101567##</v>
      </c>
      <c r="E222" t="str">
        <f>IFERROR(VLOOKUP(1*LEFT(C222,7),DF!$A$1:$F$9446,2,FALSE),"")</f>
        <v>REMERA MC STEEL AZUL 2XS/2XL</v>
      </c>
      <c r="F222">
        <v>2101567</v>
      </c>
      <c r="G222" t="s">
        <v>13986</v>
      </c>
      <c r="H222">
        <v>5</v>
      </c>
    </row>
    <row r="223" spans="1:9" x14ac:dyDescent="0.25">
      <c r="A223">
        <v>16522</v>
      </c>
      <c r="B223" t="s">
        <v>7</v>
      </c>
      <c r="C223" t="s">
        <v>7025</v>
      </c>
      <c r="E223" t="str">
        <f>IFERROR(VLOOKUP(1*LEFT(C223,7),DF!$A$1:$F$9446,2,FALSE),"")</f>
        <v>REMERA MC STEEL AZUL 3XL/6XL</v>
      </c>
      <c r="F223">
        <v>2101567</v>
      </c>
      <c r="G223" t="s">
        <v>13986</v>
      </c>
      <c r="H223">
        <v>5</v>
      </c>
    </row>
    <row r="224" spans="1:9" x14ac:dyDescent="0.25">
      <c r="A224">
        <v>16522</v>
      </c>
      <c r="B224" t="s">
        <v>7</v>
      </c>
      <c r="C224" t="str">
        <f>CONCATENATE(F224,"##")</f>
        <v>2101565##</v>
      </c>
      <c r="E224" t="str">
        <f>IFERROR(VLOOKUP(1*LEFT(C224,7),DF!$A$1:$F$9446,2,FALSE),"")</f>
        <v>REMERA MC STEEL NEGRA 2XS/2XL</v>
      </c>
      <c r="F224">
        <v>2101565</v>
      </c>
      <c r="G224" t="s">
        <v>13987</v>
      </c>
      <c r="H224">
        <v>5</v>
      </c>
    </row>
    <row r="225" spans="1:9" x14ac:dyDescent="0.25">
      <c r="A225">
        <v>16522</v>
      </c>
      <c r="B225" t="s">
        <v>7</v>
      </c>
      <c r="C225" t="s">
        <v>7024</v>
      </c>
      <c r="E225" t="str">
        <f>IFERROR(VLOOKUP(1*LEFT(C225,7),DF!$A$1:$F$9446,2,FALSE),"")</f>
        <v>REMERA MC STEEL NEGRA 3XL/5XL</v>
      </c>
      <c r="F225">
        <v>2101565</v>
      </c>
      <c r="G225" t="s">
        <v>13987</v>
      </c>
      <c r="H225">
        <v>5</v>
      </c>
    </row>
    <row r="226" spans="1:9" x14ac:dyDescent="0.25">
      <c r="A226" s="2">
        <v>16522</v>
      </c>
      <c r="B226" s="2" t="s">
        <v>4</v>
      </c>
      <c r="C226" s="2" t="str">
        <f>CONCATENATE(F226,"##")</f>
        <v>1120315##</v>
      </c>
      <c r="D226" s="2"/>
      <c r="E226" s="2" t="str">
        <f>IFERROR(VLOOKUP(1*LEFT(C226,7),DF!$A$1:$F$9446,2,FALSE),"")</f>
        <v>BOMB CLAS RIP DESERTICO 34/48 RER</v>
      </c>
      <c r="F226" s="7">
        <v>1120315</v>
      </c>
      <c r="G226" t="s">
        <v>14001</v>
      </c>
      <c r="H226">
        <v>2</v>
      </c>
      <c r="I226">
        <v>1</v>
      </c>
    </row>
    <row r="227" spans="1:9" x14ac:dyDescent="0.25">
      <c r="A227" s="2">
        <v>16522</v>
      </c>
      <c r="B227" s="2" t="s">
        <v>4</v>
      </c>
      <c r="C227" s="2" t="s">
        <v>6589</v>
      </c>
      <c r="D227" s="2"/>
      <c r="E227" s="2" t="str">
        <f>IFERROR(VLOOKUP(1*LEFT(C227,7),DF!$A$1:$F$9446,2,FALSE),"")</f>
        <v>BOMB CLAS RIP DESERTICO 50/54 RER</v>
      </c>
      <c r="F227" s="7">
        <v>1120315</v>
      </c>
      <c r="G227" t="s">
        <v>14001</v>
      </c>
      <c r="H227">
        <v>2</v>
      </c>
      <c r="I227">
        <v>1</v>
      </c>
    </row>
    <row r="228" spans="1:9" x14ac:dyDescent="0.25">
      <c r="A228" s="2">
        <v>16522</v>
      </c>
      <c r="B228" s="2" t="s">
        <v>4</v>
      </c>
      <c r="C228" s="2" t="s">
        <v>13166</v>
      </c>
      <c r="D228" s="2"/>
      <c r="E228" s="2" t="str">
        <f>IFERROR(VLOOKUP(1*LEFT(C228,7),DF!$A$1:$F$9446,2,FALSE),"")</f>
        <v>BOMB CLAS RIP DESERTICO 56/60 RER</v>
      </c>
      <c r="F228" s="7">
        <v>1120315</v>
      </c>
      <c r="G228" t="s">
        <v>14001</v>
      </c>
      <c r="H228">
        <v>2</v>
      </c>
      <c r="I228">
        <v>1</v>
      </c>
    </row>
    <row r="229" spans="1:9" x14ac:dyDescent="0.25">
      <c r="A229" s="2">
        <v>16522</v>
      </c>
      <c r="B229" s="2" t="s">
        <v>4</v>
      </c>
      <c r="C229" s="2" t="s">
        <v>13167</v>
      </c>
      <c r="D229" s="2"/>
      <c r="E229" s="2" t="str">
        <f>IFERROR(VLOOKUP(1*LEFT(C229,7),DF!$A$1:$F$9446,2,FALSE),"")</f>
        <v>BOMB CLAS RIP DESERTICO 62/66 RER</v>
      </c>
      <c r="F229" s="7">
        <v>1120315</v>
      </c>
      <c r="G229" t="s">
        <v>14001</v>
      </c>
      <c r="H229">
        <v>2</v>
      </c>
      <c r="I229">
        <v>1</v>
      </c>
    </row>
    <row r="230" spans="1:9" x14ac:dyDescent="0.25">
      <c r="A230" s="2">
        <v>16522</v>
      </c>
      <c r="B230" s="2" t="s">
        <v>4</v>
      </c>
      <c r="C230" s="2" t="str">
        <f>CONCATENATE(F230,"##")</f>
        <v>1120666##</v>
      </c>
      <c r="D230" s="2"/>
      <c r="E230" s="2" t="str">
        <f>IFERROR(VLOOKUP(1*LEFT(C230,7),DF!$A$1:$F$9446,2,FALSE),"")</f>
        <v>BOMB CLAS RIP DIGITAL BEIGE 34/48 RER</v>
      </c>
      <c r="F230" s="7">
        <v>1120666</v>
      </c>
      <c r="G230" t="s">
        <v>14002</v>
      </c>
      <c r="H230">
        <v>2</v>
      </c>
      <c r="I230">
        <v>1</v>
      </c>
    </row>
    <row r="231" spans="1:9" x14ac:dyDescent="0.25">
      <c r="A231" s="2">
        <v>16522</v>
      </c>
      <c r="B231" s="2" t="s">
        <v>4</v>
      </c>
      <c r="C231" s="2" t="s">
        <v>2253</v>
      </c>
      <c r="D231" s="2"/>
      <c r="E231" s="2" t="str">
        <f>IFERROR(VLOOKUP(1*LEFT(C231,7),DF!$A$1:$F$9446,2,FALSE),"")</f>
        <v>BOMB CLAS RIP DIGITAL BEIGE 50/54 RER</v>
      </c>
      <c r="F231" s="7">
        <v>1120666</v>
      </c>
      <c r="G231" t="s">
        <v>14002</v>
      </c>
      <c r="H231">
        <v>2</v>
      </c>
      <c r="I231">
        <v>1</v>
      </c>
    </row>
    <row r="232" spans="1:9" x14ac:dyDescent="0.25">
      <c r="A232" s="2">
        <v>16522</v>
      </c>
      <c r="B232" s="2" t="s">
        <v>4</v>
      </c>
      <c r="C232" s="2" t="s">
        <v>2261</v>
      </c>
      <c r="D232" s="2"/>
      <c r="E232" s="2" t="str">
        <f>IFERROR(VLOOKUP(1*LEFT(C232,7),DF!$A$1:$F$9446,2,FALSE),"")</f>
        <v>BOMB CLAS RIP DIGITAL BEIGE 56/60 RER</v>
      </c>
      <c r="F232" s="7">
        <v>1120666</v>
      </c>
      <c r="G232" t="s">
        <v>14002</v>
      </c>
      <c r="H232">
        <v>2</v>
      </c>
      <c r="I232">
        <v>1</v>
      </c>
    </row>
    <row r="233" spans="1:9" x14ac:dyDescent="0.25">
      <c r="A233" s="2">
        <v>16522</v>
      </c>
      <c r="B233" s="2" t="s">
        <v>4</v>
      </c>
      <c r="C233" s="2" t="s">
        <v>2269</v>
      </c>
      <c r="D233" s="2"/>
      <c r="E233" s="2" t="str">
        <f>IFERROR(VLOOKUP(1*LEFT(C233,7),DF!$A$1:$F$9446,2,FALSE),"")</f>
        <v>BOMB CLAS RIP DIGITAL BEIGE 62/66 RER</v>
      </c>
      <c r="F233" s="7">
        <v>1120666</v>
      </c>
      <c r="G233" t="s">
        <v>14002</v>
      </c>
      <c r="H233">
        <v>2</v>
      </c>
      <c r="I233">
        <v>1</v>
      </c>
    </row>
    <row r="234" spans="1:9" x14ac:dyDescent="0.25">
      <c r="A234" s="2">
        <v>16522</v>
      </c>
      <c r="B234" s="2" t="s">
        <v>4</v>
      </c>
      <c r="C234" s="2" t="str">
        <f>CONCATENATE(F234,"##")</f>
        <v>1120876##</v>
      </c>
      <c r="D234" s="2"/>
      <c r="E234" s="2" t="str">
        <f>IFERROR(VLOOKUP(1*LEFT(C234,7),DF!$A$1:$F$9446,2,FALSE),"")</f>
        <v>BOMB CLAS RIP VIAL TMAN 34/48 RER</v>
      </c>
      <c r="F234" s="7">
        <v>1120876</v>
      </c>
      <c r="G234" t="s">
        <v>14003</v>
      </c>
      <c r="H234">
        <v>4</v>
      </c>
      <c r="I234">
        <v>1</v>
      </c>
    </row>
    <row r="235" spans="1:9" x14ac:dyDescent="0.25">
      <c r="A235" s="2">
        <v>16522</v>
      </c>
      <c r="B235" s="2" t="s">
        <v>4</v>
      </c>
      <c r="C235" s="2" t="s">
        <v>4067</v>
      </c>
      <c r="D235" s="2"/>
      <c r="E235" s="2" t="str">
        <f>IFERROR(VLOOKUP(1*LEFT(C235,7),DF!$A$1:$F$9446,2,FALSE),"")</f>
        <v>BOMB CLAS RIP VIAL TMAN 50/54 RER</v>
      </c>
      <c r="F235" s="7">
        <v>1120876</v>
      </c>
      <c r="G235" t="s">
        <v>14003</v>
      </c>
      <c r="H235">
        <v>4</v>
      </c>
      <c r="I235">
        <v>1</v>
      </c>
    </row>
    <row r="236" spans="1:9" x14ac:dyDescent="0.25">
      <c r="A236" s="2">
        <v>16522</v>
      </c>
      <c r="B236" s="2" t="s">
        <v>4</v>
      </c>
      <c r="C236" s="2" t="s">
        <v>13168</v>
      </c>
      <c r="D236" s="2"/>
      <c r="E236" s="2" t="str">
        <f>IFERROR(VLOOKUP(1*LEFT(C236,7),DF!$A$1:$F$9446,2,FALSE),"")</f>
        <v>BOMB CLAS RIP VIAL TMAN 56/60 RER</v>
      </c>
      <c r="F236" s="7">
        <v>1120876</v>
      </c>
      <c r="G236" t="s">
        <v>14003</v>
      </c>
      <c r="H236">
        <v>4</v>
      </c>
      <c r="I236">
        <v>1</v>
      </c>
    </row>
    <row r="237" spans="1:9" x14ac:dyDescent="0.25">
      <c r="A237" s="2">
        <v>16522</v>
      </c>
      <c r="B237" s="2" t="s">
        <v>4</v>
      </c>
      <c r="C237" s="2" t="str">
        <f>CONCATENATE(F237,"##")</f>
        <v>1120877##</v>
      </c>
      <c r="D237" s="2"/>
      <c r="E237" s="2" t="str">
        <f>IFERROR(VLOOKUP(1*LEFT(C237,7),DF!$A$1:$F$9446,2,FALSE),"")</f>
        <v>BOMB CLAS RIP MIMET RURAL 34/48 RER</v>
      </c>
      <c r="F237" s="7">
        <v>1120877</v>
      </c>
      <c r="G237" t="s">
        <v>14004</v>
      </c>
      <c r="H237">
        <v>4</v>
      </c>
      <c r="I237">
        <v>1</v>
      </c>
    </row>
    <row r="238" spans="1:9" x14ac:dyDescent="0.25">
      <c r="A238" s="2">
        <v>16522</v>
      </c>
      <c r="B238" s="2" t="s">
        <v>4</v>
      </c>
      <c r="C238" s="2" t="s">
        <v>6675</v>
      </c>
      <c r="D238" s="2"/>
      <c r="E238" s="2" t="str">
        <f>IFERROR(VLOOKUP(1*LEFT(C238,7),DF!$A$1:$F$9446,2,FALSE),"")</f>
        <v>BOMB CLAS RIP MIMET RURAL 50/54 RER</v>
      </c>
      <c r="F238" s="7">
        <v>1120877</v>
      </c>
      <c r="G238" t="s">
        <v>14004</v>
      </c>
      <c r="H238">
        <v>4</v>
      </c>
      <c r="I238">
        <v>1</v>
      </c>
    </row>
    <row r="239" spans="1:9" x14ac:dyDescent="0.25">
      <c r="A239" s="2">
        <v>16522</v>
      </c>
      <c r="B239" s="2" t="s">
        <v>4</v>
      </c>
      <c r="C239" s="2" t="s">
        <v>6691</v>
      </c>
      <c r="D239" s="2"/>
      <c r="E239" s="2" t="str">
        <f>IFERROR(VLOOKUP(1*LEFT(C239,7),DF!$A$1:$F$9446,2,FALSE),"")</f>
        <v>BOMB CLAS RIP MIMET RURAL 62/66 RER</v>
      </c>
      <c r="F239" s="7">
        <v>1120877</v>
      </c>
      <c r="G239" t="s">
        <v>14004</v>
      </c>
      <c r="H239">
        <v>4</v>
      </c>
      <c r="I239">
        <v>1</v>
      </c>
    </row>
    <row r="240" spans="1:9" x14ac:dyDescent="0.25">
      <c r="A240" s="2">
        <v>16522</v>
      </c>
      <c r="B240" s="2" t="s">
        <v>4</v>
      </c>
      <c r="C240" s="2" t="str">
        <f>CONCATENATE(F240,"##")</f>
        <v>1120165##</v>
      </c>
      <c r="D240" s="2"/>
      <c r="E240" s="2" t="str">
        <f>IFERROR(VLOOKUP(1*LEFT(C240,7),DF!$A$1:$F$9446,2,FALSE),"")</f>
        <v>BOMB AMER RIP DIGITAL ACU 34/48 RER</v>
      </c>
      <c r="F240" s="7">
        <v>1120165</v>
      </c>
      <c r="G240" t="s">
        <v>14005</v>
      </c>
      <c r="H240">
        <v>2</v>
      </c>
      <c r="I240">
        <v>1</v>
      </c>
    </row>
    <row r="241" spans="1:9" x14ac:dyDescent="0.25">
      <c r="A241" s="2">
        <v>16522</v>
      </c>
      <c r="B241" s="2" t="s">
        <v>4</v>
      </c>
      <c r="C241" s="2" t="s">
        <v>12160</v>
      </c>
      <c r="D241" s="2"/>
      <c r="E241" s="2" t="str">
        <f>IFERROR(VLOOKUP(1*LEFT(C241,7),DF!$A$1:$F$9446,2,FALSE),"")</f>
        <v>BOMB AMER RIP DIGITAL ACU 50/54 RER</v>
      </c>
      <c r="F241" s="7">
        <v>1120165</v>
      </c>
      <c r="G241" t="s">
        <v>14005</v>
      </c>
      <c r="H241">
        <v>2</v>
      </c>
      <c r="I241">
        <v>1</v>
      </c>
    </row>
    <row r="242" spans="1:9" x14ac:dyDescent="0.25">
      <c r="A242" s="2">
        <v>16522</v>
      </c>
      <c r="B242" s="2" t="s">
        <v>4</v>
      </c>
      <c r="C242" s="2" t="s">
        <v>12161</v>
      </c>
      <c r="D242" s="2"/>
      <c r="E242" s="2" t="str">
        <f>IFERROR(VLOOKUP(1*LEFT(C242,7),DF!$A$1:$F$9446,2,FALSE),"")</f>
        <v>BOMB AMER RIP DIGITAL ACU 56/60 RER</v>
      </c>
      <c r="F242" s="7">
        <v>1120165</v>
      </c>
      <c r="G242" t="s">
        <v>14005</v>
      </c>
      <c r="H242">
        <v>2</v>
      </c>
      <c r="I242">
        <v>1</v>
      </c>
    </row>
    <row r="243" spans="1:9" x14ac:dyDescent="0.25">
      <c r="A243" s="2">
        <v>16522</v>
      </c>
      <c r="B243" s="2" t="s">
        <v>4</v>
      </c>
      <c r="C243" s="2" t="s">
        <v>12162</v>
      </c>
      <c r="D243" s="2"/>
      <c r="E243" s="2" t="str">
        <f>IFERROR(VLOOKUP(1*LEFT(C243,7),DF!$A$1:$F$9446,2,FALSE),"")</f>
        <v>BOMB AMER RIP DIGITAL ACU 62/66 RER</v>
      </c>
      <c r="F243" s="7">
        <v>1120165</v>
      </c>
      <c r="G243" t="s">
        <v>14005</v>
      </c>
      <c r="H243">
        <v>2</v>
      </c>
      <c r="I243">
        <v>1</v>
      </c>
    </row>
    <row r="244" spans="1:9" x14ac:dyDescent="0.25">
      <c r="A244" s="2">
        <v>16522</v>
      </c>
      <c r="B244" s="2" t="s">
        <v>4</v>
      </c>
      <c r="C244" s="2" t="str">
        <f>CONCATENATE(F244,"##")</f>
        <v>1120224##</v>
      </c>
      <c r="D244" s="2"/>
      <c r="E244" s="2" t="str">
        <f>IFERROR(VLOOKUP(1*LEFT(C244,7),DF!$A$1:$F$9446,2,FALSE),"")</f>
        <v>BOMB CLAS RIP AZUL M.L. 36/48 RER</v>
      </c>
      <c r="F244">
        <v>1120224</v>
      </c>
      <c r="G244" t="s">
        <v>14006</v>
      </c>
      <c r="H244">
        <v>6</v>
      </c>
      <c r="I244">
        <v>1</v>
      </c>
    </row>
    <row r="245" spans="1:9" x14ac:dyDescent="0.25">
      <c r="A245" s="2">
        <v>16522</v>
      </c>
      <c r="B245" s="2" t="s">
        <v>4</v>
      </c>
      <c r="C245" s="2" t="s">
        <v>13169</v>
      </c>
      <c r="D245" s="2"/>
      <c r="E245" s="2" t="str">
        <f>IFERROR(VLOOKUP(1*LEFT(C245,7),DF!$A$1:$F$9446,2,FALSE),"")</f>
        <v>BOMB CLAS RIP AZUL M.L. 50/54 RER</v>
      </c>
      <c r="F245">
        <v>1120224</v>
      </c>
      <c r="G245" t="s">
        <v>14006</v>
      </c>
      <c r="H245">
        <v>6</v>
      </c>
      <c r="I245">
        <v>1</v>
      </c>
    </row>
    <row r="246" spans="1:9" x14ac:dyDescent="0.25">
      <c r="A246" s="2">
        <v>16522</v>
      </c>
      <c r="B246" s="2" t="s">
        <v>4</v>
      </c>
      <c r="C246" s="2" t="str">
        <f>CONCATENATE(F246,"##")</f>
        <v>1120323##</v>
      </c>
      <c r="D246" s="2"/>
      <c r="E246" s="2" t="str">
        <f>IFERROR(VLOOKUP(1*LEFT(C246,7),DF!$A$1:$F$9446,2,FALSE),"")</f>
        <v>BOMB CLAS RIP MULTICAM 34/48 RER</v>
      </c>
      <c r="F246">
        <v>1120323</v>
      </c>
      <c r="G246" t="s">
        <v>14007</v>
      </c>
      <c r="H246">
        <v>4</v>
      </c>
      <c r="I246">
        <v>1</v>
      </c>
    </row>
    <row r="247" spans="1:9" x14ac:dyDescent="0.25">
      <c r="A247" s="2">
        <v>16522</v>
      </c>
      <c r="B247" s="2" t="s">
        <v>4</v>
      </c>
      <c r="C247" s="2" t="s">
        <v>12194</v>
      </c>
      <c r="D247" s="2"/>
      <c r="E247" s="2" t="str">
        <f>IFERROR(VLOOKUP(1*LEFT(C247,7),DF!$A$1:$F$9446,2,FALSE),"")</f>
        <v>BOMB CLAS RIP MULTICAM 50/54 RER</v>
      </c>
      <c r="F247">
        <v>1120323</v>
      </c>
      <c r="G247" t="s">
        <v>14007</v>
      </c>
      <c r="H247">
        <v>4</v>
      </c>
      <c r="I247">
        <v>1</v>
      </c>
    </row>
    <row r="248" spans="1:9" x14ac:dyDescent="0.25">
      <c r="A248" s="2">
        <v>16522</v>
      </c>
      <c r="B248" s="2" t="s">
        <v>4</v>
      </c>
      <c r="C248" s="2" t="s">
        <v>12195</v>
      </c>
      <c r="D248" s="2"/>
      <c r="E248" s="2" t="str">
        <f>IFERROR(VLOOKUP(1*LEFT(C248,7),DF!$A$1:$F$9446,2,FALSE),"")</f>
        <v>BOMB CLAS RIP MULTICAM 56/60 RER</v>
      </c>
      <c r="F248">
        <v>1120323</v>
      </c>
      <c r="G248" t="s">
        <v>14007</v>
      </c>
      <c r="H248">
        <v>4</v>
      </c>
      <c r="I248">
        <v>1</v>
      </c>
    </row>
    <row r="249" spans="1:9" x14ac:dyDescent="0.25">
      <c r="A249" s="2">
        <v>16522</v>
      </c>
      <c r="B249" s="2" t="s">
        <v>4</v>
      </c>
      <c r="C249" s="2" t="s">
        <v>12196</v>
      </c>
      <c r="D249" s="2"/>
      <c r="E249" s="2" t="str">
        <f>IFERROR(VLOOKUP(1*LEFT(C249,7),DF!$A$1:$F$9446,2,FALSE),"")</f>
        <v>BOMB CLAS RIP MULTICAM 62/66 RER</v>
      </c>
      <c r="F249">
        <v>1120323</v>
      </c>
      <c r="G249" t="s">
        <v>14007</v>
      </c>
      <c r="H249">
        <v>4</v>
      </c>
      <c r="I249">
        <v>1</v>
      </c>
    </row>
    <row r="250" spans="1:9" x14ac:dyDescent="0.25">
      <c r="A250" s="2">
        <v>16522</v>
      </c>
      <c r="B250" s="2" t="s">
        <v>4</v>
      </c>
      <c r="C250" s="2" t="str">
        <f>CONCATENATE(F250,"##")</f>
        <v>1120878##</v>
      </c>
      <c r="D250" s="2"/>
      <c r="E250" s="2" t="str">
        <f>IFERROR(VLOOKUP(1*LEFT(C250,7),DF!$A$1:$F$9446,2,FALSE),"")</f>
        <v>BOMB CLAS RIP MIMET 2 COL GRIS 34/48 RER</v>
      </c>
      <c r="F250">
        <v>1120878</v>
      </c>
      <c r="G250" t="s">
        <v>14008</v>
      </c>
      <c r="H250">
        <v>4</v>
      </c>
      <c r="I250">
        <v>1</v>
      </c>
    </row>
    <row r="251" spans="1:9" x14ac:dyDescent="0.25">
      <c r="A251" s="2">
        <v>16522</v>
      </c>
      <c r="B251" s="2" t="s">
        <v>4</v>
      </c>
      <c r="C251" s="2" t="s">
        <v>6717</v>
      </c>
      <c r="D251" s="2"/>
      <c r="E251" s="2" t="str">
        <f>IFERROR(VLOOKUP(1*LEFT(C251,7),DF!$A$1:$F$9446,2,FALSE),"")</f>
        <v>BOMB CLAS RIP MIMET 2 COL GRIS 50/54 RER</v>
      </c>
      <c r="F251">
        <v>1120878</v>
      </c>
      <c r="G251" t="s">
        <v>14008</v>
      </c>
      <c r="H251">
        <v>4</v>
      </c>
      <c r="I251">
        <v>1</v>
      </c>
    </row>
    <row r="252" spans="1:9" x14ac:dyDescent="0.25">
      <c r="A252" s="2">
        <v>16522</v>
      </c>
      <c r="B252" s="2" t="s">
        <v>4</v>
      </c>
      <c r="C252" s="2" t="s">
        <v>13170</v>
      </c>
      <c r="D252" s="2"/>
      <c r="E252" s="2" t="str">
        <f>IFERROR(VLOOKUP(1*LEFT(C252,7),DF!$A$1:$F$9446,2,FALSE),"")</f>
        <v>BOMB CLAS RIP MIMET 2 COL GRIS 56/60 RER</v>
      </c>
      <c r="F252">
        <v>1120878</v>
      </c>
      <c r="G252" t="s">
        <v>14008</v>
      </c>
      <c r="H252">
        <v>4</v>
      </c>
      <c r="I252">
        <v>1</v>
      </c>
    </row>
    <row r="253" spans="1:9" x14ac:dyDescent="0.25">
      <c r="A253" s="2">
        <v>16522</v>
      </c>
      <c r="B253" s="2" t="s">
        <v>4</v>
      </c>
      <c r="C253" s="2" t="str">
        <f>CONCATENATE(F253,"##")</f>
        <v>1120858##</v>
      </c>
      <c r="D253" s="2"/>
      <c r="E253" s="2" t="str">
        <f>IFERROR(VLOOKUP(1*LEFT(C253,7),DF!$A$1:$F$9446,2,FALSE),"")</f>
        <v>BOMB AMER RIP NEGRA 34/48 RER</v>
      </c>
      <c r="F253">
        <v>1120858</v>
      </c>
      <c r="G253" t="s">
        <v>14009</v>
      </c>
      <c r="H253">
        <v>8</v>
      </c>
      <c r="I253">
        <v>1</v>
      </c>
    </row>
    <row r="254" spans="1:9" x14ac:dyDescent="0.25">
      <c r="A254" s="2">
        <v>16522</v>
      </c>
      <c r="B254" s="2" t="s">
        <v>4</v>
      </c>
      <c r="C254" s="2" t="s">
        <v>1914</v>
      </c>
      <c r="D254" s="2"/>
      <c r="E254" s="2" t="str">
        <f>IFERROR(VLOOKUP(1*LEFT(C254,7),DF!$A$1:$F$9446,2,FALSE),"")</f>
        <v>BOMB AMER RIP NEGRA 50/54 RER</v>
      </c>
      <c r="F254">
        <v>1120858</v>
      </c>
      <c r="G254" t="s">
        <v>14009</v>
      </c>
      <c r="H254">
        <v>8</v>
      </c>
      <c r="I254">
        <v>1</v>
      </c>
    </row>
    <row r="255" spans="1:9" x14ac:dyDescent="0.25">
      <c r="A255" s="2">
        <v>16522</v>
      </c>
      <c r="B255" s="2" t="s">
        <v>4</v>
      </c>
      <c r="C255" s="2" t="s">
        <v>2229</v>
      </c>
      <c r="D255" s="2"/>
      <c r="E255" s="2" t="str">
        <f>IFERROR(VLOOKUP(1*LEFT(C255,7),DF!$A$1:$F$9446,2,FALSE),"")</f>
        <v>BOMB AMER RIP NEGRA 56/60 RER</v>
      </c>
      <c r="F255">
        <v>1120858</v>
      </c>
      <c r="G255" t="s">
        <v>14009</v>
      </c>
      <c r="H255">
        <v>8</v>
      </c>
      <c r="I255">
        <v>1</v>
      </c>
    </row>
    <row r="256" spans="1:9" x14ac:dyDescent="0.25">
      <c r="A256" s="2">
        <v>16522</v>
      </c>
      <c r="B256" s="2" t="s">
        <v>4</v>
      </c>
      <c r="C256" s="2" t="s">
        <v>5905</v>
      </c>
      <c r="D256" s="2"/>
      <c r="E256" s="2" t="str">
        <f>IFERROR(VLOOKUP(1*LEFT(C256,7),DF!$A$1:$F$9446,2,FALSE),"")</f>
        <v>BOMB AMER RIP NEGRA 62/66 RER</v>
      </c>
      <c r="F256">
        <v>1120858</v>
      </c>
      <c r="G256" t="s">
        <v>14009</v>
      </c>
      <c r="H256">
        <v>8</v>
      </c>
      <c r="I256">
        <v>1</v>
      </c>
    </row>
    <row r="257" spans="1:9" x14ac:dyDescent="0.25">
      <c r="A257" s="2">
        <v>16522</v>
      </c>
      <c r="B257" s="2" t="s">
        <v>4</v>
      </c>
      <c r="C257" s="2" t="str">
        <f>CONCATENATE(F257,"##")</f>
        <v>1120623##</v>
      </c>
      <c r="D257" s="2"/>
      <c r="E257" s="2" t="str">
        <f>IFERROR(VLOOKUP(1*LEFT(C257,7),DF!$A$1:$F$9446,2,FALSE),"")</f>
        <v>BOMB AMER RIP GRIS 34/48 RER</v>
      </c>
      <c r="F257">
        <v>1120623</v>
      </c>
      <c r="G257" t="s">
        <v>14010</v>
      </c>
      <c r="H257">
        <v>8</v>
      </c>
      <c r="I257">
        <v>1</v>
      </c>
    </row>
    <row r="258" spans="1:9" x14ac:dyDescent="0.25">
      <c r="A258" s="2">
        <v>16522</v>
      </c>
      <c r="B258" s="2" t="s">
        <v>4</v>
      </c>
      <c r="C258" s="2" t="s">
        <v>6633</v>
      </c>
      <c r="D258" s="2"/>
      <c r="E258" s="2" t="str">
        <f>IFERROR(VLOOKUP(1*LEFT(C258,7),DF!$A$1:$F$9446,2,FALSE),"")</f>
        <v>BOMB AMER RIP GRIS 50/54 RER</v>
      </c>
      <c r="F258">
        <v>1120623</v>
      </c>
      <c r="G258" t="s">
        <v>14010</v>
      </c>
      <c r="H258">
        <v>8</v>
      </c>
      <c r="I258">
        <v>1</v>
      </c>
    </row>
    <row r="259" spans="1:9" x14ac:dyDescent="0.25">
      <c r="A259" s="2">
        <v>16522</v>
      </c>
      <c r="B259" s="2" t="s">
        <v>4</v>
      </c>
      <c r="C259" s="2" t="s">
        <v>13171</v>
      </c>
      <c r="D259" s="2"/>
      <c r="E259" s="2" t="str">
        <f>IFERROR(VLOOKUP(1*LEFT(C259,7),DF!$A$1:$F$9446,2,FALSE),"")</f>
        <v>BOMB AMER RIP GRIS 56/60 RER</v>
      </c>
      <c r="F259">
        <v>1120623</v>
      </c>
      <c r="G259" t="s">
        <v>14010</v>
      </c>
      <c r="H259">
        <v>8</v>
      </c>
      <c r="I259">
        <v>1</v>
      </c>
    </row>
    <row r="260" spans="1:9" x14ac:dyDescent="0.25">
      <c r="A260" s="2">
        <v>16522</v>
      </c>
      <c r="B260" s="2" t="s">
        <v>4</v>
      </c>
      <c r="C260" s="2" t="s">
        <v>13172</v>
      </c>
      <c r="D260" s="2"/>
      <c r="E260" s="2" t="str">
        <f>IFERROR(VLOOKUP(1*LEFT(C260,7),DF!$A$1:$F$9446,2,FALSE),"")</f>
        <v>BOMB AMER RIP GRIS 62/66 RER</v>
      </c>
      <c r="F260">
        <v>1120623</v>
      </c>
      <c r="G260" t="s">
        <v>14010</v>
      </c>
      <c r="H260">
        <v>8</v>
      </c>
      <c r="I260">
        <v>1</v>
      </c>
    </row>
    <row r="261" spans="1:9" x14ac:dyDescent="0.25">
      <c r="A261" s="2">
        <v>16522</v>
      </c>
      <c r="B261" s="2" t="s">
        <v>4</v>
      </c>
      <c r="C261" s="2" t="str">
        <f>CONCATENATE(F261,"##")</f>
        <v>1120856##</v>
      </c>
      <c r="D261" s="2"/>
      <c r="E261" s="2" t="str">
        <f>IFERROR(VLOOKUP(1*LEFT(C261,7),DF!$A$1:$F$9446,2,FALSE),"")</f>
        <v>BOMB AMER RIP AZUL 34/48 RER</v>
      </c>
      <c r="F261">
        <v>1120856</v>
      </c>
      <c r="G261" t="s">
        <v>14011</v>
      </c>
      <c r="H261">
        <v>8</v>
      </c>
      <c r="I261">
        <v>1</v>
      </c>
    </row>
    <row r="262" spans="1:9" x14ac:dyDescent="0.25">
      <c r="A262" s="2">
        <v>16522</v>
      </c>
      <c r="B262" s="2" t="s">
        <v>4</v>
      </c>
      <c r="C262" s="2" t="s">
        <v>2711</v>
      </c>
      <c r="D262" s="2"/>
      <c r="E262" s="2" t="str">
        <f>IFERROR(VLOOKUP(1*LEFT(C262,7),DF!$A$1:$F$9446,2,FALSE),"")</f>
        <v>BOMB AMER RIP AZUL 50/54 RER</v>
      </c>
      <c r="F262">
        <v>1120856</v>
      </c>
      <c r="G262" t="s">
        <v>14011</v>
      </c>
      <c r="H262">
        <v>8</v>
      </c>
      <c r="I262">
        <v>1</v>
      </c>
    </row>
    <row r="263" spans="1:9" x14ac:dyDescent="0.25">
      <c r="A263" s="2">
        <v>16522</v>
      </c>
      <c r="B263" s="2" t="s">
        <v>4</v>
      </c>
      <c r="C263" s="2" t="s">
        <v>2719</v>
      </c>
      <c r="D263" s="2"/>
      <c r="E263" s="2" t="str">
        <f>IFERROR(VLOOKUP(1*LEFT(C263,7),DF!$A$1:$F$9446,2,FALSE),"")</f>
        <v>BOMB AMER RIP AZUL 56/60 RER</v>
      </c>
      <c r="F263">
        <v>1120856</v>
      </c>
      <c r="G263" t="s">
        <v>14011</v>
      </c>
      <c r="H263">
        <v>8</v>
      </c>
      <c r="I263">
        <v>1</v>
      </c>
    </row>
    <row r="264" spans="1:9" x14ac:dyDescent="0.25">
      <c r="A264" s="2">
        <v>16522</v>
      </c>
      <c r="B264" s="2" t="s">
        <v>4</v>
      </c>
      <c r="C264" s="2" t="s">
        <v>5913</v>
      </c>
      <c r="D264" s="2"/>
      <c r="E264" s="2" t="str">
        <f>IFERROR(VLOOKUP(1*LEFT(C264,7),DF!$A$1:$F$9446,2,FALSE),"")</f>
        <v>BOMB AMER RIP AZUL 62/66 RER</v>
      </c>
      <c r="F264">
        <v>1120856</v>
      </c>
      <c r="G264" t="s">
        <v>14011</v>
      </c>
      <c r="H264">
        <v>8</v>
      </c>
      <c r="I264">
        <v>1</v>
      </c>
    </row>
    <row r="265" spans="1:9" x14ac:dyDescent="0.25">
      <c r="A265" s="2">
        <v>16522</v>
      </c>
      <c r="B265" s="2" t="s">
        <v>4</v>
      </c>
      <c r="C265" s="2" t="str">
        <f>CONCATENATE(F265,"##")</f>
        <v>1120445##</v>
      </c>
      <c r="D265" s="2"/>
      <c r="E265" s="2" t="str">
        <f>IFERROR(VLOOKUP(1*LEFT(C265,7),DF!$A$1:$F$9446,2,FALSE),"")</f>
        <v>BOMB AMER RIP AZUL NOCHE 34/48 RER</v>
      </c>
      <c r="F265">
        <v>1120445</v>
      </c>
      <c r="G265" t="s">
        <v>14012</v>
      </c>
      <c r="H265">
        <v>8</v>
      </c>
      <c r="I265">
        <v>1</v>
      </c>
    </row>
    <row r="266" spans="1:9" x14ac:dyDescent="0.25">
      <c r="A266" s="2">
        <v>16522</v>
      </c>
      <c r="B266" s="2" t="s">
        <v>4</v>
      </c>
      <c r="C266" s="2" t="s">
        <v>5519</v>
      </c>
      <c r="D266" s="2"/>
      <c r="E266" s="2" t="str">
        <f>IFERROR(VLOOKUP(1*LEFT(C266,7),DF!$A$1:$F$9446,2,FALSE),"")</f>
        <v>BOMB AMER RIP AZUL NOCHE 50/54 RER</v>
      </c>
      <c r="F266">
        <v>1120445</v>
      </c>
      <c r="G266" t="s">
        <v>14012</v>
      </c>
      <c r="H266">
        <v>8</v>
      </c>
      <c r="I266">
        <v>1</v>
      </c>
    </row>
    <row r="267" spans="1:9" x14ac:dyDescent="0.25">
      <c r="A267" s="2">
        <v>16522</v>
      </c>
      <c r="B267" s="2" t="s">
        <v>4</v>
      </c>
      <c r="C267" s="2" t="s">
        <v>5527</v>
      </c>
      <c r="D267" s="2"/>
      <c r="E267" s="2" t="str">
        <f>IFERROR(VLOOKUP(1*LEFT(C267,7),DF!$A$1:$F$9446,2,FALSE),"")</f>
        <v>BOMB AMER RIP AZUL NOCHE 56/60 RER</v>
      </c>
      <c r="F267">
        <v>1120445</v>
      </c>
      <c r="G267" t="s">
        <v>14012</v>
      </c>
      <c r="H267">
        <v>8</v>
      </c>
      <c r="I267">
        <v>1</v>
      </c>
    </row>
    <row r="268" spans="1:9" x14ac:dyDescent="0.25">
      <c r="A268" s="2">
        <v>16522</v>
      </c>
      <c r="B268" s="2" t="s">
        <v>4</v>
      </c>
      <c r="C268" s="2" t="s">
        <v>5535</v>
      </c>
      <c r="D268" s="2"/>
      <c r="E268" s="2" t="str">
        <f>IFERROR(VLOOKUP(1*LEFT(C268,7),DF!$A$1:$F$9446,2,FALSE),"")</f>
        <v>BOMB AMER RIP AZUL NOCHE 62/66 RER</v>
      </c>
      <c r="F268">
        <v>1120445</v>
      </c>
      <c r="G268" t="s">
        <v>14012</v>
      </c>
      <c r="H268">
        <v>8</v>
      </c>
      <c r="I268">
        <v>1</v>
      </c>
    </row>
    <row r="269" spans="1:9" x14ac:dyDescent="0.25">
      <c r="A269" s="2">
        <v>16522</v>
      </c>
      <c r="B269" s="2" t="s">
        <v>4</v>
      </c>
      <c r="C269" s="2" t="str">
        <f>CONCATENATE(F269,"##")</f>
        <v>2101202##</v>
      </c>
      <c r="D269" s="2"/>
      <c r="E269" s="2" t="str">
        <f>IFERROR(VLOOKUP(1*LEFT(C269,7),DF!$A$1:$F$9446,2,FALSE),"")</f>
        <v>CHOMBA MC POLO BLANCA 3XS/2XL RER</v>
      </c>
      <c r="F269" s="3">
        <v>2101202</v>
      </c>
      <c r="G269" t="s">
        <v>14013</v>
      </c>
      <c r="H269">
        <v>3</v>
      </c>
      <c r="I269">
        <v>1</v>
      </c>
    </row>
    <row r="270" spans="1:9" x14ac:dyDescent="0.25">
      <c r="A270" s="2">
        <v>16522</v>
      </c>
      <c r="B270" s="2" t="s">
        <v>4</v>
      </c>
      <c r="C270" s="2" t="s">
        <v>3894</v>
      </c>
      <c r="D270" s="2"/>
      <c r="E270" s="2" t="str">
        <f>IFERROR(VLOOKUP(1*LEFT(C270,7),DF!$A$1:$F$9446,2,FALSE),"")</f>
        <v>CHOMBA MC POLO BLANCA 3XL/5XL RER</v>
      </c>
      <c r="F270" s="3">
        <v>2101202</v>
      </c>
      <c r="G270" t="s">
        <v>14013</v>
      </c>
      <c r="H270">
        <v>3</v>
      </c>
      <c r="I270">
        <v>1</v>
      </c>
    </row>
    <row r="271" spans="1:9" x14ac:dyDescent="0.25">
      <c r="A271" s="2">
        <v>16522</v>
      </c>
      <c r="B271" s="2" t="s">
        <v>4</v>
      </c>
      <c r="C271" s="2" t="str">
        <f>CONCATENATE(F271,"##")</f>
        <v>2101500##</v>
      </c>
      <c r="D271" s="2"/>
      <c r="E271" s="2" t="str">
        <f>IFERROR(VLOOKUP(1*LEFT(C271,7),DF!$A$1:$F$9446,2,FALSE),"")</f>
        <v>CHOMBA MC POLO GRIS MELA SPF 3XS/2XL RER</v>
      </c>
      <c r="F271">
        <v>2101500</v>
      </c>
      <c r="G271" t="s">
        <v>14014</v>
      </c>
      <c r="H271">
        <v>3</v>
      </c>
      <c r="I271">
        <v>1</v>
      </c>
    </row>
    <row r="272" spans="1:9" x14ac:dyDescent="0.25">
      <c r="A272" s="2">
        <v>16522</v>
      </c>
      <c r="B272" s="2" t="s">
        <v>4</v>
      </c>
      <c r="C272" s="2" t="s">
        <v>13173</v>
      </c>
      <c r="D272" s="2"/>
      <c r="E272" s="2" t="str">
        <f>IFERROR(VLOOKUP(1*LEFT(C272,7),DF!$A$1:$F$9446,2,FALSE),"")</f>
        <v>CHOMBA MC POLO GRIS MELA SPF 3XL/5XL RER</v>
      </c>
      <c r="F272">
        <v>2101500</v>
      </c>
      <c r="G272" t="s">
        <v>14014</v>
      </c>
      <c r="H272">
        <v>3</v>
      </c>
      <c r="I272">
        <v>1</v>
      </c>
    </row>
    <row r="273" spans="1:9" x14ac:dyDescent="0.25">
      <c r="A273" s="2">
        <v>16522</v>
      </c>
      <c r="B273" s="2" t="s">
        <v>4</v>
      </c>
      <c r="C273" s="2" t="str">
        <f>CONCATENATE(F273,"##")</f>
        <v>2101532##</v>
      </c>
      <c r="D273" s="2"/>
      <c r="E273" s="2" t="str">
        <f>IFERROR(VLOOKUP(1*LEFT(C273,7),DF!$A$1:$F$9446,2,FALSE),"")</f>
        <v>REMERA MC SIN CIERRE BEIGE 2XS/2XL</v>
      </c>
      <c r="F273" s="7">
        <v>2101532</v>
      </c>
      <c r="G273" t="s">
        <v>14015</v>
      </c>
      <c r="H273">
        <v>3</v>
      </c>
      <c r="I273">
        <v>1</v>
      </c>
    </row>
    <row r="274" spans="1:9" x14ac:dyDescent="0.25">
      <c r="A274" s="2">
        <v>16522</v>
      </c>
      <c r="B274" s="2" t="s">
        <v>4</v>
      </c>
      <c r="C274" s="2" t="s">
        <v>13174</v>
      </c>
      <c r="D274" s="2"/>
      <c r="E274" s="2" t="str">
        <f>IFERROR(VLOOKUP(1*LEFT(C274,7),DF!$A$1:$F$9446,2,FALSE),"")</f>
        <v>REMERA MC SIN CIERRE BEIGE 3XL/6XL</v>
      </c>
      <c r="F274" s="7">
        <v>2101532</v>
      </c>
      <c r="G274" t="s">
        <v>14015</v>
      </c>
      <c r="H274">
        <v>3</v>
      </c>
      <c r="I274">
        <v>1</v>
      </c>
    </row>
    <row r="275" spans="1:9" x14ac:dyDescent="0.25">
      <c r="A275" s="2">
        <v>16522</v>
      </c>
      <c r="B275" s="2" t="s">
        <v>4</v>
      </c>
      <c r="C275" s="2" t="s">
        <v>12449</v>
      </c>
      <c r="D275" s="2"/>
      <c r="E275" s="2" t="str">
        <f>IFERROR(VLOOKUP(1*LEFT(C275,7),DF!$A$1:$F$9446,2,FALSE),"")</f>
        <v>REMERA MC CON CIERRE BEIGE 3XL/5XL RER</v>
      </c>
      <c r="F275">
        <v>2101520</v>
      </c>
      <c r="G275" t="s">
        <v>14016</v>
      </c>
      <c r="H275">
        <v>3</v>
      </c>
      <c r="I275">
        <v>1</v>
      </c>
    </row>
    <row r="276" spans="1:9" x14ac:dyDescent="0.25">
      <c r="A276" s="2">
        <v>16522</v>
      </c>
      <c r="B276" s="2" t="s">
        <v>4</v>
      </c>
      <c r="C276" s="2" t="str">
        <f>CONCATENATE(F276,"##")</f>
        <v>2101520##</v>
      </c>
      <c r="D276" s="2"/>
      <c r="E276" s="2" t="str">
        <f>IFERROR(VLOOKUP(1*LEFT(C276,7),DF!$A$1:$F$9446,2,FALSE),"")</f>
        <v>REMERA MC CON CIERRE BEIGE 3XS/2XL RER</v>
      </c>
      <c r="F276">
        <v>2101520</v>
      </c>
      <c r="G276" t="s">
        <v>14016</v>
      </c>
      <c r="H276">
        <v>3</v>
      </c>
      <c r="I276">
        <v>1</v>
      </c>
    </row>
    <row r="277" spans="1:9" x14ac:dyDescent="0.25">
      <c r="A277" s="2">
        <v>16522</v>
      </c>
      <c r="B277" s="2" t="s">
        <v>4</v>
      </c>
      <c r="C277" s="2" t="str">
        <f>CONCATENATE(F277,"##")</f>
        <v>2101530##</v>
      </c>
      <c r="D277" s="2"/>
      <c r="E277" s="2" t="str">
        <f>IFERROR(VLOOKUP(1*LEFT(C277,7),DF!$A$1:$F$9446,2,FALSE),"")</f>
        <v>REMERA MC SIN CIERRE BEIGE C/VIVO NE 3XS/2XL RER</v>
      </c>
      <c r="F277">
        <v>2101530</v>
      </c>
      <c r="G277" t="s">
        <v>14017</v>
      </c>
      <c r="H277">
        <v>3</v>
      </c>
      <c r="I277">
        <v>1</v>
      </c>
    </row>
    <row r="278" spans="1:9" x14ac:dyDescent="0.25">
      <c r="A278" s="2">
        <v>16522</v>
      </c>
      <c r="B278" s="2" t="s">
        <v>4</v>
      </c>
      <c r="C278" s="2" t="s">
        <v>13182</v>
      </c>
      <c r="D278" s="2"/>
      <c r="E278" s="2" t="str">
        <f>IFERROR(VLOOKUP(1*LEFT(C278,7),DF!$A$1:$F$9446,2,FALSE),"")</f>
        <v>REMERA MC SIN CIERRE BEIGE C/VIVO NE 3XL/6XL RER</v>
      </c>
      <c r="F278">
        <v>2101530</v>
      </c>
      <c r="G278" t="s">
        <v>14017</v>
      </c>
      <c r="H278">
        <v>3</v>
      </c>
      <c r="I278">
        <v>1</v>
      </c>
    </row>
    <row r="279" spans="1:9" x14ac:dyDescent="0.25">
      <c r="A279" s="2">
        <v>16522</v>
      </c>
      <c r="B279" s="2" t="s">
        <v>4</v>
      </c>
      <c r="C279" s="2" t="s">
        <v>5037</v>
      </c>
      <c r="D279" s="2"/>
      <c r="E279" s="2" t="str">
        <f>IFERROR(VLOOKUP(1*LEFT(C279,7),DF!$A$1:$F$9446,2,FALSE),"")</f>
        <v>REMERA MC SIN CIERRE AZUL 3XL/5XL RER</v>
      </c>
      <c r="F279" s="7">
        <v>2101550</v>
      </c>
      <c r="G279" t="s">
        <v>14327</v>
      </c>
      <c r="H279">
        <v>8</v>
      </c>
      <c r="I279">
        <v>1</v>
      </c>
    </row>
    <row r="280" spans="1:9" x14ac:dyDescent="0.25">
      <c r="A280" s="2">
        <v>16522</v>
      </c>
      <c r="B280" s="2" t="s">
        <v>4</v>
      </c>
      <c r="C280" s="2" t="str">
        <f>CONCATENATE(F280,"##")</f>
        <v>2101550##</v>
      </c>
      <c r="D280" s="2"/>
      <c r="E280" s="2" t="str">
        <f>IFERROR(VLOOKUP(1*LEFT(C280,7),DF!$A$1:$F$9446,2,FALSE),"")</f>
        <v>REMERA MC SIN CIERRE AZUL 3XS/2XL RER</v>
      </c>
      <c r="F280" s="7">
        <v>2101550</v>
      </c>
      <c r="G280" t="s">
        <v>14327</v>
      </c>
      <c r="H280">
        <v>8</v>
      </c>
      <c r="I280">
        <v>1</v>
      </c>
    </row>
    <row r="281" spans="1:9" x14ac:dyDescent="0.25">
      <c r="A281" s="2">
        <v>16522</v>
      </c>
      <c r="B281" s="2" t="s">
        <v>4</v>
      </c>
      <c r="C281" s="2" t="s">
        <v>5029</v>
      </c>
      <c r="D281" s="2"/>
      <c r="E281" s="2" t="str">
        <f>IFERROR(VLOOKUP(1*LEFT(C281,7),DF!$A$1:$F$9446,2,FALSE),"")</f>
        <v>REMERA MC SIN CIERRE GRIS 3XL/5XL RER</v>
      </c>
      <c r="F281" s="7">
        <v>2101350</v>
      </c>
      <c r="G281" t="s">
        <v>14328</v>
      </c>
      <c r="H281">
        <v>8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2101350##</v>
      </c>
      <c r="D282" s="2"/>
      <c r="E282" s="2" t="str">
        <f>IFERROR(VLOOKUP(1*LEFT(C282,7),DF!$A$1:$F$9446,2,FALSE),"")</f>
        <v>REMERA MC SIN CIERRE GRIS 3XS/2XL RER</v>
      </c>
      <c r="F282" s="7">
        <v>2101350</v>
      </c>
      <c r="G282" t="s">
        <v>14328</v>
      </c>
      <c r="H282">
        <v>8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5007</v>
      </c>
      <c r="D283" s="2"/>
      <c r="E283" s="2" t="str">
        <f>IFERROR(VLOOKUP(1*LEFT(C283,7),DF!$A$1:$F$9446,2,FALSE),"")</f>
        <v>REMERA MC SIN CIERRE NEGRO 3XL/6XL RER</v>
      </c>
      <c r="F283" s="7">
        <v>2101555</v>
      </c>
      <c r="G283" t="s">
        <v>14329</v>
      </c>
      <c r="H283">
        <v>8</v>
      </c>
      <c r="I283">
        <v>1</v>
      </c>
    </row>
    <row r="284" spans="1:9" x14ac:dyDescent="0.25">
      <c r="A284" s="2">
        <v>16522</v>
      </c>
      <c r="B284" s="2" t="s">
        <v>4</v>
      </c>
      <c r="C284" s="2" t="str">
        <f>CONCATENATE(F284,"##")</f>
        <v>2101555##</v>
      </c>
      <c r="D284" s="2"/>
      <c r="E284" s="2" t="str">
        <f>IFERROR(VLOOKUP(1*LEFT(C284,7),DF!$A$1:$F$9446,2,FALSE),"")</f>
        <v>REMERA MC SIN CIERRE NEGRO 3XS/2XL RER</v>
      </c>
      <c r="F284" s="7">
        <v>2101555</v>
      </c>
      <c r="G284" t="s">
        <v>14329</v>
      </c>
      <c r="H284">
        <v>8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4120495##</v>
      </c>
      <c r="D285" s="2"/>
      <c r="E285" s="2" t="str">
        <f>IFERROR(VLOOKUP(1*LEFT(C285,7),DF!$A$1:$F$9446,2,FALSE),"")</f>
        <v>CAMISA ML RIP AZUL 34/44 RER</v>
      </c>
      <c r="F285">
        <v>4120495</v>
      </c>
      <c r="G285" t="s">
        <v>14018</v>
      </c>
      <c r="H285">
        <v>3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5087</v>
      </c>
      <c r="D286" s="2"/>
      <c r="E286" s="2" t="str">
        <f>IFERROR(VLOOKUP(1*LEFT(C286,7),DF!$A$1:$F$9446,2,FALSE),"")</f>
        <v>CAMISA ML RIP AZUL 46/50 RER</v>
      </c>
      <c r="F286">
        <v>4120495</v>
      </c>
      <c r="G286" t="s">
        <v>14018</v>
      </c>
      <c r="H286">
        <v>3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10867</v>
      </c>
      <c r="D287" s="2"/>
      <c r="E287" s="2" t="str">
        <f>IFERROR(VLOOKUP(1*LEFT(C287,7),DF!$A$1:$F$9446,2,FALSE),"")</f>
        <v>CAMISA ML RIP AZUL 52/56 RER</v>
      </c>
      <c r="F287">
        <v>4120495</v>
      </c>
      <c r="G287" t="s">
        <v>14018</v>
      </c>
      <c r="H287">
        <v>3</v>
      </c>
      <c r="I287">
        <v>1</v>
      </c>
    </row>
    <row r="288" spans="1:9" x14ac:dyDescent="0.25">
      <c r="A288" s="2">
        <v>16522</v>
      </c>
      <c r="B288" s="2" t="s">
        <v>4</v>
      </c>
      <c r="C288" s="2" t="str">
        <f>CONCATENATE(F288,"##")</f>
        <v>4120913##</v>
      </c>
      <c r="D288" s="2"/>
      <c r="E288" s="2" t="str">
        <f>IFERROR(VLOOKUP(1*LEFT(C288,7),DF!$A$1:$F$9446,2,FALSE),"")</f>
        <v>CAMISA ML RIP GRIS 34/44 RER</v>
      </c>
      <c r="F288">
        <v>4120913</v>
      </c>
      <c r="G288" t="s">
        <v>14019</v>
      </c>
      <c r="H288">
        <v>4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6413</v>
      </c>
      <c r="D289" s="2"/>
      <c r="E289" s="2" t="str">
        <f>IFERROR(VLOOKUP(1*LEFT(C289,7),DF!$A$1:$F$9446,2,FALSE),"")</f>
        <v>CAMISA ML RIP GRIS 46/50 RER</v>
      </c>
      <c r="F289">
        <v>4120913</v>
      </c>
      <c r="G289" t="s">
        <v>14019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6421</v>
      </c>
      <c r="D290" s="2"/>
      <c r="E290" s="2" t="str">
        <f>IFERROR(VLOOKUP(1*LEFT(C290,7),DF!$A$1:$F$9446,2,FALSE),"")</f>
        <v>CAMISA ML RIP GRIS 52/56 RER</v>
      </c>
      <c r="F290">
        <v>4120913</v>
      </c>
      <c r="G290" t="s">
        <v>14019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12448</v>
      </c>
      <c r="D291" s="2"/>
      <c r="E291" s="2" t="str">
        <f>IFERROR(VLOOKUP(1*LEFT(C291,7),DF!$A$1:$F$9446,2,FALSE),"")</f>
        <v>CAMISA ML RIP GRIS 58/62 RER</v>
      </c>
      <c r="F291">
        <v>4120913</v>
      </c>
      <c r="G291" t="s">
        <v>14019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1120499##</v>
      </c>
      <c r="D292" s="2"/>
      <c r="E292" s="2" t="str">
        <f>IFERROR(VLOOKUP(1*LEFT(C292,7),DF!$A$1:$F$9446,2,FALSE),"")</f>
        <v>BOMB CLAS RIP AZUL 36/48 RER</v>
      </c>
      <c r="F292">
        <v>1120499</v>
      </c>
      <c r="G292" t="s">
        <v>14020</v>
      </c>
      <c r="H292">
        <v>5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3567</v>
      </c>
      <c r="D293" s="2"/>
      <c r="E293" s="2" t="str">
        <f>IFERROR(VLOOKUP(1*LEFT(C293,7),DF!$A$1:$F$9446,2,FALSE),"")</f>
        <v>BOMB CLAS RIP AZUL 50/54 RER</v>
      </c>
      <c r="F293">
        <v>1120499</v>
      </c>
      <c r="G293" t="s">
        <v>14020</v>
      </c>
      <c r="H293">
        <v>5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3575</v>
      </c>
      <c r="D294" s="2"/>
      <c r="E294" s="2" t="str">
        <f>IFERROR(VLOOKUP(1*LEFT(C294,7),DF!$A$1:$F$9446,2,FALSE),"")</f>
        <v>BOMB CLAS RIP AZUL 56/60 RER</v>
      </c>
      <c r="F294">
        <v>1120499</v>
      </c>
      <c r="G294" t="s">
        <v>14020</v>
      </c>
      <c r="H294">
        <v>5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3583</v>
      </c>
      <c r="D295" s="2"/>
      <c r="E295" s="2" t="str">
        <f>IFERROR(VLOOKUP(1*LEFT(C295,7),DF!$A$1:$F$9446,2,FALSE),"")</f>
        <v>BOMB CLAS RIP AZUL 62/66 RER</v>
      </c>
      <c r="F295">
        <v>1120499</v>
      </c>
      <c r="G295" t="s">
        <v>14020</v>
      </c>
      <c r="H295">
        <v>5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13178</v>
      </c>
      <c r="D296" s="2"/>
      <c r="E296" s="2" t="str">
        <f>IFERROR(VLOOKUP(1*LEFT(C296,7),DF!$A$1:$F$9446,2,FALSE),"")</f>
        <v>BOMB CLAS RIP AZUL 68/72</v>
      </c>
      <c r="F296">
        <v>1120499</v>
      </c>
      <c r="G296" t="s">
        <v>14020</v>
      </c>
      <c r="H296">
        <v>5</v>
      </c>
      <c r="I296">
        <v>1</v>
      </c>
    </row>
    <row r="297" spans="1:9" x14ac:dyDescent="0.25">
      <c r="A297" s="2">
        <v>16522</v>
      </c>
      <c r="B297" s="2" t="s">
        <v>4</v>
      </c>
      <c r="C297" s="2" t="str">
        <f>CONCATENATE(F297,"##")</f>
        <v>1120442##</v>
      </c>
      <c r="D297" s="2"/>
      <c r="E297" s="2" t="str">
        <f>IFERROR(VLOOKUP(1*LEFT(C297,7),DF!$A$1:$F$9446,2,FALSE),"")</f>
        <v>BOMB CLAS RIP AZUL NOCHE 442 34/48</v>
      </c>
      <c r="F297">
        <v>1120442</v>
      </c>
      <c r="G297" t="s">
        <v>14021</v>
      </c>
      <c r="H297">
        <v>5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13175</v>
      </c>
      <c r="D298" s="2"/>
      <c r="E298" s="2" t="str">
        <f>IFERROR(VLOOKUP(1*LEFT(C298,7),DF!$A$1:$F$9446,2,FALSE),"")</f>
        <v>BOMB CLAS RIP AZUL NOCHE 442 50/54</v>
      </c>
      <c r="F298">
        <v>1120442</v>
      </c>
      <c r="G298" t="s">
        <v>14021</v>
      </c>
      <c r="H298">
        <v>5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13176</v>
      </c>
      <c r="D299" s="2"/>
      <c r="E299" s="2" t="str">
        <f>IFERROR(VLOOKUP(1*LEFT(C299,7),DF!$A$1:$F$9446,2,FALSE),"")</f>
        <v>BOMB CLAS RIP AZUL NOCHE 442 56/60</v>
      </c>
      <c r="F299">
        <v>1120442</v>
      </c>
      <c r="G299" t="s">
        <v>14021</v>
      </c>
      <c r="H299">
        <v>5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13177</v>
      </c>
      <c r="D300" s="2"/>
      <c r="E300" s="2" t="str">
        <f>IFERROR(VLOOKUP(1*LEFT(C300,7),DF!$A$1:$F$9446,2,FALSE),"")</f>
        <v>BOMB CLAS RIP AZUL NOCHE 442 62/66</v>
      </c>
      <c r="F300">
        <v>1120442</v>
      </c>
      <c r="G300" t="s">
        <v>14021</v>
      </c>
      <c r="H300">
        <v>5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1120875##</v>
      </c>
      <c r="D301" s="2"/>
      <c r="E301" s="2" t="str">
        <f>IFERROR(VLOOKUP(1*LEFT(C301,7),DF!$A$1:$F$9446,2,FALSE),"")</f>
        <v>BOMB CLAS RIP INFANTERIA 34/48 RER</v>
      </c>
      <c r="F301">
        <v>1120875</v>
      </c>
      <c r="G301" t="s">
        <v>14022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3687</v>
      </c>
      <c r="D302" s="2"/>
      <c r="E302" s="2" t="str">
        <f>IFERROR(VLOOKUP(1*LEFT(C302,7),DF!$A$1:$F$9446,2,FALSE),"")</f>
        <v>BOMB CLAS RIP INFANTERIA 50/54 RER</v>
      </c>
      <c r="F302">
        <v>1120875</v>
      </c>
      <c r="G302" t="s">
        <v>14022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3591</v>
      </c>
      <c r="D303" s="2"/>
      <c r="E303" s="2" t="str">
        <f>IFERROR(VLOOKUP(1*LEFT(C303,7),DF!$A$1:$F$9446,2,FALSE),"")</f>
        <v>BOMB CLAS RIP INFANTERIA 56/60 RER</v>
      </c>
      <c r="F303">
        <v>1120875</v>
      </c>
      <c r="G303" t="s">
        <v>14022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13179</v>
      </c>
      <c r="D304" s="2"/>
      <c r="E304" s="2" t="str">
        <f>IFERROR(VLOOKUP(1*LEFT(C304,7),DF!$A$1:$F$9446,2,FALSE),"")</f>
        <v>BOMB CLAS RIP INFANTERIA 62/66 RER</v>
      </c>
      <c r="F304">
        <v>1120875</v>
      </c>
      <c r="G304" t="s">
        <v>14022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1120800##</v>
      </c>
      <c r="D305" s="2"/>
      <c r="E305" s="2" t="str">
        <f>IFERROR(VLOOKUP(1*LEFT(C305,7),DF!$A$1:$F$9446,2,FALSE),"")</f>
        <v>BOMB CLAS RIP BEIGE 34/48 RER</v>
      </c>
      <c r="F305">
        <v>1120800</v>
      </c>
      <c r="G305" t="s">
        <v>14023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5399</v>
      </c>
      <c r="D306" s="2"/>
      <c r="E306" s="2" t="str">
        <f>IFERROR(VLOOKUP(1*LEFT(C306,7),DF!$A$1:$F$9446,2,FALSE),"")</f>
        <v>BOMB CLAS RIP BEIGE 50/54 RER</v>
      </c>
      <c r="F306">
        <v>1120800</v>
      </c>
      <c r="G306" t="s">
        <v>14023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13180</v>
      </c>
      <c r="D307" s="2"/>
      <c r="E307" s="2" t="str">
        <f>IFERROR(VLOOKUP(1*LEFT(C307,7),DF!$A$1:$F$9446,2,FALSE),"")</f>
        <v>BOMB CLAS RIP BEIGE 56/60 RER</v>
      </c>
      <c r="F307">
        <v>1120800</v>
      </c>
      <c r="G307" t="s">
        <v>14023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13181</v>
      </c>
      <c r="D308" s="2"/>
      <c r="E308" s="2" t="str">
        <f>IFERROR(VLOOKUP(1*LEFT(C308,7),DF!$A$1:$F$9446,2,FALSE),"")</f>
        <v>BOMB CLAS RIP BEIGE 62/66 RER</v>
      </c>
      <c r="F308">
        <v>1120800</v>
      </c>
      <c r="G308" t="s">
        <v>14023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1120182##</v>
      </c>
      <c r="D309" s="2"/>
      <c r="E309" s="2" t="str">
        <f>IFERROR(VLOOKUP(1*LEFT(C309,7),DF!$A$1:$F$9446,2,FALSE),"")</f>
        <v>BOMB CLAS RIP AZUL NEUQUEN 34/48 RER</v>
      </c>
      <c r="F309">
        <v>1120182</v>
      </c>
      <c r="G309" t="s">
        <v>14024</v>
      </c>
      <c r="H309">
        <v>5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4443</v>
      </c>
      <c r="D310" s="2"/>
      <c r="E310" s="2" t="str">
        <f>IFERROR(VLOOKUP(1*LEFT(C310,7),DF!$A$1:$F$9446,2,FALSE),"")</f>
        <v>BOMB CLAS RIP AZUL NEUQUEN 50/54 RER</v>
      </c>
      <c r="F310">
        <v>1120182</v>
      </c>
      <c r="G310" t="s">
        <v>14024</v>
      </c>
      <c r="H310">
        <v>5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4989</v>
      </c>
      <c r="D311" s="2"/>
      <c r="E311" s="2" t="str">
        <f>IFERROR(VLOOKUP(1*LEFT(C311,7),DF!$A$1:$F$9446,2,FALSE),"")</f>
        <v>BOMB CLAS RIP AZUL NEUQUEN 56/60 RER</v>
      </c>
      <c r="F311">
        <v>1120182</v>
      </c>
      <c r="G311" t="s">
        <v>14024</v>
      </c>
      <c r="H311">
        <v>5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5897</v>
      </c>
      <c r="D312" s="2"/>
      <c r="E312" s="2" t="str">
        <f>IFERROR(VLOOKUP(1*LEFT(C312,7),DF!$A$1:$F$9446,2,FALSE),"")</f>
        <v>BOMB CLAS RIP AZUL NEUQUEN 62/66 RER</v>
      </c>
      <c r="F312">
        <v>1120182</v>
      </c>
      <c r="G312" t="s">
        <v>14024</v>
      </c>
      <c r="H312">
        <v>5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1120750##</v>
      </c>
      <c r="D313" s="2"/>
      <c r="E313" s="2" t="str">
        <f>IFERROR(VLOOKUP(1*LEFT(C313,7),DF!$A$1:$F$9446,2,FALSE),"")</f>
        <v>BOMB CLAS RIP GRIS 34/48 RER</v>
      </c>
      <c r="F313">
        <v>1120750</v>
      </c>
      <c r="G313" t="s">
        <v>14025</v>
      </c>
      <c r="H313">
        <v>5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3599</v>
      </c>
      <c r="D314" s="2"/>
      <c r="E314" s="2" t="str">
        <f>IFERROR(VLOOKUP(1*LEFT(C314,7),DF!$A$1:$F$9446,2,FALSE),"")</f>
        <v>BOMB CLAS RIP GRIS 50/54 RER</v>
      </c>
      <c r="F314">
        <v>1120750</v>
      </c>
      <c r="G314" t="s">
        <v>14025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3607</v>
      </c>
      <c r="D315" s="2"/>
      <c r="E315" s="2" t="str">
        <f>IFERROR(VLOOKUP(1*LEFT(C315,7),DF!$A$1:$F$9446,2,FALSE),"")</f>
        <v>BOMB CLAS RIP GRIS 56/60 RER</v>
      </c>
      <c r="F315">
        <v>1120750</v>
      </c>
      <c r="G315" t="s">
        <v>14025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3615</v>
      </c>
      <c r="D316" s="2"/>
      <c r="E316" s="2" t="str">
        <f>IFERROR(VLOOKUP(1*LEFT(C316,7),DF!$A$1:$F$9446,2,FALSE),"")</f>
        <v>BOMB CLAS RIP GRIS 62/68 RER</v>
      </c>
      <c r="F316">
        <v>1120750</v>
      </c>
      <c r="G316" t="s">
        <v>14025</v>
      </c>
      <c r="H316">
        <v>5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1120900##</v>
      </c>
      <c r="D317" s="2"/>
      <c r="E317" s="2" t="str">
        <f>IFERROR(VLOOKUP(1*LEFT(C317,7),DF!$A$1:$F$9446,2,FALSE),"")</f>
        <v>BOMB CLAS RIP NEGRA 34/48 RER</v>
      </c>
      <c r="F317">
        <v>1120900</v>
      </c>
      <c r="G317" t="s">
        <v>14026</v>
      </c>
      <c r="H317">
        <v>5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3525</v>
      </c>
      <c r="D318" s="2"/>
      <c r="E318" s="2" t="str">
        <f>IFERROR(VLOOKUP(1*LEFT(C318,7),DF!$A$1:$F$9446,2,FALSE),"")</f>
        <v>BOMB CLAS RIP NEGRA 50/54 RER</v>
      </c>
      <c r="F318">
        <v>1120900</v>
      </c>
      <c r="G318" t="s">
        <v>14026</v>
      </c>
      <c r="H318">
        <v>5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3533</v>
      </c>
      <c r="D319" s="2"/>
      <c r="E319" s="2" t="str">
        <f>IFERROR(VLOOKUP(1*LEFT(C319,7),DF!$A$1:$F$9446,2,FALSE),"")</f>
        <v>BOMB CLAS RIP NEGRA 56/60 RER</v>
      </c>
      <c r="F319">
        <v>1120900</v>
      </c>
      <c r="G319" t="s">
        <v>14026</v>
      </c>
      <c r="H319">
        <v>5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3541</v>
      </c>
      <c r="D320" s="2"/>
      <c r="E320" s="2" t="str">
        <f>IFERROR(VLOOKUP(1*LEFT(C320,7),DF!$A$1:$F$9446,2,FALSE),"")</f>
        <v>BOMB CLAS RIP NEGRA 62/66 RER</v>
      </c>
      <c r="F320">
        <v>1120900</v>
      </c>
      <c r="G320" t="s">
        <v>14026</v>
      </c>
      <c r="H320">
        <v>5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1120333##</v>
      </c>
      <c r="D321" s="2"/>
      <c r="E321" s="2" t="str">
        <f>IFERROR(VLOOKUP(1*LEFT(C321,7),DF!$A$1:$F$9446,2,FALSE),"")</f>
        <v>BOMB CLAS RIP EJERCITO 34/48 RER</v>
      </c>
      <c r="F321">
        <v>1120333</v>
      </c>
      <c r="G321" t="s">
        <v>14027</v>
      </c>
      <c r="H321">
        <v>4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13183</v>
      </c>
      <c r="D322" s="2"/>
      <c r="E322" s="2" t="str">
        <f>IFERROR(VLOOKUP(1*LEFT(C322,7),DF!$A$1:$F$9446,2,FALSE),"")</f>
        <v>BOMB CLAS RIP EJERCITO 50/54 RER</v>
      </c>
      <c r="F322">
        <v>1120333</v>
      </c>
      <c r="G322" t="s">
        <v>14027</v>
      </c>
      <c r="H322">
        <v>4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13184</v>
      </c>
      <c r="D323" s="2"/>
      <c r="E323" s="2" t="str">
        <f>IFERROR(VLOOKUP(1*LEFT(C323,7),DF!$A$1:$F$9446,2,FALSE),"")</f>
        <v>BOMB CLAS RIP EJERCITO 56/60 RER</v>
      </c>
      <c r="F323">
        <v>1120333</v>
      </c>
      <c r="G323" t="s">
        <v>14027</v>
      </c>
      <c r="H323">
        <v>4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13185</v>
      </c>
      <c r="D324" s="2"/>
      <c r="E324" s="2" t="str">
        <f>IFERROR(VLOOKUP(1*LEFT(C324,7),DF!$A$1:$F$9446,2,FALSE),"")</f>
        <v>BOMB CLAS RIP EJERCITO 62/66 RER</v>
      </c>
      <c r="F324">
        <v>1120333</v>
      </c>
      <c r="G324" t="s">
        <v>14027</v>
      </c>
      <c r="H324">
        <v>4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2101500##</v>
      </c>
      <c r="D325" s="2"/>
      <c r="E325" s="2" t="str">
        <f>IFERROR(VLOOKUP(1*LEFT(C325,7),DF!$A$1:$F$9446,2,FALSE),"")</f>
        <v>CHOMBA MC POLO GRIS MELA SPF 3XS/2XL RER</v>
      </c>
      <c r="F325">
        <v>2101500</v>
      </c>
      <c r="G325" t="s">
        <v>14014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13173</v>
      </c>
      <c r="D326" s="2"/>
      <c r="E326" s="2" t="str">
        <f>IFERROR(VLOOKUP(1*LEFT(C326,7),DF!$A$1:$F$9446,2,FALSE),"")</f>
        <v>CHOMBA MC POLO GRIS MELA SPF 3XL/5XL RER</v>
      </c>
      <c r="F326">
        <v>2101500</v>
      </c>
      <c r="G326" t="s">
        <v>14014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2101100##</v>
      </c>
      <c r="D327" s="2"/>
      <c r="E327" s="2" t="str">
        <f>IFERROR(VLOOKUP(1*LEFT(C327,7),DF!$A$1:$F$9446,2,FALSE),"")</f>
        <v>CHOMBA MC CIERRE BLANCA 3XS/2XL RER</v>
      </c>
      <c r="F327">
        <v>2101100</v>
      </c>
      <c r="G327" t="s">
        <v>14028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4947</v>
      </c>
      <c r="D328" s="2"/>
      <c r="E328" s="2" t="str">
        <f>IFERROR(VLOOKUP(1*LEFT(C328,7),DF!$A$1:$F$9446,2,FALSE),"")</f>
        <v>CHOMBA MC CIERRE BLANCA 3XL/5XL RER</v>
      </c>
      <c r="F328">
        <v>2101100</v>
      </c>
      <c r="G328" t="s">
        <v>14028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2101495##</v>
      </c>
      <c r="D329" s="2"/>
      <c r="E329" s="2" t="str">
        <f>IFERROR(VLOOKUP(1*LEFT(C329,7),DF!$A$1:$F$9446,2,FALSE),"")</f>
        <v>CHOMBA MC CIERRE AZ 3XS/2XL RER</v>
      </c>
      <c r="F329">
        <v>2101495</v>
      </c>
      <c r="G329" t="s">
        <v>14312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2915</v>
      </c>
      <c r="D330" s="2"/>
      <c r="E330" s="2" t="str">
        <f>IFERROR(VLOOKUP(1*LEFT(C330,7),DF!$A$1:$F$9446,2,FALSE),"")</f>
        <v>CHOMBA MC CIERRE AZ 3XL/5XL RER</v>
      </c>
      <c r="F330">
        <v>2101495</v>
      </c>
      <c r="G330" t="s">
        <v>14312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>CONCATENATE(F331,"##")</f>
        <v>2101750##</v>
      </c>
      <c r="D331" s="2"/>
      <c r="E331" s="2" t="str">
        <f>IFERROR(VLOOKUP(1*LEFT(C331,7),DF!$A$1:$F$9446,2,FALSE),"")</f>
        <v>CHOMBA MC CIERRE GR 3XS/2XL RER</v>
      </c>
      <c r="F331">
        <v>2101750</v>
      </c>
      <c r="G331" t="s">
        <v>14330</v>
      </c>
      <c r="H331">
        <v>5</v>
      </c>
      <c r="I331">
        <v>1</v>
      </c>
    </row>
    <row r="332" spans="1:9" x14ac:dyDescent="0.25">
      <c r="A332" s="2">
        <v>16522</v>
      </c>
      <c r="B332" s="2" t="s">
        <v>4</v>
      </c>
      <c r="C332" s="2" t="s">
        <v>2927</v>
      </c>
      <c r="D332" s="2"/>
      <c r="E332" s="2" t="str">
        <f>IFERROR(VLOOKUP(1*LEFT(C332,7),DF!$A$1:$F$9446,2,FALSE),"")</f>
        <v>CHOMBA MC CIERRE GR 3XL/5XL RER</v>
      </c>
      <c r="F332">
        <v>2101750</v>
      </c>
      <c r="G332" t="s">
        <v>14330</v>
      </c>
      <c r="H332">
        <v>5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2101877##</v>
      </c>
      <c r="D333" s="2"/>
      <c r="E333" s="2" t="str">
        <f>IFERROR(VLOOKUP(1*LEFT(C333,7),DF!$A$1:$F$9446,2,FALSE),"")</f>
        <v>CHOMBA MC CIERRE BEIGE 3XS/2XL RER</v>
      </c>
      <c r="F333">
        <v>2101877</v>
      </c>
      <c r="G333" t="s">
        <v>14331</v>
      </c>
      <c r="H333">
        <v>4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5067</v>
      </c>
      <c r="D334" s="2"/>
      <c r="E334" s="2" t="str">
        <f>IFERROR(VLOOKUP(1*LEFT(C334,7),DF!$A$1:$F$9446,2,FALSE),"")</f>
        <v>CHOMBA MC CIERRE BEIGE 3XL/5XL RER</v>
      </c>
      <c r="F334">
        <v>2101877</v>
      </c>
      <c r="G334" t="s">
        <v>14331</v>
      </c>
      <c r="H334">
        <v>4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>CONCATENATE(F335,"##")</f>
        <v>2101900##</v>
      </c>
      <c r="D335" s="2"/>
      <c r="E335" s="2" t="str">
        <f>IFERROR(VLOOKUP(1*LEFT(C335,7),DF!$A$1:$F$9446,2,FALSE),"")</f>
        <v>CHOMBA MC CIERRE NE 3XS/2XL RER</v>
      </c>
      <c r="F335">
        <v>2101900</v>
      </c>
      <c r="G335" t="s">
        <v>14332</v>
      </c>
      <c r="H335">
        <v>5</v>
      </c>
      <c r="I335">
        <v>1</v>
      </c>
    </row>
    <row r="336" spans="1:9" x14ac:dyDescent="0.25">
      <c r="A336" s="2">
        <v>16522</v>
      </c>
      <c r="B336" s="2" t="s">
        <v>4</v>
      </c>
      <c r="C336" s="2" t="s">
        <v>2921</v>
      </c>
      <c r="D336" s="2"/>
      <c r="E336" s="2" t="str">
        <f>IFERROR(VLOOKUP(1*LEFT(C336,7),DF!$A$1:$F$9446,2,FALSE),"")</f>
        <v>CHOMBA MC CIERRE NE 3XL/5XL RER</v>
      </c>
      <c r="F336">
        <v>2101900</v>
      </c>
      <c r="G336" t="s">
        <v>14332</v>
      </c>
      <c r="H336">
        <v>5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2220750##</v>
      </c>
      <c r="D337" s="2"/>
      <c r="E337" s="2" t="str">
        <f>IFERROR(VLOOKUP(1*LEFT(C337,7),DF!$A$1:$F$9446,2,FALSE),"")</f>
        <v>REMERA MC GRIS TOPO LISA 2XS/2XL GEI</v>
      </c>
      <c r="F337">
        <v>2220750</v>
      </c>
      <c r="G337" t="s">
        <v>14029</v>
      </c>
      <c r="H337">
        <v>1</v>
      </c>
      <c r="I337">
        <v>1</v>
      </c>
    </row>
    <row r="338" spans="1:9" x14ac:dyDescent="0.25">
      <c r="A338" s="2">
        <v>16522</v>
      </c>
      <c r="B338" s="2" t="s">
        <v>4</v>
      </c>
      <c r="C338" s="2" t="s">
        <v>13186</v>
      </c>
      <c r="D338" s="2"/>
      <c r="E338" s="2" t="str">
        <f>IFERROR(VLOOKUP(1*LEFT(C338,7),DF!$A$1:$F$9446,2,FALSE),"")</f>
        <v>REMERA MC GRIS TOPO LISA 3XL/6XL GEI</v>
      </c>
      <c r="F338">
        <v>2220750</v>
      </c>
      <c r="G338" t="s">
        <v>14029</v>
      </c>
      <c r="H338">
        <v>1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>CONCATENATE(F339,"##")</f>
        <v>2101400##</v>
      </c>
      <c r="D339" s="2"/>
      <c r="E339" s="2" t="str">
        <f>IFERROR(VLOOKUP(1*LEFT(C339,7),DF!$A$1:$F$9446,2,FALSE),"")</f>
        <v>REMERA MC SIN CIERRE AZUL BOMBEROS 3XS/2XL</v>
      </c>
      <c r="F339">
        <v>2101400</v>
      </c>
      <c r="G339" t="s">
        <v>14030</v>
      </c>
      <c r="H339">
        <v>2</v>
      </c>
      <c r="I339">
        <v>1</v>
      </c>
    </row>
    <row r="340" spans="1:9" x14ac:dyDescent="0.25">
      <c r="A340" s="2">
        <v>16522</v>
      </c>
      <c r="B340" s="2" t="s">
        <v>4</v>
      </c>
      <c r="C340" s="2" t="s">
        <v>13187</v>
      </c>
      <c r="D340" s="2"/>
      <c r="E340" s="2" t="str">
        <f>IFERROR(VLOOKUP(1*LEFT(C340,7),DF!$A$1:$F$9446,2,FALSE),"")</f>
        <v>REMERA MC SIN CIERRE AZUL BOMBEROS 3XL/6XL</v>
      </c>
      <c r="F340">
        <v>2101400</v>
      </c>
      <c r="G340" t="s">
        <v>14030</v>
      </c>
      <c r="H340">
        <v>2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2103050##</v>
      </c>
      <c r="D341" s="2"/>
      <c r="E341" s="2" t="str">
        <f>IFERROR(VLOOKUP(1*LEFT(C341,7),DF!$A$1:$F$9446,2,FALSE),"")</f>
        <v>REMERA MC COMBAT AZUL 3XS/2XL</v>
      </c>
      <c r="F341" s="7">
        <v>2103050</v>
      </c>
      <c r="G341" t="s">
        <v>14333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13190</v>
      </c>
      <c r="D342" s="2"/>
      <c r="E342" s="2" t="str">
        <f>IFERROR(VLOOKUP(1*LEFT(C342,7),DF!$A$1:$F$9446,2,FALSE),"")</f>
        <v>REMERA MC COMBAT AZUL 3XL/6XL</v>
      </c>
      <c r="F342" s="7">
        <v>2103050</v>
      </c>
      <c r="G342" t="s">
        <v>14333</v>
      </c>
      <c r="H342">
        <v>8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>CONCATENATE(F343,"##")</f>
        <v>2103090##</v>
      </c>
      <c r="D343" s="2"/>
      <c r="E343" s="2" t="str">
        <f>IFERROR(VLOOKUP(1*LEFT(C343,7),DF!$A$1:$F$9446,2,FALSE),"")</f>
        <v>REMERA MC COMBAT NEGRA 3XS/2XL</v>
      </c>
      <c r="F343" s="7">
        <v>2103090</v>
      </c>
      <c r="G343" t="s">
        <v>14334</v>
      </c>
      <c r="H343">
        <v>7</v>
      </c>
      <c r="I343">
        <v>1</v>
      </c>
    </row>
    <row r="344" spans="1:9" x14ac:dyDescent="0.25">
      <c r="A344" s="2">
        <v>16522</v>
      </c>
      <c r="B344" s="2" t="s">
        <v>4</v>
      </c>
      <c r="C344" s="2" t="s">
        <v>13189</v>
      </c>
      <c r="D344" s="2"/>
      <c r="E344" s="2" t="str">
        <f>IFERROR(VLOOKUP(1*LEFT(C344,7),DF!$A$1:$F$9446,2,FALSE),"")</f>
        <v>REMERA MC COMBAT NEGRA 3XL/6XL</v>
      </c>
      <c r="F344" s="7">
        <v>2103090</v>
      </c>
      <c r="G344" t="s">
        <v>14334</v>
      </c>
      <c r="H344">
        <v>7</v>
      </c>
      <c r="I344">
        <v>1</v>
      </c>
    </row>
    <row r="345" spans="1:9" x14ac:dyDescent="0.25">
      <c r="A345" s="2">
        <v>16522</v>
      </c>
      <c r="B345" s="2" t="s">
        <v>4</v>
      </c>
      <c r="C345" s="2" t="str">
        <f>CONCATENATE(F345,"##")</f>
        <v>5101857##</v>
      </c>
      <c r="D345" s="2"/>
      <c r="E345" s="2" t="str">
        <f>IFERROR(VLOOKUP(1*LEFT(C345,7),DF!$A$1:$F$9446,2,FALSE),"")</f>
        <v>GARIBALDINA MAO RIP AZUL NOCHE (442) 2XS/2XL</v>
      </c>
      <c r="F345">
        <v>5101857</v>
      </c>
      <c r="G345" t="s">
        <v>14031</v>
      </c>
      <c r="H345">
        <v>5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13191</v>
      </c>
      <c r="D346" s="2"/>
      <c r="E346" s="2" t="str">
        <f>IFERROR(VLOOKUP(1*LEFT(C346,7),DF!$A$1:$F$9446,2,FALSE),"")</f>
        <v>GARIBALDINA MAO RIP AZUL NOCHE (442) 3XL/6XL</v>
      </c>
      <c r="F346">
        <v>5101857</v>
      </c>
      <c r="G346" t="s">
        <v>14031</v>
      </c>
      <c r="H346">
        <v>5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12450</v>
      </c>
      <c r="D347" s="2"/>
      <c r="E347" s="2" t="str">
        <f>IFERROR(VLOOKUP(1*LEFT(C347,7),DF!$A$1:$F$9446,2,FALSE),"")</f>
        <v>MAMELUCO TERMICO AZUL 2XL/6XL RER</v>
      </c>
      <c r="F347">
        <v>1130284</v>
      </c>
      <c r="G347" t="s">
        <v>14032</v>
      </c>
      <c r="H347">
        <v>1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1130284##</v>
      </c>
      <c r="D348" s="2"/>
      <c r="E348" s="2" t="str">
        <f>IFERROR(VLOOKUP(1*LEFT(C348,7),DF!$A$1:$F$9446,2,FALSE),"")</f>
        <v>MAMELUCO TERMICO AZUL S/XL RER</v>
      </c>
      <c r="F348">
        <v>1130284</v>
      </c>
      <c r="G348" t="s">
        <v>14032</v>
      </c>
      <c r="H348">
        <v>1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>CONCATENATE(F349,"##")</f>
        <v>1130750##</v>
      </c>
      <c r="D349" s="2"/>
      <c r="E349" s="2" t="str">
        <f>IFERROR(VLOOKUP(1*LEFT(C349,7),DF!$A$1:$F$9446,2,FALSE),"")</f>
        <v>MAMELUCO TERMICO GRIS S/XL RER</v>
      </c>
      <c r="F349">
        <v>1130750</v>
      </c>
      <c r="G349" t="s">
        <v>14033</v>
      </c>
      <c r="H349">
        <v>3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4476</v>
      </c>
      <c r="D350" s="2"/>
      <c r="E350" s="2" t="str">
        <f>IFERROR(VLOOKUP(1*LEFT(C350,7),DF!$A$1:$F$9446,2,FALSE),"")</f>
        <v>MAMELUCO TERMICO NEGRO 2XL/6XL RER</v>
      </c>
      <c r="F350">
        <v>1130254</v>
      </c>
      <c r="G350" t="s">
        <v>14034</v>
      </c>
      <c r="H350">
        <v>7</v>
      </c>
      <c r="I350">
        <v>1</v>
      </c>
    </row>
    <row r="351" spans="1:9" x14ac:dyDescent="0.25">
      <c r="A351" s="2">
        <v>16522</v>
      </c>
      <c r="B351" s="2" t="s">
        <v>4</v>
      </c>
      <c r="C351" s="2" t="str">
        <f>CONCATENATE(F351,"##")</f>
        <v>1130254##</v>
      </c>
      <c r="D351" s="2"/>
      <c r="E351" s="2" t="str">
        <f>IFERROR(VLOOKUP(1*LEFT(C351,7),DF!$A$1:$F$9446,2,FALSE),"")</f>
        <v>MAMELUCO TERMICO NEGRO XS/XL RER</v>
      </c>
      <c r="F351">
        <v>1130254</v>
      </c>
      <c r="G351" t="s">
        <v>14034</v>
      </c>
      <c r="H351">
        <v>7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>CONCATENATE(F352,"##")</f>
        <v>5101855##</v>
      </c>
      <c r="D352" s="2"/>
      <c r="E352" s="2" t="str">
        <f>IFERROR(VLOOKUP(1*LEFT(C352,7),DF!$A$1:$F$9446,2,FALSE),"")</f>
        <v>GARIBALDINA MAO RIP GRIS 2XS/2XL RER</v>
      </c>
      <c r="F352">
        <v>5101855</v>
      </c>
      <c r="G352" t="s">
        <v>14035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">
        <v>4745</v>
      </c>
      <c r="D353" s="2"/>
      <c r="E353" s="2" t="str">
        <f>IFERROR(VLOOKUP(1*LEFT(C353,7),DF!$A$1:$F$9446,2,FALSE),"")</f>
        <v>GARIBALDINA MAO RIP GRIS 3XL/5XL RER</v>
      </c>
      <c r="F353">
        <v>5101855</v>
      </c>
      <c r="G353" t="s">
        <v>14035</v>
      </c>
      <c r="H353">
        <v>3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>CONCATENATE(F354,"##")</f>
        <v>5101863##</v>
      </c>
      <c r="D354" s="2"/>
      <c r="E354" s="2" t="str">
        <f>IFERROR(VLOOKUP(1*LEFT(C354,7),DF!$A$1:$F$9446,2,FALSE),"")</f>
        <v>GARIBALDINA MAO RIP NEGRA 2XS/2XL RER</v>
      </c>
      <c r="F354">
        <v>5101863</v>
      </c>
      <c r="G354" t="s">
        <v>14036</v>
      </c>
      <c r="H354">
        <v>4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3148</v>
      </c>
      <c r="D355" s="2"/>
      <c r="E355" s="2" t="str">
        <f>IFERROR(VLOOKUP(1*LEFT(C355,7),DF!$A$1:$F$9446,2,FALSE),"")</f>
        <v>GARIBALDINA MAO RIP NEGRA 3XL/5XL RER</v>
      </c>
      <c r="F355">
        <v>5101863</v>
      </c>
      <c r="G355" t="s">
        <v>14036</v>
      </c>
      <c r="H355">
        <v>4</v>
      </c>
      <c r="I355">
        <v>1</v>
      </c>
    </row>
    <row r="356" spans="1:9" x14ac:dyDescent="0.25">
      <c r="A356" s="2">
        <v>16522</v>
      </c>
      <c r="B356" s="2" t="s">
        <v>4</v>
      </c>
      <c r="C356" s="2" t="str">
        <f>CONCATENATE(F356,"##")</f>
        <v>1120330##</v>
      </c>
      <c r="D356" s="2"/>
      <c r="E356" s="2" t="str">
        <f>IFERROR(VLOOKUP(1*LEFT(C356,7),DF!$A$1:$F$9446,2,FALSE),"")</f>
        <v>BOMB CLAS RIP GN VERDE 34/48 EM</v>
      </c>
      <c r="F356" s="29">
        <v>1120330</v>
      </c>
      <c r="G356" t="s">
        <v>14057</v>
      </c>
      <c r="H356">
        <v>4</v>
      </c>
      <c r="I356">
        <v>1</v>
      </c>
    </row>
    <row r="357" spans="1:9" x14ac:dyDescent="0.25">
      <c r="A357" s="2">
        <v>16522</v>
      </c>
      <c r="B357" s="2" t="s">
        <v>4</v>
      </c>
      <c r="C357" s="2" t="s">
        <v>13228</v>
      </c>
      <c r="D357" s="2"/>
      <c r="E357" s="2" t="str">
        <f>IFERROR(VLOOKUP(1*LEFT(C357,7),DF!$A$1:$F$9446,2,FALSE),"")</f>
        <v>BOMB CLAS RIP GN VERDE 50/54 EM</v>
      </c>
      <c r="F357" s="29">
        <v>1120330</v>
      </c>
      <c r="G357" t="s">
        <v>14057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13229</v>
      </c>
      <c r="D358" s="2"/>
      <c r="E358" s="2" t="str">
        <f>IFERROR(VLOOKUP(1*LEFT(C358,7),DF!$A$1:$F$9446,2,FALSE),"")</f>
        <v>BOMB CLAS RIP GN VERDE 56/60</v>
      </c>
      <c r="F358" s="29">
        <v>1120330</v>
      </c>
      <c r="G358" t="s">
        <v>14057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tr">
        <f>CONCATENATE(F359,"##")</f>
        <v>1120720##</v>
      </c>
      <c r="D359" s="2"/>
      <c r="E359" s="2" t="str">
        <f>IFERROR(VLOOKUP(1*LEFT(C359,7),DF!$A$1:$F$9446,2,FALSE),"")</f>
        <v>BOMB KADIMA GAB AZUL 34/48 RER</v>
      </c>
      <c r="F359" s="29">
        <v>1120720</v>
      </c>
      <c r="G359" t="s">
        <v>14058</v>
      </c>
      <c r="H359">
        <v>6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4344</v>
      </c>
      <c r="D360" s="2"/>
      <c r="E360" s="2" t="str">
        <f>IFERROR(VLOOKUP(1*LEFT(C360,7),DF!$A$1:$F$9446,2,FALSE),"")</f>
        <v>BOMB KADIMA GAB AZUL 50/54 RER</v>
      </c>
      <c r="F360" s="29">
        <v>1120720</v>
      </c>
      <c r="G360" t="s">
        <v>14058</v>
      </c>
      <c r="H360">
        <v>6</v>
      </c>
      <c r="I360">
        <v>1</v>
      </c>
    </row>
    <row r="361" spans="1:9" x14ac:dyDescent="0.25">
      <c r="A361" s="2">
        <v>16522</v>
      </c>
      <c r="B361" s="2" t="s">
        <v>4</v>
      </c>
      <c r="C361" s="2" t="s">
        <v>13231</v>
      </c>
      <c r="D361" s="2"/>
      <c r="E361" s="2" t="str">
        <f>IFERROR(VLOOKUP(1*LEFT(C361,7),DF!$A$1:$F$9446,2,FALSE),"")</f>
        <v>BOMB KADIMA GAB AZUL 56/60 RER</v>
      </c>
      <c r="F361" s="29">
        <v>1120720</v>
      </c>
      <c r="G361" t="s">
        <v>14058</v>
      </c>
      <c r="H361">
        <v>6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13230</v>
      </c>
      <c r="D362" s="2"/>
      <c r="E362" s="2" t="str">
        <f>IFERROR(VLOOKUP(1*LEFT(C362,7),DF!$A$1:$F$9446,2,FALSE),"")</f>
        <v>BOMB KADIMA GAB AZUL 62/66 RER</v>
      </c>
      <c r="F362" s="29">
        <v>1120720</v>
      </c>
      <c r="G362" t="s">
        <v>14058</v>
      </c>
      <c r="H362">
        <v>6</v>
      </c>
      <c r="I362">
        <v>1</v>
      </c>
    </row>
    <row r="363" spans="1:9" x14ac:dyDescent="0.25">
      <c r="A363" s="2">
        <v>16522</v>
      </c>
      <c r="B363" s="2" t="s">
        <v>4</v>
      </c>
      <c r="C363" s="2" t="str">
        <f>CONCATENATE(F363,"##")</f>
        <v>1120724##</v>
      </c>
      <c r="D363" s="2"/>
      <c r="E363" s="2" t="str">
        <f>IFERROR(VLOOKUP(1*LEFT(C363,7),DF!$A$1:$F$9446,2,FALSE),"")</f>
        <v>BOMB KADIMA GAB NEGRA 34/48 RER</v>
      </c>
      <c r="F363" s="29">
        <v>1120724</v>
      </c>
      <c r="G363" t="s">
        <v>14059</v>
      </c>
      <c r="H363">
        <v>6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5361</v>
      </c>
      <c r="D364" s="2"/>
      <c r="E364" s="2" t="str">
        <f>IFERROR(VLOOKUP(1*LEFT(C364,7),DF!$A$1:$F$9446,2,FALSE),"")</f>
        <v>BOMB KADIMA GAB NEGRA 50/54 RER</v>
      </c>
      <c r="F364" s="29">
        <v>1120724</v>
      </c>
      <c r="G364" t="s">
        <v>14059</v>
      </c>
      <c r="H364">
        <v>6</v>
      </c>
      <c r="I364">
        <v>1</v>
      </c>
    </row>
    <row r="365" spans="1:9" x14ac:dyDescent="0.25">
      <c r="A365" s="2">
        <v>16522</v>
      </c>
      <c r="B365" s="2" t="s">
        <v>4</v>
      </c>
      <c r="C365" s="2" t="s">
        <v>13232</v>
      </c>
      <c r="D365" s="2"/>
      <c r="E365" s="2" t="str">
        <f>IFERROR(VLOOKUP(1*LEFT(C365,7),DF!$A$1:$F$9446,2,FALSE),"")</f>
        <v>BOMB KADIMA GAB NEGRA 56/60 RER</v>
      </c>
      <c r="F365" s="29">
        <v>1120724</v>
      </c>
      <c r="G365" t="s">
        <v>14059</v>
      </c>
      <c r="H365">
        <v>6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13233</v>
      </c>
      <c r="D366" s="2"/>
      <c r="E366" s="2" t="str">
        <f>IFERROR(VLOOKUP(1*LEFT(C366,7),DF!$A$1:$F$9446,2,FALSE),"")</f>
        <v>BOMB KADIMA GAB NEGRA 62/66 RER</v>
      </c>
      <c r="F366" s="29">
        <v>1120724</v>
      </c>
      <c r="G366" t="s">
        <v>14059</v>
      </c>
      <c r="H366">
        <v>6</v>
      </c>
      <c r="I366">
        <v>1</v>
      </c>
    </row>
    <row r="367" spans="1:9" x14ac:dyDescent="0.25">
      <c r="A367" s="2">
        <v>16522</v>
      </c>
      <c r="B367" s="2" t="s">
        <v>4</v>
      </c>
      <c r="C367" s="2" t="str">
        <f>CONCATENATE(F367,"##")</f>
        <v>4120770##</v>
      </c>
      <c r="D367" s="2"/>
      <c r="E367" s="2" t="str">
        <f>IFERROR(VLOOKUP(1*LEFT(C367,7),DF!$A$1:$F$9446,2,FALSE),"")</f>
        <v>CAMISA ML BAT GRIS TORC VIP 34/44</v>
      </c>
      <c r="F367">
        <v>4120770</v>
      </c>
      <c r="G367" t="s">
        <v>14066</v>
      </c>
      <c r="H367">
        <v>2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14063</v>
      </c>
      <c r="D368" s="2"/>
      <c r="E368" s="2" t="str">
        <f>IFERROR(VLOOKUP(1*LEFT(C368,7),DF!$A$1:$F$9446,2,FALSE),"")</f>
        <v>CAMISA ML BAT GRIS TORC VIP 46/50</v>
      </c>
      <c r="F368">
        <v>4120770</v>
      </c>
      <c r="G368" t="s">
        <v>14066</v>
      </c>
      <c r="H368">
        <v>2</v>
      </c>
      <c r="I368">
        <v>1</v>
      </c>
    </row>
    <row r="369" spans="1:9" x14ac:dyDescent="0.25">
      <c r="A369" s="2">
        <v>16522</v>
      </c>
      <c r="B369" s="2" t="s">
        <v>4</v>
      </c>
      <c r="C369" s="2" t="s">
        <v>14064</v>
      </c>
      <c r="D369" s="2"/>
      <c r="E369" s="2" t="str">
        <f>IFERROR(VLOOKUP(1*LEFT(C369,7),DF!$A$1:$F$9446,2,FALSE),"")</f>
        <v>CAMISA ML BAT GRIS TORC VIP 52/56</v>
      </c>
      <c r="F369">
        <v>4120770</v>
      </c>
      <c r="G369" t="s">
        <v>14066</v>
      </c>
      <c r="H369">
        <v>2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14065</v>
      </c>
      <c r="D370" s="2"/>
      <c r="E370" s="2" t="str">
        <f>IFERROR(VLOOKUP(1*LEFT(C370,7),DF!$A$1:$F$9446,2,FALSE),"")</f>
        <v>CAMISA ML BAT GRIS TORC VIP 58/66</v>
      </c>
      <c r="F370">
        <v>4120770</v>
      </c>
      <c r="G370" t="s">
        <v>14066</v>
      </c>
      <c r="H370">
        <v>2</v>
      </c>
      <c r="I370">
        <v>1</v>
      </c>
    </row>
    <row r="371" spans="1:9" x14ac:dyDescent="0.25">
      <c r="A371" s="2">
        <v>16522</v>
      </c>
      <c r="B371" s="2" t="s">
        <v>4</v>
      </c>
      <c r="C371" s="2" t="str">
        <f>CONCATENATE(F371,"##")</f>
        <v>5101006##</v>
      </c>
      <c r="D371" s="2"/>
      <c r="E371" s="2" t="str">
        <f>IFERROR(VLOOKUP(1*LEFT(C371,7),DF!$A$1:$F$9446,2,FALSE),"")</f>
        <v>GARIBALDINA MAO RIP DESERT 2XS/2XL RER</v>
      </c>
      <c r="F371">
        <v>5101006</v>
      </c>
      <c r="G371" t="s">
        <v>14067</v>
      </c>
      <c r="H371">
        <v>4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4803</v>
      </c>
      <c r="D372" s="2"/>
      <c r="E372" s="2" t="str">
        <f>IFERROR(VLOOKUP(1*LEFT(C372,7),DF!$A$1:$F$9446,2,FALSE),"")</f>
        <v>GARIBALDINA MAO RIP DESERT 3XL/5XL RER</v>
      </c>
      <c r="F372">
        <v>5101006</v>
      </c>
      <c r="G372" t="s">
        <v>14067</v>
      </c>
      <c r="H372">
        <v>4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>CONCATENATE(F373,"##")</f>
        <v>4120950##</v>
      </c>
      <c r="D373" s="2"/>
      <c r="E373" s="2" t="str">
        <f>IFERROR(VLOOKUP(1*LEFT(C373,7),DF!$A$1:$F$9446,2,FALSE),"")</f>
        <v>CAMISA ML BAT NEGRO VIP 34/44</v>
      </c>
      <c r="F373">
        <v>4120950</v>
      </c>
      <c r="G373" t="s">
        <v>14131</v>
      </c>
      <c r="H373">
        <v>3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14111</v>
      </c>
      <c r="D374" s="2"/>
      <c r="E374" s="2" t="str">
        <f>IFERROR(VLOOKUP(1*LEFT(C374,7),DF!$A$1:$F$9446,2,FALSE),"")</f>
        <v>CAMISA ML BAT NEGRO VIP 46/50</v>
      </c>
      <c r="F374">
        <v>4120950</v>
      </c>
      <c r="G374" t="s">
        <v>14131</v>
      </c>
      <c r="H374">
        <v>3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14112</v>
      </c>
      <c r="D375" s="2"/>
      <c r="E375" s="2" t="str">
        <f>IFERROR(VLOOKUP(1*LEFT(C375,7),DF!$A$1:$F$9446,2,FALSE),"")</f>
        <v>CAMISA ML BAT NEGRO VIP 52/56</v>
      </c>
      <c r="F375">
        <v>4120950</v>
      </c>
      <c r="G375" t="s">
        <v>14131</v>
      </c>
      <c r="H375">
        <v>3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14113</v>
      </c>
      <c r="D376" s="2"/>
      <c r="E376" s="2" t="str">
        <f>IFERROR(VLOOKUP(1*LEFT(C376,7),DF!$A$1:$F$9446,2,FALSE),"")</f>
        <v>CAMISA ML BAT NEGRO VIP 58/66</v>
      </c>
      <c r="F376">
        <v>4120950</v>
      </c>
      <c r="G376" t="s">
        <v>14131</v>
      </c>
      <c r="H376">
        <v>3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>CONCATENATE(F377,"##")</f>
        <v>4120066##</v>
      </c>
      <c r="D377" s="2"/>
      <c r="E377" s="2" t="str">
        <f>IFERROR(VLOOKUP(1*LEFT(C377,7),DF!$A$1:$F$9446,2,FALSE),"")</f>
        <v>CAMISA ML BAT GRIS VIP 34/44 RER</v>
      </c>
      <c r="F377">
        <v>4120066</v>
      </c>
      <c r="G377" t="s">
        <v>14132</v>
      </c>
      <c r="H377">
        <v>3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14114</v>
      </c>
      <c r="D378" s="2"/>
      <c r="E378" s="2" t="str">
        <f>IFERROR(VLOOKUP(1*LEFT(C378,7),DF!$A$1:$F$9446,2,FALSE),"")</f>
        <v>CAMISA ML BAT GRIS VIP 46/50 RER</v>
      </c>
      <c r="F378">
        <v>4120066</v>
      </c>
      <c r="G378" t="s">
        <v>14132</v>
      </c>
      <c r="H378">
        <v>3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14115</v>
      </c>
      <c r="D379" s="2"/>
      <c r="E379" s="2" t="str">
        <f>IFERROR(VLOOKUP(1*LEFT(C379,7),DF!$A$1:$F$9446,2,FALSE),"")</f>
        <v>CAMISA ML BAT GRIS VIP 52/56 RER</v>
      </c>
      <c r="F379">
        <v>4120066</v>
      </c>
      <c r="G379" t="s">
        <v>14132</v>
      </c>
      <c r="H379">
        <v>3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14116</v>
      </c>
      <c r="D380" s="2"/>
      <c r="E380" s="2" t="str">
        <f>IFERROR(VLOOKUP(1*LEFT(C380,7),DF!$A$1:$F$9446,2,FALSE),"")</f>
        <v>CAMISA ML BAT GRIS VIP 58/66 RER</v>
      </c>
      <c r="F380">
        <v>4120066</v>
      </c>
      <c r="G380" t="s">
        <v>14132</v>
      </c>
      <c r="H380">
        <v>3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>CONCATENATE(F381,"##")</f>
        <v>4120062##</v>
      </c>
      <c r="D381" s="2"/>
      <c r="E381" s="2" t="str">
        <f>IFERROR(VLOOKUP(1*LEFT(C381,7),DF!$A$1:$F$9446,2,FALSE),"")</f>
        <v>CAMISA ML BAT BLANCA VIP 34/44</v>
      </c>
      <c r="F381">
        <v>4120062</v>
      </c>
      <c r="G381" t="s">
        <v>14133</v>
      </c>
      <c r="H381">
        <v>4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14117</v>
      </c>
      <c r="D382" s="2"/>
      <c r="E382" s="2" t="str">
        <f>IFERROR(VLOOKUP(1*LEFT(C382,7),DF!$A$1:$F$9446,2,FALSE),"")</f>
        <v>CAMISA ML BAT BLANCA VIP 46/50</v>
      </c>
      <c r="F382">
        <v>4120062</v>
      </c>
      <c r="G382" t="s">
        <v>14133</v>
      </c>
      <c r="H382">
        <v>4</v>
      </c>
      <c r="I382">
        <v>1</v>
      </c>
    </row>
    <row r="383" spans="1:9" x14ac:dyDescent="0.25">
      <c r="A383" s="2">
        <v>16522</v>
      </c>
      <c r="B383" s="2" t="s">
        <v>4</v>
      </c>
      <c r="C383" s="2" t="s">
        <v>14118</v>
      </c>
      <c r="D383" s="2"/>
      <c r="E383" s="2" t="str">
        <f>IFERROR(VLOOKUP(1*LEFT(C383,7),DF!$A$1:$F$9446,2,FALSE),"")</f>
        <v>CAMISA ML BAT BLANCA VIP 52/56</v>
      </c>
      <c r="F383">
        <v>4120062</v>
      </c>
      <c r="G383" t="s">
        <v>14133</v>
      </c>
      <c r="H383">
        <v>4</v>
      </c>
      <c r="I383">
        <v>1</v>
      </c>
    </row>
    <row r="384" spans="1:9" x14ac:dyDescent="0.25">
      <c r="A384" s="2">
        <v>16522</v>
      </c>
      <c r="B384" s="2" t="s">
        <v>4</v>
      </c>
      <c r="C384" s="2" t="s">
        <v>14119</v>
      </c>
      <c r="D384" s="2"/>
      <c r="E384" s="2" t="str">
        <f>IFERROR(VLOOKUP(1*LEFT(C384,7),DF!$A$1:$F$9446,2,FALSE),"")</f>
        <v>CAMISA ML BAT BLANCA VIP 58/66</v>
      </c>
      <c r="F384">
        <v>4120062</v>
      </c>
      <c r="G384" t="s">
        <v>14133</v>
      </c>
      <c r="H384">
        <v>4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4120270##</v>
      </c>
      <c r="D385" s="2"/>
      <c r="E385" s="2" t="str">
        <f>IFERROR(VLOOKUP(1*LEFT(C385,7),DF!$A$1:$F$9446,2,FALSE),"")</f>
        <v>CAMISA ML BAT AZUL VIP 34/44 RER</v>
      </c>
      <c r="F385">
        <v>4120270</v>
      </c>
      <c r="G385" t="s">
        <v>14134</v>
      </c>
      <c r="H385">
        <v>3</v>
      </c>
      <c r="I385">
        <v>1</v>
      </c>
    </row>
    <row r="386" spans="1:9" x14ac:dyDescent="0.25">
      <c r="A386" s="2">
        <v>16522</v>
      </c>
      <c r="B386" s="2" t="s">
        <v>4</v>
      </c>
      <c r="C386" s="2" t="s">
        <v>14120</v>
      </c>
      <c r="D386" s="2"/>
      <c r="E386" s="2" t="str">
        <f>IFERROR(VLOOKUP(1*LEFT(C386,7),DF!$A$1:$F$9446,2,FALSE),"")</f>
        <v>CAMISA ML BAT AZUL VIP 46/50 RER</v>
      </c>
      <c r="F386">
        <v>4120270</v>
      </c>
      <c r="G386" t="s">
        <v>14134</v>
      </c>
      <c r="H386">
        <v>3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14121</v>
      </c>
      <c r="D387" s="2"/>
      <c r="E387" s="2" t="str">
        <f>IFERROR(VLOOKUP(1*LEFT(C387,7),DF!$A$1:$F$9446,2,FALSE),"")</f>
        <v>CAMISA ML BAT AZUL VIP 52/56 RER</v>
      </c>
      <c r="F387">
        <v>4120270</v>
      </c>
      <c r="G387" t="s">
        <v>14134</v>
      </c>
      <c r="H387">
        <v>3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>CONCATENATE(F388,"##")</f>
        <v>5101985##</v>
      </c>
      <c r="D388" s="2"/>
      <c r="E388" s="2" t="str">
        <f>IFERROR(VLOOKUP(1*LEFT(C388,7),DF!$A$1:$F$9446,2,FALSE),"")</f>
        <v>CAMP INVEST AZUL RER</v>
      </c>
      <c r="F388">
        <v>5101985</v>
      </c>
      <c r="G388" t="s">
        <v>14136</v>
      </c>
      <c r="H388">
        <v>7</v>
      </c>
      <c r="I388">
        <v>1</v>
      </c>
    </row>
    <row r="389" spans="1:9" x14ac:dyDescent="0.25">
      <c r="A389" s="2">
        <v>16522</v>
      </c>
      <c r="B389" s="2" t="s">
        <v>4</v>
      </c>
      <c r="C389" t="s">
        <v>3902</v>
      </c>
      <c r="D389" s="2"/>
      <c r="E389" s="2" t="str">
        <f>IFERROR(VLOOKUP(1*LEFT(C389,7),DF!$A$1:$F$9446,2,FALSE),"")</f>
        <v>CAMP INVEST AZUL T.E. 3XL/4XL RER</v>
      </c>
      <c r="F389">
        <v>5101985</v>
      </c>
      <c r="G389" t="s">
        <v>14136</v>
      </c>
      <c r="H389">
        <v>7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>CONCATENATE(F390,"##")</f>
        <v>5101900##</v>
      </c>
      <c r="D390" s="2"/>
      <c r="E390" s="2" t="str">
        <f>IFERROR(VLOOKUP(1*LEFT(C390,7),DF!$A$1:$F$9446,2,FALSE),"")</f>
        <v>CAMP INVEST NEGRA RER</v>
      </c>
      <c r="F390">
        <v>5101900</v>
      </c>
      <c r="G390" t="s">
        <v>14137</v>
      </c>
      <c r="H390">
        <v>7</v>
      </c>
      <c r="I390">
        <v>1</v>
      </c>
    </row>
    <row r="391" spans="1:9" x14ac:dyDescent="0.25">
      <c r="A391" s="2">
        <v>16522</v>
      </c>
      <c r="B391" s="2" t="s">
        <v>4</v>
      </c>
      <c r="C391" t="s">
        <v>1985</v>
      </c>
      <c r="D391" s="2"/>
      <c r="E391" s="2" t="str">
        <f>IFERROR(VLOOKUP(1*LEFT(C391,7),DF!$A$1:$F$9446,2,FALSE),"")</f>
        <v>CAMP INVEST NEGRA T.E. 3XL/4XL RER</v>
      </c>
      <c r="F391">
        <v>5101900</v>
      </c>
      <c r="G391" t="s">
        <v>14137</v>
      </c>
      <c r="H391">
        <v>7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5101083##</v>
      </c>
      <c r="D392" s="2"/>
      <c r="E392" s="2" t="str">
        <f>IFERROR(VLOOKUP(1*LEFT(C392,7),DF!$A$1:$F$9446,2,FALSE),"")</f>
        <v>CAMP INVEST GRIS RER</v>
      </c>
      <c r="F392">
        <v>5101083</v>
      </c>
      <c r="G392" t="s">
        <v>14135</v>
      </c>
      <c r="H392">
        <v>7</v>
      </c>
      <c r="I392">
        <v>1</v>
      </c>
    </row>
    <row r="393" spans="1:9" x14ac:dyDescent="0.25">
      <c r="A393" s="2">
        <v>16522</v>
      </c>
      <c r="B393" s="2" t="s">
        <v>4</v>
      </c>
      <c r="C393" s="2" t="str">
        <f>CONCATENATE(F393,"##")</f>
        <v>5101999##</v>
      </c>
      <c r="D393" s="2"/>
      <c r="E393" s="2" t="str">
        <f>IFERROR(VLOOKUP(1*LEFT(C393,7),DF!$A$1:$F$9446,2,FALSE),"")</f>
        <v>CAMP PALMAJ AZUL 3XS/2XL RER</v>
      </c>
      <c r="F393">
        <v>5101999</v>
      </c>
      <c r="G393" t="s">
        <v>14156</v>
      </c>
      <c r="H393">
        <v>10</v>
      </c>
      <c r="I393">
        <v>1</v>
      </c>
    </row>
    <row r="394" spans="1:9" x14ac:dyDescent="0.25">
      <c r="A394" s="2">
        <v>16522</v>
      </c>
      <c r="B394" s="2" t="s">
        <v>4</v>
      </c>
      <c r="C394" s="2" t="s">
        <v>1993</v>
      </c>
      <c r="D394" s="2"/>
      <c r="E394" s="2" t="str">
        <f>IFERROR(VLOOKUP(1*LEFT(C394,7),DF!$A$1:$F$9446,2,FALSE),"")</f>
        <v>CAMP PALMAJ AZUL 3XL/4XL RER</v>
      </c>
      <c r="F394">
        <v>5101999</v>
      </c>
      <c r="G394" t="s">
        <v>14156</v>
      </c>
      <c r="H394">
        <v>10</v>
      </c>
      <c r="I394">
        <v>1</v>
      </c>
    </row>
    <row r="395" spans="1:9" x14ac:dyDescent="0.25">
      <c r="A395" s="2">
        <v>16522</v>
      </c>
      <c r="B395" s="2" t="s">
        <v>4</v>
      </c>
      <c r="C395" s="2" t="str">
        <f>CONCATENATE(F395,"##")</f>
        <v>5101888##</v>
      </c>
      <c r="D395" s="2"/>
      <c r="E395" s="2" t="str">
        <f>IFERROR(VLOOKUP(1*LEFT(C395,7),DF!$A$1:$F$9446,2,FALSE),"")</f>
        <v>CAMP PALMAJ NEGRA 2XS/2XL RER</v>
      </c>
      <c r="F395">
        <v>5101888</v>
      </c>
      <c r="G395" t="s">
        <v>14157</v>
      </c>
      <c r="H395">
        <v>9</v>
      </c>
      <c r="I395">
        <v>1</v>
      </c>
    </row>
    <row r="396" spans="1:9" x14ac:dyDescent="0.25">
      <c r="A396" s="2">
        <v>16522</v>
      </c>
      <c r="B396" s="2" t="s">
        <v>4</v>
      </c>
      <c r="C396" s="2" t="s">
        <v>2899</v>
      </c>
      <c r="D396" s="2"/>
      <c r="E396" s="2" t="str">
        <f>IFERROR(VLOOKUP(1*LEFT(C396,7),DF!$A$1:$F$9446,2,FALSE),"")</f>
        <v>CAMP PALMAJ NEGRA 3XL/6XL RER</v>
      </c>
      <c r="F396">
        <v>5101888</v>
      </c>
      <c r="G396" t="s">
        <v>14157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5101777##</v>
      </c>
      <c r="D397" s="2"/>
      <c r="E397" s="2" t="str">
        <f>IFERROR(VLOOKUP(1*LEFT(C397,7),DF!$A$1:$F$9446,2,FALSE),"")</f>
        <v>CAMP PALMAJ GRIS 2XS/2XL RER</v>
      </c>
      <c r="F397">
        <v>5101777</v>
      </c>
      <c r="G397" t="s">
        <v>14158</v>
      </c>
      <c r="H397">
        <v>8</v>
      </c>
      <c r="I397">
        <v>1</v>
      </c>
    </row>
    <row r="398" spans="1:9" x14ac:dyDescent="0.25">
      <c r="A398" s="2">
        <v>16522</v>
      </c>
      <c r="B398" s="2" t="s">
        <v>4</v>
      </c>
      <c r="C398" s="2" t="s">
        <v>2907</v>
      </c>
      <c r="D398" s="2"/>
      <c r="E398" s="2" t="str">
        <f>IFERROR(VLOOKUP(1*LEFT(C398,7),DF!$A$1:$F$9446,2,FALSE),"")</f>
        <v>CAMP PALMAJ GRIS 3XL/5XL RER</v>
      </c>
      <c r="F398">
        <v>5101777</v>
      </c>
      <c r="G398" t="s">
        <v>14158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5101002##</v>
      </c>
      <c r="D399" s="2"/>
      <c r="E399" s="2" t="str">
        <f>IFERROR(VLOOKUP(1*LEFT(C399,7),DF!$A$1:$F$9446,2,FALSE),"")</f>
        <v>GARIBALDINA MAO RIP TIGR CEL 2XS/2XL RER</v>
      </c>
      <c r="F399">
        <v>5101002</v>
      </c>
      <c r="G399" t="s">
        <v>14263</v>
      </c>
      <c r="H399">
        <v>5</v>
      </c>
      <c r="I399">
        <v>1</v>
      </c>
    </row>
    <row r="400" spans="1:9" x14ac:dyDescent="0.25">
      <c r="A400" s="2">
        <v>16522</v>
      </c>
      <c r="B400" s="2" t="s">
        <v>4</v>
      </c>
      <c r="C400" s="2" t="s">
        <v>4779</v>
      </c>
      <c r="D400" s="2"/>
      <c r="E400" s="2" t="str">
        <f>IFERROR(VLOOKUP(1*LEFT(C400,7),DF!$A$1:$F$9446,2,FALSE),"")</f>
        <v>GARIBALDINA MAO RIP TIGR CEL 3XL/5XL RER</v>
      </c>
      <c r="F400">
        <v>5101002</v>
      </c>
      <c r="G400" t="s">
        <v>14263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>CONCATENATE(F401,"##")</f>
        <v>5101006##</v>
      </c>
      <c r="D401" s="2"/>
      <c r="E401" s="2" t="str">
        <f>IFERROR(VLOOKUP(1*LEFT(C401,7),DF!$A$1:$F$9446,2,FALSE),"")</f>
        <v>GARIBALDINA MAO RIP DESERT 2XS/2XL RER</v>
      </c>
      <c r="F401">
        <v>5101006</v>
      </c>
      <c r="G401" t="s">
        <v>14067</v>
      </c>
      <c r="H401">
        <v>4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4803</v>
      </c>
      <c r="D402" s="2"/>
      <c r="E402" s="2" t="str">
        <f>IFERROR(VLOOKUP(1*LEFT(C402,7),DF!$A$1:$F$9446,2,FALSE),"")</f>
        <v>GARIBALDINA MAO RIP DESERT 3XL/5XL RER</v>
      </c>
      <c r="F402">
        <v>5101006</v>
      </c>
      <c r="G402" t="s">
        <v>14067</v>
      </c>
      <c r="H402">
        <v>4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5101029##</v>
      </c>
      <c r="D403" s="2"/>
      <c r="E403" s="2" t="str">
        <f>IFERROR(VLOOKUP(1*LEFT(C403,7),DF!$A$1:$F$9446,2,FALSE),"")</f>
        <v>GARIBALDINA MAO RIP INFANT 2XS/2XL RER</v>
      </c>
      <c r="F403">
        <v>5101029</v>
      </c>
      <c r="G403" t="s">
        <v>14264</v>
      </c>
      <c r="H403">
        <v>5</v>
      </c>
      <c r="I403">
        <v>1</v>
      </c>
    </row>
    <row r="404" spans="1:9" x14ac:dyDescent="0.25">
      <c r="A404" s="2">
        <v>16522</v>
      </c>
      <c r="B404" s="2" t="s">
        <v>4</v>
      </c>
      <c r="C404" s="2" t="s">
        <v>4701</v>
      </c>
      <c r="D404" s="2"/>
      <c r="E404" s="2" t="str">
        <f>IFERROR(VLOOKUP(1*LEFT(C404,7),DF!$A$1:$F$9446,2,FALSE),"")</f>
        <v>GARIBALDINA MAO RIP INFANT 3XL/5XL RER</v>
      </c>
      <c r="F404">
        <v>5101029</v>
      </c>
      <c r="G404" t="s">
        <v>14264</v>
      </c>
      <c r="H404">
        <v>5</v>
      </c>
      <c r="I404">
        <v>1</v>
      </c>
    </row>
    <row r="405" spans="1:9" x14ac:dyDescent="0.25">
      <c r="A405" s="2">
        <v>16522</v>
      </c>
      <c r="B405" s="2" t="s">
        <v>4</v>
      </c>
      <c r="C405" s="2" t="str">
        <f>CONCATENATE(F405,"##")</f>
        <v>5101140##</v>
      </c>
      <c r="D405" s="2"/>
      <c r="E405" s="2" t="str">
        <f>IFERROR(VLOOKUP(1*LEFT(C405,7),DF!$A$1:$F$9446,2,FALSE),"")</f>
        <v>GARIBALDINA MAO RIP BEIGE 2XS/2XL RER</v>
      </c>
      <c r="F405">
        <v>5101140</v>
      </c>
      <c r="G405" t="s">
        <v>14265</v>
      </c>
      <c r="H405">
        <v>4</v>
      </c>
      <c r="I405">
        <v>1</v>
      </c>
    </row>
    <row r="406" spans="1:9" x14ac:dyDescent="0.25">
      <c r="A406" s="2">
        <v>16522</v>
      </c>
      <c r="B406" s="2" t="s">
        <v>4</v>
      </c>
      <c r="C406" s="2" t="s">
        <v>4733</v>
      </c>
      <c r="D406" s="2"/>
      <c r="E406" s="2" t="str">
        <f>IFERROR(VLOOKUP(1*LEFT(C406,7),DF!$A$1:$F$9446,2,FALSE),"")</f>
        <v>GARIBALDINA MAO RIP BEIGE 3XL/5XL RER</v>
      </c>
      <c r="F406">
        <v>5101140</v>
      </c>
      <c r="G406" t="s">
        <v>14265</v>
      </c>
      <c r="H406">
        <v>4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>CONCATENATE(F407,"##")</f>
        <v>5101165##</v>
      </c>
      <c r="D407" s="2"/>
      <c r="E407" s="2" t="str">
        <f>IFERROR(VLOOKUP(1*LEFT(C407,7),DF!$A$1:$F$9446,2,FALSE),"")</f>
        <v>GARIBALDINA MAO RIP DIG ACU 2XS/2XL RER</v>
      </c>
      <c r="F407">
        <v>5101165</v>
      </c>
      <c r="G407" t="s">
        <v>14266</v>
      </c>
      <c r="H407">
        <v>1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14262</v>
      </c>
      <c r="D408" s="2"/>
      <c r="E408" s="2" t="str">
        <f>IFERROR(VLOOKUP(1*LEFT(C408,7),DF!$A$1:$F$9446,2,FALSE),"")</f>
        <v>GARIBALDINA MAO RIP DIG ACU 3XL/5XL RER</v>
      </c>
      <c r="F408">
        <v>5101165</v>
      </c>
      <c r="G408" t="s">
        <v>14266</v>
      </c>
      <c r="H408">
        <v>1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>CONCATENATE(F409,"##")</f>
        <v>5101654##</v>
      </c>
      <c r="D409" s="2"/>
      <c r="E409" s="2" t="str">
        <f>IFERROR(VLOOKUP(1*LEFT(C409,7),DF!$A$1:$F$9446,2,FALSE),"")</f>
        <v>GARIBALDINA MAO RIP REQUISA 2XS/2XL RER</v>
      </c>
      <c r="F409">
        <v>5101654</v>
      </c>
      <c r="G409" t="s">
        <v>14267</v>
      </c>
      <c r="H409">
        <v>3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4751</v>
      </c>
      <c r="D410" s="2"/>
      <c r="E410" s="2" t="str">
        <f>IFERROR(VLOOKUP(1*LEFT(C410,7),DF!$A$1:$F$9446,2,FALSE),"")</f>
        <v>GARIBALDINA MAO RIP REQUISA 3XL/5XL RER</v>
      </c>
      <c r="F410">
        <v>5101654</v>
      </c>
      <c r="G410" t="s">
        <v>14267</v>
      </c>
      <c r="H410">
        <v>3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>CONCATENATE(F411,"##")</f>
        <v>5101845##</v>
      </c>
      <c r="D411" s="2"/>
      <c r="E411" s="2" t="str">
        <f>IFERROR(VLOOKUP(1*LEFT(C411,7),DF!$A$1:$F$9446,2,FALSE),"")</f>
        <v>GARIBALDINA MAO RIP EJERCITO 2XS/2XL RER</v>
      </c>
      <c r="F411">
        <v>5101845</v>
      </c>
      <c r="G411" t="s">
        <v>14268</v>
      </c>
      <c r="H411">
        <v>4</v>
      </c>
      <c r="I411">
        <v>1</v>
      </c>
    </row>
    <row r="412" spans="1:9" x14ac:dyDescent="0.25">
      <c r="A412" s="2">
        <v>16522</v>
      </c>
      <c r="B412" s="2" t="s">
        <v>4</v>
      </c>
      <c r="C412" s="2" t="s">
        <v>4725</v>
      </c>
      <c r="D412" s="2"/>
      <c r="E412" s="2" t="str">
        <f>IFERROR(VLOOKUP(1*LEFT(C412,7),DF!$A$1:$F$9446,2,FALSE),"")</f>
        <v>GARIBALDINA MAO RIP EJERCITO 3XL/6XL RER</v>
      </c>
      <c r="F412">
        <v>5101845</v>
      </c>
      <c r="G412" t="s">
        <v>14268</v>
      </c>
      <c r="H412">
        <v>4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>CONCATENATE(F413,"##")</f>
        <v>5101873##</v>
      </c>
      <c r="D413" s="2"/>
      <c r="E413" s="2" t="str">
        <f>IFERROR(VLOOKUP(1*LEFT(C413,7),DF!$A$1:$F$9446,2,FALSE),"")</f>
        <v>GARIBALDINA MAO RIP DIG GR 2XS/2XL RER</v>
      </c>
      <c r="F413">
        <v>5101873</v>
      </c>
      <c r="G413" t="s">
        <v>14269</v>
      </c>
      <c r="H413">
        <v>3</v>
      </c>
      <c r="I413">
        <v>1</v>
      </c>
    </row>
    <row r="414" spans="1:9" x14ac:dyDescent="0.25">
      <c r="A414" s="2">
        <v>16522</v>
      </c>
      <c r="B414" s="2" t="s">
        <v>4</v>
      </c>
      <c r="C414" s="2" t="s">
        <v>4737</v>
      </c>
      <c r="D414" s="2"/>
      <c r="E414" s="2" t="str">
        <f>IFERROR(VLOOKUP(1*LEFT(C414,7),DF!$A$1:$F$9446,2,FALSE),"")</f>
        <v>GARIBALDINA MAO RIP DIG GR 3XL/5XL RER</v>
      </c>
      <c r="F414">
        <v>5101873</v>
      </c>
      <c r="G414" t="s">
        <v>14269</v>
      </c>
      <c r="H414">
        <v>3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>CONCATENATE(F415,"##")</f>
        <v>5101877##</v>
      </c>
      <c r="D415" s="2"/>
      <c r="E415" s="2" t="str">
        <f>IFERROR(VLOOKUP(1*LEFT(C415,7),DF!$A$1:$F$9446,2,FALSE),"")</f>
        <v>GARIBALDINA MAO RIP MIM RURA 3XS/2XL RER</v>
      </c>
      <c r="F415">
        <v>5101877</v>
      </c>
      <c r="G415" t="s">
        <v>14270</v>
      </c>
      <c r="H415">
        <v>4</v>
      </c>
      <c r="I415">
        <v>1</v>
      </c>
    </row>
    <row r="416" spans="1:9" x14ac:dyDescent="0.25">
      <c r="A416" s="2">
        <v>16522</v>
      </c>
      <c r="B416" s="2" t="s">
        <v>4</v>
      </c>
      <c r="C416" s="2" t="s">
        <v>4875</v>
      </c>
      <c r="D416" s="2"/>
      <c r="E416" s="2" t="str">
        <f>IFERROR(VLOOKUP(1*LEFT(C416,7),DF!$A$1:$F$9446,2,FALSE),"")</f>
        <v>GARIBALDINA MAO RIP MIM RURA 3XL/5XL RER</v>
      </c>
      <c r="F416">
        <v>5101877</v>
      </c>
      <c r="G416" t="s">
        <v>14270</v>
      </c>
      <c r="H416">
        <v>4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>CONCATENATE(F417,"##")</f>
        <v>5101886##</v>
      </c>
      <c r="D417" s="2"/>
      <c r="E417" s="2" t="str">
        <f>IFERROR(VLOOKUP(1*LEFT(C417,7),DF!$A$1:$F$9446,2,FALSE),"")</f>
        <v>GARIBALDINA MAO RIP DIG BEIG 2XS/2XL RER</v>
      </c>
      <c r="F417">
        <v>5101886</v>
      </c>
      <c r="G417" t="s">
        <v>14271</v>
      </c>
      <c r="H417">
        <v>4</v>
      </c>
      <c r="I417">
        <v>1</v>
      </c>
    </row>
    <row r="418" spans="1:9" x14ac:dyDescent="0.25">
      <c r="A418" s="2">
        <v>16522</v>
      </c>
      <c r="B418" s="2" t="s">
        <v>4</v>
      </c>
      <c r="C418" s="2" t="s">
        <v>4827</v>
      </c>
      <c r="D418" s="2"/>
      <c r="E418" s="2" t="str">
        <f>IFERROR(VLOOKUP(1*LEFT(C418,7),DF!$A$1:$F$9446,2,FALSE),"")</f>
        <v>GARIBALDINA MAO RIP DIG BEIG 3XL/6XL RER</v>
      </c>
      <c r="F418">
        <v>5101886</v>
      </c>
      <c r="G418" t="s">
        <v>14271</v>
      </c>
      <c r="H418">
        <v>4</v>
      </c>
      <c r="I418">
        <v>1</v>
      </c>
    </row>
    <row r="419" spans="1:9" x14ac:dyDescent="0.25">
      <c r="A419" s="2">
        <v>16522</v>
      </c>
      <c r="B419" s="2" t="s">
        <v>4</v>
      </c>
      <c r="C419" s="2" t="str">
        <f>CONCATENATE(F419,"##")</f>
        <v>5101048##</v>
      </c>
      <c r="D419" s="2"/>
      <c r="E419" s="2" t="str">
        <f>IFERROR(VLOOKUP(1*LEFT(C419,7),DF!$A$1:$F$9446,2,FALSE),"")</f>
        <v>GARIBALDINA MAO GAB AZUL 3XS/2XL RER</v>
      </c>
      <c r="F419">
        <v>5101048</v>
      </c>
      <c r="G419" t="s">
        <v>14275</v>
      </c>
      <c r="H419">
        <v>4</v>
      </c>
      <c r="I419">
        <v>1</v>
      </c>
    </row>
    <row r="420" spans="1:9" x14ac:dyDescent="0.25">
      <c r="A420" s="2">
        <v>16522</v>
      </c>
      <c r="B420" s="2" t="s">
        <v>4</v>
      </c>
      <c r="C420" s="2" t="s">
        <v>5277</v>
      </c>
      <c r="D420" s="2"/>
      <c r="E420" s="2" t="str">
        <f>IFERROR(VLOOKUP(1*LEFT(C420,7),DF!$A$1:$F$9446,2,FALSE),"")</f>
        <v>GARIBALDINA MAO GAB AZUL 3XL/6XL RER</v>
      </c>
      <c r="F420">
        <v>5101048</v>
      </c>
      <c r="G420" t="s">
        <v>14275</v>
      </c>
      <c r="H420">
        <v>4</v>
      </c>
      <c r="I420">
        <v>1</v>
      </c>
    </row>
    <row r="421" spans="1:9" x14ac:dyDescent="0.25">
      <c r="A421" s="2">
        <v>16522</v>
      </c>
      <c r="B421" s="2" t="s">
        <v>4</v>
      </c>
      <c r="C421" s="2" t="str">
        <f>CONCATENATE(F421,"##")</f>
        <v>5101052##</v>
      </c>
      <c r="D421" s="2"/>
      <c r="E421" s="2" t="str">
        <f>IFERROR(VLOOKUP(1*LEFT(C421,7),DF!$A$1:$F$9446,2,FALSE),"")</f>
        <v>GARIBALDINA MAO GAB NEGRA 2XS/2XL</v>
      </c>
      <c r="F421">
        <v>5101052</v>
      </c>
      <c r="G421" t="s">
        <v>14276</v>
      </c>
      <c r="H421">
        <v>4</v>
      </c>
      <c r="I421">
        <v>1</v>
      </c>
    </row>
    <row r="422" spans="1:9" x14ac:dyDescent="0.25">
      <c r="A422" s="2">
        <v>16522</v>
      </c>
      <c r="B422" s="2" t="s">
        <v>4</v>
      </c>
      <c r="C422" s="2" t="s">
        <v>5285</v>
      </c>
      <c r="D422" s="2"/>
      <c r="E422" s="2" t="str">
        <f>IFERROR(VLOOKUP(1*LEFT(C422,7),DF!$A$1:$F$9446,2,FALSE),"")</f>
        <v>GARIBALDINA MAO GAB NEGRA 3XL/6XL</v>
      </c>
      <c r="F422">
        <v>5101052</v>
      </c>
      <c r="G422" t="s">
        <v>14276</v>
      </c>
      <c r="H422">
        <v>4</v>
      </c>
      <c r="I422">
        <v>1</v>
      </c>
    </row>
    <row r="423" spans="1:9" x14ac:dyDescent="0.25">
      <c r="A423" s="2">
        <v>16522</v>
      </c>
      <c r="B423" s="2" t="s">
        <v>4</v>
      </c>
      <c r="C423" s="2" t="str">
        <f>CONCATENATE(F423,"##")</f>
        <v>5101046##</v>
      </c>
      <c r="D423" s="2"/>
      <c r="E423" s="2" t="str">
        <f>IFERROR(VLOOKUP(1*LEFT(C423,7),DF!$A$1:$F$9446,2,FALSE),"")</f>
        <v>GARIBALDINA MAO GAB GRIS FED 3XS/2XL RER</v>
      </c>
      <c r="F423">
        <v>5101046</v>
      </c>
      <c r="G423" t="s">
        <v>14277</v>
      </c>
      <c r="H423">
        <v>5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4735</v>
      </c>
      <c r="D424" s="2"/>
      <c r="E424" s="2" t="str">
        <f>IFERROR(VLOOKUP(1*LEFT(C424,7),DF!$A$1:$F$9446,2,FALSE),"")</f>
        <v>GARIBALDINA MAO GAB GRIS FED 3XL/6XL RER</v>
      </c>
      <c r="F424">
        <v>5101046</v>
      </c>
      <c r="G424" t="s">
        <v>14277</v>
      </c>
      <c r="H424">
        <v>5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>CONCATENATE(F425,"##")</f>
        <v>5101852##</v>
      </c>
      <c r="D425" s="2"/>
      <c r="E425" s="2" t="str">
        <f>IFERROR(VLOOKUP(1*LEFT(C425,7),DF!$A$1:$F$9446,2,FALSE),"")</f>
        <v>GARIBALDINA MAO RIP AZUL 2XS/2XL EM</v>
      </c>
      <c r="F425">
        <v>5101852</v>
      </c>
      <c r="G425" t="s">
        <v>14278</v>
      </c>
      <c r="H425">
        <v>4</v>
      </c>
      <c r="I425">
        <v>1</v>
      </c>
    </row>
    <row r="426" spans="1:9" x14ac:dyDescent="0.25">
      <c r="A426" s="2">
        <v>16522</v>
      </c>
      <c r="B426" s="2" t="s">
        <v>4</v>
      </c>
      <c r="C426" s="2" t="s">
        <v>2001</v>
      </c>
      <c r="D426" s="2"/>
      <c r="E426" s="2" t="str">
        <f>IFERROR(VLOOKUP(1*LEFT(C426,7),DF!$A$1:$F$9446,2,FALSE),"")</f>
        <v>GARIBALDINA MAO RIP AZUL 3XL/5XL RER</v>
      </c>
      <c r="F426">
        <v>5101852</v>
      </c>
      <c r="G426" t="s">
        <v>14278</v>
      </c>
      <c r="H426">
        <v>4</v>
      </c>
      <c r="I426">
        <v>1</v>
      </c>
    </row>
    <row r="427" spans="1:9" x14ac:dyDescent="0.25">
      <c r="A427" s="2">
        <v>16522</v>
      </c>
      <c r="B427" s="2" t="s">
        <v>4</v>
      </c>
      <c r="C427" s="2" t="str">
        <f>CONCATENATE(F427,"##")</f>
        <v>2103069##</v>
      </c>
      <c r="D427" s="2"/>
      <c r="E427" s="2" t="str">
        <f>IFERROR(VLOOKUP(1*LEFT(C427,7),DF!$A$1:$F$9446,2,FALSE),"")</f>
        <v>CHOMBA MC POLO GRIS + BAND 3XS/2XL RER</v>
      </c>
      <c r="F427">
        <v>2103069</v>
      </c>
      <c r="G427" t="s">
        <v>14282</v>
      </c>
      <c r="H427">
        <v>3</v>
      </c>
      <c r="I427">
        <v>1</v>
      </c>
    </row>
    <row r="428" spans="1:9" x14ac:dyDescent="0.25">
      <c r="A428" s="2">
        <v>16522</v>
      </c>
      <c r="B428" s="2" t="s">
        <v>4</v>
      </c>
      <c r="C428" t="s">
        <v>3896</v>
      </c>
      <c r="D428" s="2"/>
      <c r="E428" s="2" t="str">
        <f>IFERROR(VLOOKUP(1*LEFT(C428,7),DF!$A$1:$F$9446,2,FALSE),"")</f>
        <v>CHOMBA MC POLO GRIS + BAND 3XL/6XL RER</v>
      </c>
      <c r="F428">
        <v>2103069</v>
      </c>
      <c r="G428" t="s">
        <v>14282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>CONCATENATE(F429,"##")</f>
        <v>2101000##</v>
      </c>
      <c r="D429" s="2"/>
      <c r="E429" s="2" t="str">
        <f>IFERROR(VLOOKUP(1*LEFT(C429,7),DF!$A$1:$F$9446,2,FALSE),"")</f>
        <v>CHOMBA MC POLO NEGRA 3XS/2XL RER</v>
      </c>
      <c r="F429">
        <v>2101000</v>
      </c>
      <c r="G429" t="s">
        <v>14283</v>
      </c>
      <c r="H429">
        <v>3</v>
      </c>
      <c r="I429">
        <v>1</v>
      </c>
    </row>
    <row r="430" spans="1:9" x14ac:dyDescent="0.25">
      <c r="A430" s="2">
        <v>16522</v>
      </c>
      <c r="B430" s="2" t="s">
        <v>4</v>
      </c>
      <c r="C430" s="2" t="s">
        <v>3900</v>
      </c>
      <c r="D430" s="2"/>
      <c r="E430" s="2" t="str">
        <f>IFERROR(VLOOKUP(1*LEFT(C430,7),DF!$A$1:$F$9446,2,FALSE),"")</f>
        <v>CHOMBA MC POLO NEGRA 3XL/5XL RER</v>
      </c>
      <c r="F430">
        <v>2101000</v>
      </c>
      <c r="G430" t="s">
        <v>14283</v>
      </c>
      <c r="H430">
        <v>3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>CONCATENATE(F431,"##")</f>
        <v>2103068##</v>
      </c>
      <c r="D431" s="2"/>
      <c r="E431" s="2" t="str">
        <f>IFERROR(VLOOKUP(1*LEFT(C431,7),DF!$A$1:$F$9446,2,FALSE),"")</f>
        <v>CHOMBA MC POLO AZ + BAND 3XS/2XL RER</v>
      </c>
      <c r="F431">
        <v>2103068</v>
      </c>
      <c r="G431" t="s">
        <v>14284</v>
      </c>
      <c r="H431">
        <v>3</v>
      </c>
      <c r="I431">
        <v>1</v>
      </c>
    </row>
    <row r="432" spans="1:9" x14ac:dyDescent="0.25">
      <c r="A432" s="2">
        <v>16522</v>
      </c>
      <c r="B432" s="2" t="s">
        <v>4</v>
      </c>
      <c r="C432" t="s">
        <v>3898</v>
      </c>
      <c r="D432" s="2"/>
      <c r="E432" s="2" t="str">
        <f>IFERROR(VLOOKUP(1*LEFT(C432,7),DF!$A$1:$F$9446,2,FALSE),"")</f>
        <v>CHOMBA MC POLO AZ + BAND 3XL/5XL RER</v>
      </c>
      <c r="F432">
        <v>2103068</v>
      </c>
      <c r="G432" t="s">
        <v>14284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>CONCATENATE(F433,"##")</f>
        <v>1120428##</v>
      </c>
      <c r="D433" s="2"/>
      <c r="E433" s="2" t="str">
        <f>IFERROR(VLOOKUP(1*LEFT(C433,7),DF!$A$1:$F$9446,2,FALSE),"")</f>
        <v>BREECHES AZUL 34/48 RER</v>
      </c>
      <c r="F433">
        <v>1120428</v>
      </c>
      <c r="G433" t="s">
        <v>14285</v>
      </c>
      <c r="H433">
        <v>4</v>
      </c>
      <c r="I433">
        <v>1</v>
      </c>
    </row>
    <row r="434" spans="1:9" x14ac:dyDescent="0.25">
      <c r="A434" s="2">
        <v>16522</v>
      </c>
      <c r="B434" s="2" t="s">
        <v>4</v>
      </c>
      <c r="C434" s="2" t="s">
        <v>4029</v>
      </c>
      <c r="D434" s="2"/>
      <c r="E434" s="2" t="str">
        <f>IFERROR(VLOOKUP(1*LEFT(C434,7),DF!$A$1:$F$9446,2,FALSE),"")</f>
        <v>BREECHES AZUL 50/54 RER</v>
      </c>
      <c r="F434">
        <v>1120428</v>
      </c>
      <c r="G434" t="s">
        <v>14285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14279</v>
      </c>
      <c r="D435" s="2"/>
      <c r="E435" s="2" t="str">
        <f>IFERROR(VLOOKUP(1*LEFT(C435,7),DF!$A$1:$F$9446,2,FALSE),"")</f>
        <v>BREECHES AZUL 56/60 RER</v>
      </c>
      <c r="F435">
        <v>1120428</v>
      </c>
      <c r="G435" t="s">
        <v>14285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14280</v>
      </c>
      <c r="D436" s="2"/>
      <c r="E436" s="2" t="str">
        <f>IFERROR(VLOOKUP(1*LEFT(C436,7),DF!$A$1:$F$9446,2,FALSE),"")</f>
        <v>BREECHES AZUL 62/66 RER</v>
      </c>
      <c r="F436">
        <v>1120428</v>
      </c>
      <c r="G436" t="s">
        <v>14285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>CONCATENATE(F437,"##")</f>
        <v>1120450##</v>
      </c>
      <c r="D437" s="2"/>
      <c r="E437" s="2" t="str">
        <f>IFERROR(VLOOKUP(1*LEFT(C437,7),DF!$A$1:$F$9446,2,FALSE),"")</f>
        <v>BREECHES NEGRO 34/48 RER</v>
      </c>
      <c r="F437">
        <v>1120450</v>
      </c>
      <c r="G437" t="s">
        <v>14286</v>
      </c>
      <c r="H437">
        <v>4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4021</v>
      </c>
      <c r="D438" s="2"/>
      <c r="E438" s="2" t="str">
        <f>IFERROR(VLOOKUP(1*LEFT(C438,7),DF!$A$1:$F$9446,2,FALSE),"")</f>
        <v>BREECHES NEGRO 50/54 RER</v>
      </c>
      <c r="F438">
        <v>1120450</v>
      </c>
      <c r="G438" t="s">
        <v>14286</v>
      </c>
      <c r="H438">
        <v>4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4627</v>
      </c>
      <c r="D439" s="2"/>
      <c r="E439" s="2" t="str">
        <f>IFERROR(VLOOKUP(1*LEFT(C439,7),DF!$A$1:$F$9446,2,FALSE),"")</f>
        <v>BREECHES NEGRO 56/60 RER</v>
      </c>
      <c r="F439">
        <v>1120450</v>
      </c>
      <c r="G439" t="s">
        <v>14286</v>
      </c>
      <c r="H439">
        <v>4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14281</v>
      </c>
      <c r="D440" s="2"/>
      <c r="E440" s="2" t="str">
        <f>IFERROR(VLOOKUP(1*LEFT(C440,7),DF!$A$1:$F$9446,2,FALSE),"")</f>
        <v>BREECHES NEGRO 62/66 RER</v>
      </c>
      <c r="F440">
        <v>1120450</v>
      </c>
      <c r="G440" t="s">
        <v>14286</v>
      </c>
      <c r="H440">
        <v>4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>CONCATENATE(F441,"##")</f>
        <v>1120206##</v>
      </c>
      <c r="D441" s="2"/>
      <c r="E441" s="2" t="str">
        <f>IFERROR(VLOOKUP(1*LEFT(C441,7),DF!$A$1:$F$9446,2,FALSE),"")</f>
        <v>BOMB AMER GAB NEGRA 34/48 RER</v>
      </c>
      <c r="F441">
        <v>1120206</v>
      </c>
      <c r="G441" t="s">
        <v>14299</v>
      </c>
      <c r="H441">
        <v>10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2823</v>
      </c>
      <c r="D442" s="2"/>
      <c r="E442" s="2" t="str">
        <f>IFERROR(VLOOKUP(1*LEFT(C442,7),DF!$A$1:$F$9446,2,FALSE),"")</f>
        <v>BOMB AMER GAB NEGRA 50/54 RER</v>
      </c>
      <c r="F442">
        <v>1120206</v>
      </c>
      <c r="G442" t="s">
        <v>14299</v>
      </c>
      <c r="H442">
        <v>10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2831</v>
      </c>
      <c r="D443" s="2"/>
      <c r="E443" s="2" t="str">
        <f>IFERROR(VLOOKUP(1*LEFT(C443,7),DF!$A$1:$F$9446,2,FALSE),"")</f>
        <v>BOMB AMER GAB NEGRA 56/60 RER</v>
      </c>
      <c r="F443">
        <v>1120206</v>
      </c>
      <c r="G443" t="s">
        <v>14299</v>
      </c>
      <c r="H443">
        <v>10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3438</v>
      </c>
      <c r="D444" s="2"/>
      <c r="E444" s="2" t="str">
        <f>IFERROR(VLOOKUP(1*LEFT(C444,7),DF!$A$1:$F$9446,2,FALSE),"")</f>
        <v>BOMB AMER GAB NEGRA 62/66 RER</v>
      </c>
      <c r="F444">
        <v>1120206</v>
      </c>
      <c r="G444" t="s">
        <v>14299</v>
      </c>
      <c r="H444">
        <v>10</v>
      </c>
      <c r="I444">
        <v>1</v>
      </c>
    </row>
    <row r="445" spans="1:9" x14ac:dyDescent="0.25">
      <c r="A445" s="2">
        <v>16522</v>
      </c>
      <c r="B445" s="2" t="s">
        <v>4</v>
      </c>
      <c r="C445" s="2" t="str">
        <f>CONCATENATE(F445,"##")</f>
        <v>1120003##</v>
      </c>
      <c r="D445" s="2"/>
      <c r="E445" s="2" t="str">
        <f>IFERROR(VLOOKUP(1*LEFT(C445,7),DF!$A$1:$F$9446,2,FALSE),"")</f>
        <v>BOMB AMER GAB AZUL 34/48 RER</v>
      </c>
      <c r="F445">
        <v>1120003</v>
      </c>
      <c r="G445" t="s">
        <v>14300</v>
      </c>
      <c r="H445">
        <v>10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2839</v>
      </c>
      <c r="D446" s="2"/>
      <c r="E446" s="2" t="str">
        <f>IFERROR(VLOOKUP(1*LEFT(C446,7),DF!$A$1:$F$9446,2,FALSE),"")</f>
        <v>BOMB AMER GAB AZUL 50/54 RER</v>
      </c>
      <c r="F446">
        <v>1120003</v>
      </c>
      <c r="G446" t="s">
        <v>14300</v>
      </c>
      <c r="H446">
        <v>10</v>
      </c>
      <c r="I446">
        <v>1</v>
      </c>
    </row>
    <row r="447" spans="1:9" x14ac:dyDescent="0.25">
      <c r="A447" s="2">
        <v>16522</v>
      </c>
      <c r="B447" s="2" t="s">
        <v>4</v>
      </c>
      <c r="C447" s="2" t="s">
        <v>2847</v>
      </c>
      <c r="D447" s="2"/>
      <c r="E447" s="2" t="str">
        <f>IFERROR(VLOOKUP(1*LEFT(C447,7),DF!$A$1:$F$9446,2,FALSE),"")</f>
        <v>BOMB AMER GAB AZUL 56/60 RER</v>
      </c>
      <c r="F447">
        <v>1120003</v>
      </c>
      <c r="G447" t="s">
        <v>14300</v>
      </c>
      <c r="H447">
        <v>10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2855</v>
      </c>
      <c r="D448" s="2"/>
      <c r="E448" s="2" t="str">
        <f>IFERROR(VLOOKUP(1*LEFT(C448,7),DF!$A$1:$F$9446,2,FALSE),"")</f>
        <v>BOMB AMER GAB AZUL 62/66 RER</v>
      </c>
      <c r="F448">
        <v>1120003</v>
      </c>
      <c r="G448" t="s">
        <v>14300</v>
      </c>
      <c r="H448">
        <v>10</v>
      </c>
      <c r="I448">
        <v>1</v>
      </c>
    </row>
    <row r="449" spans="1:9" x14ac:dyDescent="0.25">
      <c r="A449" s="2">
        <v>16522</v>
      </c>
      <c r="B449" s="2" t="s">
        <v>4</v>
      </c>
      <c r="C449" s="2" t="str">
        <f>CONCATENATE(F449,"##")</f>
        <v>1120106##</v>
      </c>
      <c r="D449" s="2"/>
      <c r="E449" s="2" t="str">
        <f>IFERROR(VLOOKUP(1*LEFT(C449,7),DF!$A$1:$F$9446,2,FALSE),"")</f>
        <v>BOMB AMER GAB GRIS 34/48 RER</v>
      </c>
      <c r="F449">
        <v>1120106</v>
      </c>
      <c r="G449" t="s">
        <v>14301</v>
      </c>
      <c r="H449">
        <v>10</v>
      </c>
      <c r="I449">
        <v>1</v>
      </c>
    </row>
    <row r="450" spans="1:9" x14ac:dyDescent="0.25">
      <c r="A450" s="2">
        <v>16522</v>
      </c>
      <c r="B450" s="2" t="s">
        <v>4</v>
      </c>
      <c r="C450" s="2" t="s">
        <v>2807</v>
      </c>
      <c r="D450" s="2"/>
      <c r="E450" s="2" t="str">
        <f>IFERROR(VLOOKUP(1*LEFT(C450,7),DF!$A$1:$F$9446,2,FALSE),"")</f>
        <v>BOMB AMER GAB GRIS 50/54 RER</v>
      </c>
      <c r="F450">
        <v>1120106</v>
      </c>
      <c r="G450" t="s">
        <v>14301</v>
      </c>
      <c r="H450">
        <v>10</v>
      </c>
      <c r="I450">
        <v>1</v>
      </c>
    </row>
    <row r="451" spans="1:9" x14ac:dyDescent="0.25">
      <c r="A451" s="2">
        <v>16522</v>
      </c>
      <c r="B451" s="2" t="s">
        <v>4</v>
      </c>
      <c r="C451" s="2" t="s">
        <v>2815</v>
      </c>
      <c r="D451" s="2"/>
      <c r="E451" s="2" t="str">
        <f>IFERROR(VLOOKUP(1*LEFT(C451,7),DF!$A$1:$F$9446,2,FALSE),"")</f>
        <v>BOMB AMER GAB GRIS 56/60 RER</v>
      </c>
      <c r="F451">
        <v>1120106</v>
      </c>
      <c r="G451" t="s">
        <v>14301</v>
      </c>
      <c r="H451">
        <v>10</v>
      </c>
      <c r="I451">
        <v>1</v>
      </c>
    </row>
    <row r="452" spans="1:9" x14ac:dyDescent="0.25">
      <c r="A452" s="2">
        <v>16522</v>
      </c>
      <c r="B452" s="2" t="s">
        <v>4</v>
      </c>
      <c r="C452" s="2" t="s">
        <v>5889</v>
      </c>
      <c r="D452" s="2"/>
      <c r="E452" s="2" t="str">
        <f>IFERROR(VLOOKUP(1*LEFT(C452,7),DF!$A$1:$F$9446,2,FALSE),"")</f>
        <v>BOMB AMER GAB GRIS 62/66 RER</v>
      </c>
      <c r="F452">
        <v>1120106</v>
      </c>
      <c r="G452" t="s">
        <v>14301</v>
      </c>
      <c r="H452">
        <v>10</v>
      </c>
      <c r="I452">
        <v>1</v>
      </c>
    </row>
    <row r="453" spans="1:9" x14ac:dyDescent="0.25">
      <c r="A453" s="2">
        <v>16522</v>
      </c>
      <c r="B453" s="2" t="s">
        <v>4</v>
      </c>
      <c r="C453" s="2" t="str">
        <f>CONCATENATE(F453,"##")</f>
        <v>1120640##</v>
      </c>
      <c r="D453" s="2"/>
      <c r="E453" s="2" t="str">
        <f>IFERROR(VLOOKUP(1*LEFT(C453,7),DF!$A$1:$F$9446,2,FALSE),"")</f>
        <v>BOMB AMER RIP DIGITAL GRIS 34/48 RER</v>
      </c>
      <c r="F453">
        <v>1120640</v>
      </c>
      <c r="G453" t="s">
        <v>14302</v>
      </c>
      <c r="H453">
        <v>4</v>
      </c>
      <c r="I453">
        <v>1</v>
      </c>
    </row>
    <row r="454" spans="1:9" x14ac:dyDescent="0.25">
      <c r="A454" s="2">
        <v>16522</v>
      </c>
      <c r="B454" s="2" t="s">
        <v>4</v>
      </c>
      <c r="C454" s="2" t="s">
        <v>5543</v>
      </c>
      <c r="D454" s="2"/>
      <c r="E454" s="2" t="str">
        <f>IFERROR(VLOOKUP(1*LEFT(C454,7),DF!$A$1:$F$9446,2,FALSE),"")</f>
        <v>BOMB AMER RIP DIGITAL GRIS 50/54 RER</v>
      </c>
      <c r="F454">
        <v>1120640</v>
      </c>
      <c r="G454" t="s">
        <v>14302</v>
      </c>
      <c r="H454">
        <v>4</v>
      </c>
      <c r="I454">
        <v>1</v>
      </c>
    </row>
    <row r="455" spans="1:9" x14ac:dyDescent="0.25">
      <c r="A455" s="2">
        <v>16522</v>
      </c>
      <c r="B455" s="2" t="s">
        <v>4</v>
      </c>
      <c r="C455" s="2" t="s">
        <v>5551</v>
      </c>
      <c r="D455" s="2"/>
      <c r="E455" s="2" t="str">
        <f>IFERROR(VLOOKUP(1*LEFT(C455,7),DF!$A$1:$F$9446,2,FALSE),"")</f>
        <v>BOMB AMER RIP DIGITAL GRIS 56/60 RER</v>
      </c>
      <c r="F455">
        <v>1120640</v>
      </c>
      <c r="G455" t="s">
        <v>14302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">
        <v>14287</v>
      </c>
      <c r="D456" s="2"/>
      <c r="E456" s="2" t="str">
        <f>IFERROR(VLOOKUP(1*LEFT(C456,7),DF!$A$1:$F$9446,2,FALSE),"")</f>
        <v>BOMB AMER RIP DIGITAL GRIS 62/66 RER</v>
      </c>
      <c r="F456">
        <v>1120640</v>
      </c>
      <c r="G456" t="s">
        <v>14302</v>
      </c>
      <c r="H456">
        <v>4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>CONCATENATE(F457,"##")</f>
        <v>1120850##</v>
      </c>
      <c r="D457" s="2"/>
      <c r="E457" s="2" t="str">
        <f>IFERROR(VLOOKUP(1*LEFT(C457,7),DF!$A$1:$F$9446,2,FALSE),"")</f>
        <v>BOMB AMER RIP INFANTERIA 34/48 RER</v>
      </c>
      <c r="F457">
        <v>1120850</v>
      </c>
      <c r="G457" t="s">
        <v>14303</v>
      </c>
      <c r="H457">
        <v>4</v>
      </c>
      <c r="I457">
        <v>1</v>
      </c>
    </row>
    <row r="458" spans="1:9" x14ac:dyDescent="0.25">
      <c r="A458" s="2">
        <v>16522</v>
      </c>
      <c r="B458" s="2" t="s">
        <v>4</v>
      </c>
      <c r="C458" s="2" t="s">
        <v>6641</v>
      </c>
      <c r="D458" s="2"/>
      <c r="E458" s="2" t="str">
        <f>IFERROR(VLOOKUP(1*LEFT(C458,7),DF!$A$1:$F$9446,2,FALSE),"")</f>
        <v>BOMB AMER RIP INFANTERIA 50/54 RER</v>
      </c>
      <c r="F458">
        <v>1120850</v>
      </c>
      <c r="G458" t="s">
        <v>14303</v>
      </c>
      <c r="H458">
        <v>4</v>
      </c>
      <c r="I458">
        <v>1</v>
      </c>
    </row>
    <row r="459" spans="1:9" x14ac:dyDescent="0.25">
      <c r="A459" s="2">
        <v>16522</v>
      </c>
      <c r="B459" s="2" t="s">
        <v>4</v>
      </c>
      <c r="C459" s="2" t="s">
        <v>6649</v>
      </c>
      <c r="D459" s="2"/>
      <c r="E459" s="2" t="str">
        <f>IFERROR(VLOOKUP(1*LEFT(C459,7),DF!$A$1:$F$9446,2,FALSE),"")</f>
        <v>BOMB AMER RIP INFANTERIA 56/60 RER</v>
      </c>
      <c r="F459">
        <v>1120850</v>
      </c>
      <c r="G459" t="s">
        <v>14303</v>
      </c>
      <c r="H459">
        <v>4</v>
      </c>
      <c r="I459">
        <v>1</v>
      </c>
    </row>
    <row r="460" spans="1:9" x14ac:dyDescent="0.25">
      <c r="A460" s="2">
        <v>16522</v>
      </c>
      <c r="B460" s="2" t="s">
        <v>4</v>
      </c>
      <c r="C460" s="2" t="s">
        <v>14288</v>
      </c>
      <c r="D460" s="2"/>
      <c r="E460" s="2" t="str">
        <f>IFERROR(VLOOKUP(1*LEFT(C460,7),DF!$A$1:$F$9446,2,FALSE),"")</f>
        <v>BOMB AMER RIP INFANTERIA 62/66 RER</v>
      </c>
      <c r="F460">
        <v>1120850</v>
      </c>
      <c r="G460" t="s">
        <v>14303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>CONCATENATE(F461,"##")</f>
        <v>1120950##</v>
      </c>
      <c r="D461" s="2"/>
      <c r="E461" s="2" t="str">
        <f>IFERROR(VLOOKUP(1*LEFT(C461,7),DF!$A$1:$F$9446,2,FALSE),"")</f>
        <v>BOMB AMER RIP REQUISA 34/48 RER</v>
      </c>
      <c r="F461">
        <v>1120950</v>
      </c>
      <c r="G461" t="s">
        <v>14304</v>
      </c>
      <c r="H461">
        <v>4</v>
      </c>
      <c r="I461">
        <v>1</v>
      </c>
    </row>
    <row r="462" spans="1:9" x14ac:dyDescent="0.25">
      <c r="A462" s="2">
        <v>16522</v>
      </c>
      <c r="B462" s="2" t="s">
        <v>4</v>
      </c>
      <c r="C462" s="2" t="s">
        <v>4105</v>
      </c>
      <c r="D462" s="2"/>
      <c r="E462" s="2" t="str">
        <f>IFERROR(VLOOKUP(1*LEFT(C462,7),DF!$A$1:$F$9446,2,FALSE),"")</f>
        <v>BOMB AMER RIP REQUISA 50/54 RER</v>
      </c>
      <c r="F462">
        <v>1120950</v>
      </c>
      <c r="G462" t="s">
        <v>14304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">
        <v>14289</v>
      </c>
      <c r="D463" s="2"/>
      <c r="E463" s="2" t="str">
        <f>IFERROR(VLOOKUP(1*LEFT(C463,7),DF!$A$1:$F$9446,2,FALSE),"")</f>
        <v>BOMB AMER RIP REQUISA 56/60 RER</v>
      </c>
      <c r="F463">
        <v>1120950</v>
      </c>
      <c r="G463" t="s">
        <v>14304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">
        <v>14290</v>
      </c>
      <c r="D464" s="2"/>
      <c r="E464" s="2" t="str">
        <f>IFERROR(VLOOKUP(1*LEFT(C464,7),DF!$A$1:$F$9446,2,FALSE),"")</f>
        <v>BOMB AMER RIP REQUISA 62/66 RER</v>
      </c>
      <c r="F464">
        <v>1120950</v>
      </c>
      <c r="G464" t="s">
        <v>14304</v>
      </c>
      <c r="H464">
        <v>4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>CONCATENATE(F465,"##")</f>
        <v>1120130##</v>
      </c>
      <c r="D465" s="2"/>
      <c r="E465" s="2" t="str">
        <f>IFERROR(VLOOKUP(1*LEFT(C465,7),DF!$A$1:$F$9446,2,FALSE),"")</f>
        <v>BOMB CLAS GAB PENIT FEDERAL 34/48 RER</v>
      </c>
      <c r="F465">
        <v>1120130</v>
      </c>
      <c r="G465" t="s">
        <v>14305</v>
      </c>
      <c r="H465">
        <v>2</v>
      </c>
      <c r="I465">
        <v>1</v>
      </c>
    </row>
    <row r="466" spans="1:9" x14ac:dyDescent="0.25">
      <c r="A466" s="2">
        <v>16522</v>
      </c>
      <c r="B466" s="2" t="s">
        <v>4</v>
      </c>
      <c r="C466" s="2" t="s">
        <v>4553</v>
      </c>
      <c r="D466" s="2"/>
      <c r="E466" s="2" t="str">
        <f>IFERROR(VLOOKUP(1*LEFT(C466,7),DF!$A$1:$F$9446,2,FALSE),"")</f>
        <v>BOMB CLAS GAB PENIT FEDERAL 50/54 RER</v>
      </c>
      <c r="F466">
        <v>1120130</v>
      </c>
      <c r="G466" t="s">
        <v>14305</v>
      </c>
      <c r="H466">
        <v>2</v>
      </c>
      <c r="I466">
        <v>1</v>
      </c>
    </row>
    <row r="467" spans="1:9" x14ac:dyDescent="0.25">
      <c r="A467" s="2">
        <v>16522</v>
      </c>
      <c r="B467" s="2" t="s">
        <v>4</v>
      </c>
      <c r="C467" s="2" t="s">
        <v>14291</v>
      </c>
      <c r="D467" s="2"/>
      <c r="E467" s="2" t="str">
        <f>IFERROR(VLOOKUP(1*LEFT(C467,7),DF!$A$1:$F$9446,2,FALSE),"")</f>
        <v>BOMB CLAS GAB PENIT FEDERAL 56/60 RER</v>
      </c>
      <c r="F467">
        <v>1120130</v>
      </c>
      <c r="G467" t="s">
        <v>14305</v>
      </c>
      <c r="H467">
        <v>2</v>
      </c>
      <c r="I467">
        <v>1</v>
      </c>
    </row>
    <row r="468" spans="1:9" x14ac:dyDescent="0.25">
      <c r="A468" s="2">
        <v>16522</v>
      </c>
      <c r="B468" s="2" t="s">
        <v>4</v>
      </c>
      <c r="C468" s="2" t="s">
        <v>14292</v>
      </c>
      <c r="D468" s="2"/>
      <c r="E468" s="2" t="str">
        <f>IFERROR(VLOOKUP(1*LEFT(C468,7),DF!$A$1:$F$9446,2,FALSE),"")</f>
        <v>BOMB CLAS GAB PENIT FEDERAL 62/66 RER</v>
      </c>
      <c r="F468">
        <v>1120130</v>
      </c>
      <c r="G468" t="s">
        <v>14305</v>
      </c>
      <c r="H468">
        <v>2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>CONCATENATE(F469,"##")</f>
        <v>1120500##</v>
      </c>
      <c r="D469" s="2"/>
      <c r="E469" s="2" t="str">
        <f>IFERROR(VLOOKUP(1*LEFT(C469,7),DF!$A$1:$F$9446,2,FALSE),"")</f>
        <v>BOMB JAZAK RIP AZUL 34/48 RER</v>
      </c>
      <c r="F469">
        <v>1120500</v>
      </c>
      <c r="G469" t="s">
        <v>14306</v>
      </c>
      <c r="H469">
        <v>6</v>
      </c>
      <c r="I469">
        <v>1</v>
      </c>
    </row>
    <row r="470" spans="1:9" x14ac:dyDescent="0.25">
      <c r="A470" s="2">
        <v>16522</v>
      </c>
      <c r="B470" s="2" t="s">
        <v>4</v>
      </c>
      <c r="C470" s="2" t="s">
        <v>2309</v>
      </c>
      <c r="D470" s="2"/>
      <c r="E470" s="2" t="str">
        <f>IFERROR(VLOOKUP(1*LEFT(C470,7),DF!$A$1:$F$9446,2,FALSE),"")</f>
        <v>BOMB JAZAK RIP AZUL 50/54 RER</v>
      </c>
      <c r="F470">
        <v>1120500</v>
      </c>
      <c r="G470" t="s">
        <v>14306</v>
      </c>
      <c r="H470">
        <v>6</v>
      </c>
      <c r="I470">
        <v>1</v>
      </c>
    </row>
    <row r="471" spans="1:9" x14ac:dyDescent="0.25">
      <c r="A471" s="2">
        <v>16522</v>
      </c>
      <c r="B471" s="2" t="s">
        <v>4</v>
      </c>
      <c r="C471" s="2" t="s">
        <v>5383</v>
      </c>
      <c r="D471" s="2"/>
      <c r="E471" s="2" t="str">
        <f>IFERROR(VLOOKUP(1*LEFT(C471,7),DF!$A$1:$F$9446,2,FALSE),"")</f>
        <v>BOMB JAZAK RIP AZUL 56/60 RER</v>
      </c>
      <c r="F471">
        <v>1120500</v>
      </c>
      <c r="G471" t="s">
        <v>14306</v>
      </c>
      <c r="H471">
        <v>6</v>
      </c>
      <c r="I471">
        <v>1</v>
      </c>
    </row>
    <row r="472" spans="1:9" x14ac:dyDescent="0.25">
      <c r="A472" s="2">
        <v>16522</v>
      </c>
      <c r="B472" s="2" t="s">
        <v>4</v>
      </c>
      <c r="C472" s="2" t="s">
        <v>14293</v>
      </c>
      <c r="D472" s="2"/>
      <c r="E472" s="2" t="str">
        <f>IFERROR(VLOOKUP(1*LEFT(C472,7),DF!$A$1:$F$9446,2,FALSE),"")</f>
        <v>BOMB JAZAK RIP AZUL 62/66 RER</v>
      </c>
      <c r="F472">
        <v>1120500</v>
      </c>
      <c r="G472" t="s">
        <v>14306</v>
      </c>
      <c r="H472">
        <v>6</v>
      </c>
      <c r="I472">
        <v>1</v>
      </c>
    </row>
    <row r="473" spans="1:9" x14ac:dyDescent="0.25">
      <c r="A473" s="2">
        <v>16522</v>
      </c>
      <c r="B473" s="2" t="s">
        <v>4</v>
      </c>
      <c r="C473" s="2" t="str">
        <f>CONCATENATE(F473,"##")</f>
        <v>1120504##</v>
      </c>
      <c r="D473" s="2"/>
      <c r="E473" s="2" t="str">
        <f>IFERROR(VLOOKUP(1*LEFT(C473,7),DF!$A$1:$F$9446,2,FALSE),"")</f>
        <v>BOMB JAZAK RIP NEGRO 34/48 RER</v>
      </c>
      <c r="F473">
        <v>1120504</v>
      </c>
      <c r="G473" t="s">
        <v>14307</v>
      </c>
      <c r="H473">
        <v>6</v>
      </c>
      <c r="I473">
        <v>1</v>
      </c>
    </row>
    <row r="474" spans="1:9" x14ac:dyDescent="0.25">
      <c r="A474" s="2">
        <v>16522</v>
      </c>
      <c r="B474" s="2" t="s">
        <v>4</v>
      </c>
      <c r="C474" s="2" t="s">
        <v>2301</v>
      </c>
      <c r="D474" s="2"/>
      <c r="E474" s="2" t="str">
        <f>IFERROR(VLOOKUP(1*LEFT(C474,7),DF!$A$1:$F$9446,2,FALSE),"")</f>
        <v>BOMB JAZAK RIP NEGRO 50/54 RER</v>
      </c>
      <c r="F474">
        <v>1120504</v>
      </c>
      <c r="G474" t="s">
        <v>14307</v>
      </c>
      <c r="H474">
        <v>6</v>
      </c>
      <c r="I474">
        <v>1</v>
      </c>
    </row>
    <row r="475" spans="1:9" x14ac:dyDescent="0.25">
      <c r="A475" s="2">
        <v>16522</v>
      </c>
      <c r="B475" s="2" t="s">
        <v>4</v>
      </c>
      <c r="C475" s="2" t="s">
        <v>2513</v>
      </c>
      <c r="D475" s="2"/>
      <c r="E475" s="2" t="str">
        <f>IFERROR(VLOOKUP(1*LEFT(C475,7),DF!$A$1:$F$9446,2,FALSE),"")</f>
        <v>BOMB JAZAK RIP NEGRO 56/60 RER</v>
      </c>
      <c r="F475">
        <v>1120504</v>
      </c>
      <c r="G475" t="s">
        <v>14307</v>
      </c>
      <c r="H475">
        <v>6</v>
      </c>
      <c r="I475">
        <v>1</v>
      </c>
    </row>
    <row r="476" spans="1:9" x14ac:dyDescent="0.25">
      <c r="A476" s="2">
        <v>16522</v>
      </c>
      <c r="B476" s="2" t="s">
        <v>4</v>
      </c>
      <c r="C476" s="2" t="s">
        <v>14294</v>
      </c>
      <c r="D476" s="2"/>
      <c r="E476" s="2" t="str">
        <f>IFERROR(VLOOKUP(1*LEFT(C476,7),DF!$A$1:$F$9446,2,FALSE),"")</f>
        <v>BOMB JAZAK RIP NEGRO 62/66 RER</v>
      </c>
      <c r="F476">
        <v>1120504</v>
      </c>
      <c r="G476" t="s">
        <v>14307</v>
      </c>
      <c r="H476">
        <v>6</v>
      </c>
      <c r="I476">
        <v>1</v>
      </c>
    </row>
    <row r="477" spans="1:9" x14ac:dyDescent="0.25">
      <c r="A477" s="2">
        <v>16522</v>
      </c>
      <c r="B477" s="2" t="s">
        <v>4</v>
      </c>
      <c r="C477" s="2" t="str">
        <f>CONCATENATE(F477,"##")</f>
        <v>1120060##</v>
      </c>
      <c r="D477" s="2"/>
      <c r="E477" s="2" t="str">
        <f>IFERROR(VLOOKUP(1*LEFT(C477,7),DF!$A$1:$F$9446,2,FALSE),"")</f>
        <v>BOMB JAZAK RIP GRIS 34/48 RER</v>
      </c>
      <c r="F477">
        <v>1120060</v>
      </c>
      <c r="G477" t="s">
        <v>14308</v>
      </c>
      <c r="H477">
        <v>6</v>
      </c>
      <c r="I477">
        <v>1</v>
      </c>
    </row>
    <row r="478" spans="1:9" x14ac:dyDescent="0.25">
      <c r="A478" s="2">
        <v>16522</v>
      </c>
      <c r="B478" s="2" t="s">
        <v>4</v>
      </c>
      <c r="C478" s="2" t="s">
        <v>4587</v>
      </c>
      <c r="D478" s="2"/>
      <c r="E478" s="2" t="str">
        <f>IFERROR(VLOOKUP(1*LEFT(C478,7),DF!$A$1:$F$9446,2,FALSE),"")</f>
        <v>BOMB JAZAK RIP GRIS 50/54 RER</v>
      </c>
      <c r="F478">
        <v>1120060</v>
      </c>
      <c r="G478" t="s">
        <v>14308</v>
      </c>
      <c r="H478">
        <v>6</v>
      </c>
      <c r="I478">
        <v>1</v>
      </c>
    </row>
    <row r="479" spans="1:9" x14ac:dyDescent="0.25">
      <c r="A479" s="2">
        <v>16522</v>
      </c>
      <c r="B479" s="2" t="s">
        <v>4</v>
      </c>
      <c r="C479" s="2" t="s">
        <v>7008</v>
      </c>
      <c r="D479" s="2"/>
      <c r="E479" s="2" t="str">
        <f>IFERROR(VLOOKUP(1*LEFT(C479,7),DF!$A$1:$F$9446,2,FALSE),"")</f>
        <v>BOMB JAZAK RIP GRIS 56/60 RER</v>
      </c>
      <c r="F479">
        <v>1120060</v>
      </c>
      <c r="G479" t="s">
        <v>14308</v>
      </c>
      <c r="H479">
        <v>6</v>
      </c>
      <c r="I479">
        <v>1</v>
      </c>
    </row>
    <row r="480" spans="1:9" x14ac:dyDescent="0.25">
      <c r="A480" s="2">
        <v>16522</v>
      </c>
      <c r="B480" s="2" t="s">
        <v>4</v>
      </c>
      <c r="C480" s="2" t="s">
        <v>7009</v>
      </c>
      <c r="D480" s="2"/>
      <c r="E480" s="2" t="str">
        <f>IFERROR(VLOOKUP(1*LEFT(C480,7),DF!$A$1:$F$9446,2,FALSE),"")</f>
        <v>BOMB JAZAK RIP GRIS 62/64 RER</v>
      </c>
      <c r="F480">
        <v>1120060</v>
      </c>
      <c r="G480" t="s">
        <v>14308</v>
      </c>
      <c r="H480">
        <v>6</v>
      </c>
      <c r="I480">
        <v>1</v>
      </c>
    </row>
    <row r="481" spans="1:9" x14ac:dyDescent="0.25">
      <c r="A481" s="2">
        <v>16522</v>
      </c>
      <c r="B481" s="2" t="s">
        <v>4</v>
      </c>
      <c r="C481" s="2" t="str">
        <f>CONCATENATE(F481,"##")</f>
        <v>1120055##</v>
      </c>
      <c r="D481" s="2"/>
      <c r="E481" s="2" t="str">
        <f>IFERROR(VLOOKUP(1*LEFT(C481,7),DF!$A$1:$F$9446,2,FALSE),"")</f>
        <v>BOMB JAZAK RIP BEIGE 34/48 RER</v>
      </c>
      <c r="F481">
        <v>1120055</v>
      </c>
      <c r="G481" t="s">
        <v>14309</v>
      </c>
      <c r="H481">
        <v>3</v>
      </c>
      <c r="I481">
        <v>1</v>
      </c>
    </row>
    <row r="482" spans="1:9" x14ac:dyDescent="0.25">
      <c r="A482" s="2">
        <v>16522</v>
      </c>
      <c r="B482" s="2" t="s">
        <v>4</v>
      </c>
      <c r="C482" s="2" t="s">
        <v>6517</v>
      </c>
      <c r="D482" s="2"/>
      <c r="E482" s="2" t="str">
        <f>IFERROR(VLOOKUP(1*LEFT(C482,7),DF!$A$1:$F$9446,2,FALSE),"")</f>
        <v>BOMB JAZAK RIP BEIGE 50/54 RER</v>
      </c>
      <c r="F482">
        <v>1120055</v>
      </c>
      <c r="G482" t="s">
        <v>14309</v>
      </c>
      <c r="H482">
        <v>3</v>
      </c>
      <c r="I482">
        <v>1</v>
      </c>
    </row>
    <row r="483" spans="1:9" x14ac:dyDescent="0.25">
      <c r="A483" s="2">
        <v>16522</v>
      </c>
      <c r="B483" s="2" t="s">
        <v>4</v>
      </c>
      <c r="C483" s="2" t="s">
        <v>14295</v>
      </c>
      <c r="D483" s="2"/>
      <c r="E483" s="2" t="str">
        <f>IFERROR(VLOOKUP(1*LEFT(C483,7),DF!$A$1:$F$9446,2,FALSE),"")</f>
        <v>BOMB JAZAK RIP BEIGE 56/60 RER</v>
      </c>
      <c r="F483">
        <v>1120055</v>
      </c>
      <c r="G483" t="s">
        <v>14309</v>
      </c>
      <c r="H483">
        <v>3</v>
      </c>
      <c r="I483">
        <v>1</v>
      </c>
    </row>
    <row r="484" spans="1:9" x14ac:dyDescent="0.25">
      <c r="A484" s="2">
        <v>16522</v>
      </c>
      <c r="B484" s="2" t="s">
        <v>4</v>
      </c>
      <c r="C484" s="2" t="s">
        <v>14296</v>
      </c>
      <c r="D484" s="2"/>
      <c r="E484" s="2" t="str">
        <f>IFERROR(VLOOKUP(1*LEFT(C484,7),DF!$A$1:$F$9446,2,FALSE),"")</f>
        <v>BOMB JAZAK RIP BEIGE 62/66 RER</v>
      </c>
      <c r="F484">
        <v>1120055</v>
      </c>
      <c r="G484" t="s">
        <v>14309</v>
      </c>
      <c r="H484">
        <v>3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>CONCATENATE(F485,"##")</f>
        <v>1120789##</v>
      </c>
      <c r="D485" s="2"/>
      <c r="E485" s="2" t="str">
        <f>IFERROR(VLOOKUP(1*LEFT(C485,7),DF!$A$1:$F$9446,2,FALSE),"")</f>
        <v>BOMB CONDOR RIP NEGRA 36/48 RER</v>
      </c>
      <c r="F485">
        <v>1120789</v>
      </c>
      <c r="G485" t="s">
        <v>14310</v>
      </c>
      <c r="H485">
        <v>6</v>
      </c>
      <c r="I485">
        <v>1</v>
      </c>
    </row>
    <row r="486" spans="1:9" x14ac:dyDescent="0.25">
      <c r="A486" s="2">
        <v>16522</v>
      </c>
      <c r="B486" s="2" t="s">
        <v>4</v>
      </c>
      <c r="C486" s="2" t="s">
        <v>3368</v>
      </c>
      <c r="D486" s="2"/>
      <c r="E486" s="2" t="str">
        <f>IFERROR(VLOOKUP(1*LEFT(C486,7),DF!$A$1:$F$9446,2,FALSE),"")</f>
        <v>BOMB CONDOR RIP NEGRA 50/54 RER</v>
      </c>
      <c r="F486">
        <v>1120789</v>
      </c>
      <c r="G486" t="s">
        <v>14310</v>
      </c>
      <c r="H486">
        <v>6</v>
      </c>
      <c r="I486">
        <v>1</v>
      </c>
    </row>
    <row r="487" spans="1:9" x14ac:dyDescent="0.25">
      <c r="A487" s="2">
        <v>16522</v>
      </c>
      <c r="B487" s="2" t="s">
        <v>4</v>
      </c>
      <c r="C487" s="2" t="s">
        <v>3376</v>
      </c>
      <c r="D487" s="2"/>
      <c r="E487" s="2" t="str">
        <f>IFERROR(VLOOKUP(1*LEFT(C487,7),DF!$A$1:$F$9446,2,FALSE),"")</f>
        <v>BOMB CONDOR RIP NEGRA 56/60 RER</v>
      </c>
      <c r="F487">
        <v>1120789</v>
      </c>
      <c r="G487" t="s">
        <v>14310</v>
      </c>
      <c r="H487">
        <v>6</v>
      </c>
      <c r="I487">
        <v>1</v>
      </c>
    </row>
    <row r="488" spans="1:9" x14ac:dyDescent="0.25">
      <c r="A488" s="2">
        <v>16522</v>
      </c>
      <c r="B488" s="2" t="s">
        <v>4</v>
      </c>
      <c r="C488" s="2" t="s">
        <v>14297</v>
      </c>
      <c r="D488" s="2"/>
      <c r="E488" s="2" t="str">
        <f>IFERROR(VLOOKUP(1*LEFT(C488,7),DF!$A$1:$F$9446,2,FALSE),"")</f>
        <v>BOMB CONDOR RIP NEGRA 62/66 RER</v>
      </c>
      <c r="F488">
        <v>1120789</v>
      </c>
      <c r="G488" t="s">
        <v>14310</v>
      </c>
      <c r="H488">
        <v>6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>CONCATENATE(F489,"##")</f>
        <v>1120001##</v>
      </c>
      <c r="D489" s="2"/>
      <c r="E489" s="2" t="str">
        <f>IFERROR(VLOOKUP(1*LEFT(C489,7),DF!$A$1:$F$9446,2,FALSE),"")</f>
        <v>BOMB CONDOR RIP AZUL 36/48 RER</v>
      </c>
      <c r="F489">
        <v>1120001</v>
      </c>
      <c r="G489" t="s">
        <v>14311</v>
      </c>
      <c r="H489">
        <v>5</v>
      </c>
      <c r="I489">
        <v>1</v>
      </c>
    </row>
    <row r="490" spans="1:9" x14ac:dyDescent="0.25">
      <c r="A490" s="2">
        <v>16522</v>
      </c>
      <c r="B490" s="2" t="s">
        <v>4</v>
      </c>
      <c r="C490" s="2" t="s">
        <v>3382</v>
      </c>
      <c r="D490" s="2"/>
      <c r="E490" s="2" t="str">
        <f>IFERROR(VLOOKUP(1*LEFT(C490,7),DF!$A$1:$F$9446,2,FALSE),"")</f>
        <v>BOMB CONDOR RIP AZUL 50/54 RER</v>
      </c>
      <c r="F490">
        <v>1120001</v>
      </c>
      <c r="G490" t="s">
        <v>14311</v>
      </c>
      <c r="H490">
        <v>5</v>
      </c>
      <c r="I490">
        <v>1</v>
      </c>
    </row>
    <row r="491" spans="1:9" x14ac:dyDescent="0.25">
      <c r="A491" s="2">
        <v>16522</v>
      </c>
      <c r="B491" s="2" t="s">
        <v>4</v>
      </c>
      <c r="C491" s="2" t="s">
        <v>3390</v>
      </c>
      <c r="D491" s="2"/>
      <c r="E491" s="2" t="str">
        <f>IFERROR(VLOOKUP(1*LEFT(C491,7),DF!$A$1:$F$9446,2,FALSE),"")</f>
        <v>BOMB CONDOR RIP AZUL 56/60 RER</v>
      </c>
      <c r="F491">
        <v>1120001</v>
      </c>
      <c r="G491" t="s">
        <v>14311</v>
      </c>
      <c r="H491">
        <v>5</v>
      </c>
      <c r="I491">
        <v>1</v>
      </c>
    </row>
    <row r="492" spans="1:9" x14ac:dyDescent="0.25">
      <c r="A492" s="2">
        <v>16522</v>
      </c>
      <c r="B492" s="2" t="s">
        <v>4</v>
      </c>
      <c r="C492" s="2" t="s">
        <v>14298</v>
      </c>
      <c r="D492" s="2"/>
      <c r="E492" s="2" t="str">
        <f>IFERROR(VLOOKUP(1*LEFT(C492,7),DF!$A$1:$F$9446,2,FALSE),"")</f>
        <v>BOMB CONDOR RIP AZUL 62/66 RER</v>
      </c>
      <c r="F492">
        <v>1120001</v>
      </c>
      <c r="G492" t="s">
        <v>14311</v>
      </c>
      <c r="H492">
        <v>5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>CONCATENATE(F493,"##")</f>
        <v>1120764##</v>
      </c>
      <c r="D493" s="2"/>
      <c r="E493" s="2" t="str">
        <f>IFERROR(VLOOKUP(1*LEFT(C493,7),DF!$A$1:$F$9446,2,FALSE),"")</f>
        <v>PANT AZUL DE POLICIA 36/48 RER</v>
      </c>
      <c r="F493">
        <v>1120764</v>
      </c>
      <c r="G493" t="s">
        <v>14335</v>
      </c>
      <c r="H493">
        <v>5</v>
      </c>
      <c r="I493">
        <v>1</v>
      </c>
    </row>
    <row r="494" spans="1:9" x14ac:dyDescent="0.25">
      <c r="A494" s="2">
        <v>16522</v>
      </c>
      <c r="B494" s="2" t="s">
        <v>4</v>
      </c>
      <c r="C494" s="2" t="s">
        <v>2667</v>
      </c>
      <c r="D494" s="2"/>
      <c r="E494" s="2" t="str">
        <f>IFERROR(VLOOKUP(1*LEFT(C494,7),DF!$A$1:$F$9446,2,FALSE),"")</f>
        <v>PANT AZUL DE POLICIA 50/54 RER</v>
      </c>
      <c r="F494">
        <v>1120764</v>
      </c>
      <c r="G494" t="s">
        <v>14335</v>
      </c>
      <c r="H494">
        <v>5</v>
      </c>
      <c r="I494">
        <v>1</v>
      </c>
    </row>
    <row r="495" spans="1:9" x14ac:dyDescent="0.25">
      <c r="A495" s="2">
        <v>16522</v>
      </c>
      <c r="B495" s="2" t="s">
        <v>4</v>
      </c>
      <c r="C495" s="2" t="s">
        <v>2675</v>
      </c>
      <c r="D495" s="2"/>
      <c r="E495" s="2" t="str">
        <f>IFERROR(VLOOKUP(1*LEFT(C495,7),DF!$A$1:$F$9446,2,FALSE),"")</f>
        <v>PANT AZUL DE POLICIA 56/60 RER</v>
      </c>
      <c r="F495">
        <v>1120764</v>
      </c>
      <c r="G495" t="s">
        <v>14335</v>
      </c>
      <c r="H495">
        <v>5</v>
      </c>
      <c r="I495">
        <v>1</v>
      </c>
    </row>
    <row r="496" spans="1:9" x14ac:dyDescent="0.25">
      <c r="A496" s="2">
        <v>16522</v>
      </c>
      <c r="B496" s="2" t="s">
        <v>4</v>
      </c>
      <c r="C496" s="2" t="s">
        <v>2683</v>
      </c>
      <c r="D496" s="2"/>
      <c r="E496" s="2" t="str">
        <f>IFERROR(VLOOKUP(1*LEFT(C496,7),DF!$A$1:$F$9446,2,FALSE),"")</f>
        <v>PANT AZUL DE POLICIA 62/66 RER</v>
      </c>
      <c r="F496">
        <v>1120764</v>
      </c>
      <c r="G496" t="s">
        <v>14335</v>
      </c>
      <c r="H496">
        <v>5</v>
      </c>
      <c r="I496">
        <v>1</v>
      </c>
    </row>
    <row r="497" spans="1:9" x14ac:dyDescent="0.25">
      <c r="A497" s="2">
        <v>16522</v>
      </c>
      <c r="B497" s="2" t="s">
        <v>4</v>
      </c>
      <c r="C497" s="2" t="str">
        <f>CONCATENATE(F497,"##")</f>
        <v>1120280##</v>
      </c>
      <c r="D497" s="2"/>
      <c r="E497" s="2" t="str">
        <f>IFERROR(VLOOKUP(1*LEFT(C497,7),DF!$A$1:$F$9446,2,FALSE),"")</f>
        <v>PANT NEGRO GABARDINA 34/48 RER</v>
      </c>
      <c r="F497">
        <v>1120280</v>
      </c>
      <c r="G497" t="s">
        <v>14336</v>
      </c>
      <c r="H497">
        <v>5</v>
      </c>
      <c r="I497">
        <v>1</v>
      </c>
    </row>
    <row r="498" spans="1:9" x14ac:dyDescent="0.25">
      <c r="A498" s="2">
        <v>16522</v>
      </c>
      <c r="B498" s="2" t="s">
        <v>4</v>
      </c>
      <c r="C498" s="2" t="s">
        <v>3446</v>
      </c>
      <c r="D498" s="2"/>
      <c r="E498" s="2" t="str">
        <f>IFERROR(VLOOKUP(1*LEFT(C498,7),DF!$A$1:$F$9446,2,FALSE),"")</f>
        <v>PANT NEGRO GABARDINA 50/54 RER</v>
      </c>
      <c r="F498">
        <v>1120280</v>
      </c>
      <c r="G498" t="s">
        <v>14336</v>
      </c>
      <c r="H498">
        <v>5</v>
      </c>
      <c r="I498">
        <v>1</v>
      </c>
    </row>
    <row r="499" spans="1:9" x14ac:dyDescent="0.25">
      <c r="A499" s="2">
        <v>16522</v>
      </c>
      <c r="B499" s="2" t="s">
        <v>4</v>
      </c>
      <c r="C499" s="2" t="s">
        <v>2659</v>
      </c>
      <c r="D499" s="2"/>
      <c r="E499" s="2" t="str">
        <f>IFERROR(VLOOKUP(1*LEFT(C499,7),DF!$A$1:$F$9446,2,FALSE),"")</f>
        <v>PANT NEGRO GABARDINA 56/60 RER</v>
      </c>
      <c r="F499">
        <v>1120280</v>
      </c>
      <c r="G499" t="s">
        <v>14336</v>
      </c>
      <c r="H499">
        <v>5</v>
      </c>
      <c r="I499">
        <v>1</v>
      </c>
    </row>
    <row r="500" spans="1:9" x14ac:dyDescent="0.25">
      <c r="A500" s="2">
        <v>16522</v>
      </c>
      <c r="B500" s="2" t="s">
        <v>4</v>
      </c>
      <c r="C500" s="2" t="s">
        <v>14324</v>
      </c>
      <c r="D500" s="2"/>
      <c r="E500" s="2" t="str">
        <f>IFERROR(VLOOKUP(1*LEFT(C500,7),DF!$A$1:$F$9446,2,FALSE),"")</f>
        <v>PANT NEGRO GABARDINA 62/66 RER</v>
      </c>
      <c r="F500">
        <v>1120280</v>
      </c>
      <c r="G500" t="s">
        <v>14336</v>
      </c>
      <c r="H500">
        <v>5</v>
      </c>
      <c r="I500">
        <v>1</v>
      </c>
    </row>
    <row r="501" spans="1:9" x14ac:dyDescent="0.25">
      <c r="A501" s="2">
        <v>16522</v>
      </c>
      <c r="B501" s="2" t="s">
        <v>4</v>
      </c>
      <c r="C501" s="2" t="str">
        <f>CONCATENATE(F501,"##")</f>
        <v>1120840##</v>
      </c>
      <c r="D501" s="2"/>
      <c r="E501" s="2" t="str">
        <f>IFERROR(VLOOKUP(1*LEFT(C501,7),DF!$A$1:$F$9446,2,FALSE),"")</f>
        <v>PANT GRIS GABARDINA 36/48 RER</v>
      </c>
      <c r="F501">
        <v>1120840</v>
      </c>
      <c r="G501" t="s">
        <v>14337</v>
      </c>
      <c r="H501">
        <v>5</v>
      </c>
      <c r="I501">
        <v>1</v>
      </c>
    </row>
    <row r="502" spans="1:9" x14ac:dyDescent="0.25">
      <c r="A502" s="2">
        <v>16522</v>
      </c>
      <c r="B502" s="2" t="s">
        <v>4</v>
      </c>
      <c r="C502" s="2" t="s">
        <v>2685</v>
      </c>
      <c r="D502" s="2"/>
      <c r="E502" s="2" t="str">
        <f>IFERROR(VLOOKUP(1*LEFT(C502,7),DF!$A$1:$F$9446,2,FALSE),"")</f>
        <v>PANT GRIS GABARDINA 50/54 RER</v>
      </c>
      <c r="F502">
        <v>1120840</v>
      </c>
      <c r="G502" t="s">
        <v>14337</v>
      </c>
      <c r="H502">
        <v>5</v>
      </c>
      <c r="I502">
        <v>1</v>
      </c>
    </row>
    <row r="503" spans="1:9" x14ac:dyDescent="0.25">
      <c r="A503" s="2">
        <v>16522</v>
      </c>
      <c r="B503" s="2" t="s">
        <v>4</v>
      </c>
      <c r="C503" s="2" t="s">
        <v>7000</v>
      </c>
      <c r="D503" s="2"/>
      <c r="E503" s="2" t="str">
        <f>IFERROR(VLOOKUP(1*LEFT(C503,7),DF!$A$1:$F$9446,2,FALSE),"")</f>
        <v>PANT GRIS GABARDINA 56/60 RER</v>
      </c>
      <c r="F503">
        <v>1120840</v>
      </c>
      <c r="G503" t="s">
        <v>14337</v>
      </c>
      <c r="H503">
        <v>5</v>
      </c>
      <c r="I503">
        <v>1</v>
      </c>
    </row>
    <row r="504" spans="1:9" x14ac:dyDescent="0.25">
      <c r="A504" s="2">
        <v>16522</v>
      </c>
      <c r="B504" s="2" t="s">
        <v>4</v>
      </c>
      <c r="C504" s="2" t="s">
        <v>7001</v>
      </c>
      <c r="D504" s="2"/>
      <c r="E504" s="2" t="str">
        <f>IFERROR(VLOOKUP(1*LEFT(C504,7),DF!$A$1:$F$9446,2,FALSE),"")</f>
        <v>PANT GRIS GABARDINA 62/66 RER</v>
      </c>
      <c r="F504">
        <v>1120840</v>
      </c>
      <c r="G504" t="s">
        <v>14337</v>
      </c>
      <c r="H504">
        <v>5</v>
      </c>
      <c r="I504">
        <v>1</v>
      </c>
    </row>
    <row r="505" spans="1:9" x14ac:dyDescent="0.25">
      <c r="A505" s="2">
        <v>16522</v>
      </c>
      <c r="B505" s="2" t="s">
        <v>4</v>
      </c>
      <c r="C505" s="2" t="str">
        <f>CONCATENATE(F505,"##")</f>
        <v>1120780##</v>
      </c>
      <c r="D505" s="2"/>
      <c r="E505" s="2" t="str">
        <f>IFERROR(VLOOKUP(1*LEFT(C505,7),DF!$A$1:$F$9446,2,FALSE),"")</f>
        <v>PANT AZUL DE POLICIA C/BOL DAMA 36/48</v>
      </c>
      <c r="F505">
        <v>1120780</v>
      </c>
      <c r="G505" t="s">
        <v>14338</v>
      </c>
      <c r="H505">
        <v>3</v>
      </c>
      <c r="I505">
        <v>1</v>
      </c>
    </row>
    <row r="506" spans="1:9" x14ac:dyDescent="0.25">
      <c r="A506" s="2">
        <v>16522</v>
      </c>
      <c r="B506" s="2" t="s">
        <v>4</v>
      </c>
      <c r="C506" s="2" t="s">
        <v>5391</v>
      </c>
      <c r="D506" s="2"/>
      <c r="E506" s="2" t="str">
        <f>IFERROR(VLOOKUP(1*LEFT(C506,7),DF!$A$1:$F$9446,2,FALSE),"")</f>
        <v>PANT AZUL DE POLICIA C/BOL DAMA 50/54</v>
      </c>
      <c r="F506">
        <v>1120780</v>
      </c>
      <c r="G506" t="s">
        <v>14338</v>
      </c>
      <c r="H506">
        <v>3</v>
      </c>
      <c r="I506">
        <v>1</v>
      </c>
    </row>
    <row r="507" spans="1:9" x14ac:dyDescent="0.25">
      <c r="A507" s="2">
        <v>16522</v>
      </c>
      <c r="B507" s="2" t="s">
        <v>4</v>
      </c>
      <c r="C507" s="2" t="str">
        <f>CONCATENATE(F507,"##")</f>
        <v>1120782##</v>
      </c>
      <c r="D507" s="2"/>
      <c r="E507" s="2" t="str">
        <f>IFERROR(VLOOKUP(1*LEFT(C507,7),DF!$A$1:$F$9446,2,FALSE),"")</f>
        <v>PANT NEGRO DE POLICIA DAMA 36/48 RER</v>
      </c>
      <c r="F507">
        <v>1120782</v>
      </c>
      <c r="G507" t="s">
        <v>14339</v>
      </c>
      <c r="H507">
        <v>3</v>
      </c>
      <c r="I507">
        <v>1</v>
      </c>
    </row>
    <row r="508" spans="1:9" x14ac:dyDescent="0.25">
      <c r="A508" s="2">
        <v>16522</v>
      </c>
      <c r="B508" s="2" t="s">
        <v>4</v>
      </c>
      <c r="C508" s="2" t="s">
        <v>14325</v>
      </c>
      <c r="D508" s="2"/>
      <c r="E508" s="2" t="str">
        <f>IFERROR(VLOOKUP(1*LEFT(C508,7),DF!$A$1:$F$9446,2,FALSE),"")</f>
        <v>PANT NEGRO DE POLICIA DAMA 50/56 RER</v>
      </c>
      <c r="F508">
        <v>1120782</v>
      </c>
      <c r="G508" t="s">
        <v>14339</v>
      </c>
      <c r="H508">
        <v>3</v>
      </c>
      <c r="I508">
        <v>1</v>
      </c>
    </row>
    <row r="510" spans="1:9" x14ac:dyDescent="0.25">
      <c r="E510" t="s">
        <v>14326</v>
      </c>
    </row>
    <row r="973" spans="8:8" x14ac:dyDescent="0.25">
      <c r="H973" s="2"/>
    </row>
    <row r="980" spans="8:8" x14ac:dyDescent="0.25">
      <c r="H980" s="2"/>
    </row>
    <row r="984" spans="8:8" x14ac:dyDescent="0.25">
      <c r="H984" s="2"/>
    </row>
  </sheetData>
  <hyperlinks>
    <hyperlink ref="G209" r:id="rId1" display="https://img.rerda.com/imagenes_rerda/2101110/1.jpg,https://img.rerda.com/imagenes_rerda/2101110/2.jpg,https://img.rerda.com/imagenes_rerda/2101110/3.jpg,https://img.rerda.com/imagenes_rerda/2101110/tabla.jpg"/>
    <hyperlink ref="G210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18"/>
  <sheetViews>
    <sheetView tabSelected="1" workbookViewId="0">
      <pane ySplit="1" topLeftCell="A201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>CONCATENATE(F2,D2)</f>
        <v>851801409</v>
      </c>
      <c r="C2" t="str">
        <f>CONCATENATE(F2,"#",D2,"#")</f>
        <v>8518014#09#</v>
      </c>
      <c r="D2" s="3" t="s">
        <v>7026</v>
      </c>
      <c r="E2" t="str">
        <f>IFERROR(VLOOKUP(1*LEFT(C2,7),DF!$A$1:$F$9446,2,FALSE),"")</f>
        <v>MASCARA BALACLAVA 1RA PIEL 8088-1,2/3</v>
      </c>
      <c r="F2">
        <v>8518014</v>
      </c>
      <c r="G2" s="12" t="s">
        <v>13783</v>
      </c>
      <c r="H2" s="7">
        <v>1</v>
      </c>
      <c r="I2" s="11" t="s">
        <v>7027</v>
      </c>
    </row>
    <row r="3" spans="1:16" x14ac:dyDescent="0.25">
      <c r="A3">
        <v>20508</v>
      </c>
      <c r="B3" t="str">
        <f>CONCATENATE(F3,D3)</f>
        <v>851801406</v>
      </c>
      <c r="C3" t="str">
        <f>CONCATENATE(F3,"#",D3,"#")</f>
        <v>8518014#06#</v>
      </c>
      <c r="D3" s="3" t="s">
        <v>8375</v>
      </c>
      <c r="E3" t="str">
        <f>IFERROR(VLOOKUP(1*LEFT(C3,7),DF!$A$1:$F$9446,2,FALSE),"")</f>
        <v>MASCARA BALACLAVA 1RA PIEL 8088-1,2/3</v>
      </c>
      <c r="F3">
        <v>8518014</v>
      </c>
      <c r="G3" s="7" t="s">
        <v>13784</v>
      </c>
      <c r="H3" s="7">
        <v>1</v>
      </c>
      <c r="I3" s="11" t="s">
        <v>8376</v>
      </c>
    </row>
    <row r="4" spans="1:16" x14ac:dyDescent="0.25">
      <c r="A4">
        <v>20508</v>
      </c>
      <c r="B4" t="str">
        <f>CONCATENATE(F4,D4)</f>
        <v>851801403</v>
      </c>
      <c r="C4" t="str">
        <f>CONCATENATE(F4,"#",D4,"#")</f>
        <v>8518014#03#</v>
      </c>
      <c r="D4" s="3" t="s">
        <v>8374</v>
      </c>
      <c r="E4" t="str">
        <f>IFERROR(VLOOKUP(1*LEFT(C4,7),DF!$A$1:$F$9446,2,FALSE),"")</f>
        <v>MASCARA BALACLAVA 1RA PIEL 8088-1,2/3</v>
      </c>
      <c r="F4">
        <v>8518014</v>
      </c>
      <c r="G4" s="7" t="s">
        <v>13785</v>
      </c>
      <c r="H4" s="7">
        <v>1</v>
      </c>
      <c r="I4" s="11" t="s">
        <v>8377</v>
      </c>
    </row>
    <row r="5" spans="1:16" x14ac:dyDescent="0.25">
      <c r="A5">
        <v>20508</v>
      </c>
      <c r="B5" t="str">
        <f>CONCATENATE(F5,D5)</f>
        <v>870157609</v>
      </c>
      <c r="C5" t="str">
        <f>CONCATENATE(F5,"#",D5,"#")</f>
        <v>8701576#09#</v>
      </c>
      <c r="D5" s="3" t="s">
        <v>7026</v>
      </c>
      <c r="E5" t="str">
        <f>IFERROR(VLOOKUP(1*LEFT(C5,7),DF!$A$1:$F$9446,2,FALSE),"")</f>
        <v>CINTURON COBRA HEB METALICA 5576 IMP</v>
      </c>
      <c r="F5">
        <v>8701576</v>
      </c>
      <c r="G5" s="7" t="s">
        <v>13786</v>
      </c>
      <c r="H5" s="7">
        <v>1</v>
      </c>
      <c r="I5" s="11" t="s">
        <v>7027</v>
      </c>
    </row>
    <row r="6" spans="1:16" x14ac:dyDescent="0.25">
      <c r="A6">
        <v>20508</v>
      </c>
      <c r="B6" t="str">
        <f>CONCATENATE(F6,D6)</f>
        <v>870157606</v>
      </c>
      <c r="C6" t="str">
        <f>CONCATENATE(F6,"#",D6,"#")</f>
        <v>8701576#06#</v>
      </c>
      <c r="D6" s="3" t="s">
        <v>8375</v>
      </c>
      <c r="E6" t="str">
        <f>IFERROR(VLOOKUP(1*LEFT(C6,7),DF!$A$1:$F$9446,2,FALSE),"")</f>
        <v>CINTURON COBRA HEB METALICA 5576 IMP</v>
      </c>
      <c r="F6">
        <v>8701576</v>
      </c>
      <c r="G6" s="12" t="s">
        <v>13787</v>
      </c>
      <c r="H6" s="7">
        <v>1</v>
      </c>
      <c r="I6" s="11" t="s">
        <v>8376</v>
      </c>
    </row>
    <row r="7" spans="1:16" x14ac:dyDescent="0.25">
      <c r="A7">
        <v>20508</v>
      </c>
      <c r="B7" t="str">
        <f>CONCATENATE(F7,D7)</f>
        <v>870157603</v>
      </c>
      <c r="C7" t="str">
        <f>CONCATENATE(F7,"#",D7,"#")</f>
        <v>8701576#03#</v>
      </c>
      <c r="D7" s="3" t="s">
        <v>8374</v>
      </c>
      <c r="E7" t="str">
        <f>IFERROR(VLOOKUP(1*LEFT(C7,7),DF!$A$1:$F$9446,2,FALSE),"")</f>
        <v>CINTURON COBRA HEB METALICA 5576 IMP</v>
      </c>
      <c r="F7">
        <v>8701576</v>
      </c>
      <c r="G7" s="7" t="s">
        <v>13788</v>
      </c>
      <c r="H7" s="7">
        <v>1</v>
      </c>
      <c r="I7" s="11" t="s">
        <v>8377</v>
      </c>
    </row>
    <row r="8" spans="1:16" x14ac:dyDescent="0.25">
      <c r="A8">
        <v>20508</v>
      </c>
      <c r="B8" t="str">
        <f>CONCATENATE(F8,D8)</f>
        <v>310194803</v>
      </c>
      <c r="C8" t="str">
        <f>CONCATENATE(F8,"#",D8,"#")</f>
        <v>3101948#03#</v>
      </c>
      <c r="D8" s="3" t="s">
        <v>8374</v>
      </c>
      <c r="E8" t="str">
        <f>IFERROR(VLOOKUP(1*LEFT(C8,7),DF!$A$1:$F$9446,2,FALSE),"")</f>
        <v>CONJ TERMICO RERDA ART.0948/532016 NE/BE</v>
      </c>
      <c r="F8">
        <v>3101948</v>
      </c>
      <c r="G8" s="7" t="s">
        <v>13789</v>
      </c>
      <c r="H8" s="7">
        <v>2</v>
      </c>
      <c r="I8" s="11" t="s">
        <v>8377</v>
      </c>
      <c r="J8" s="11" t="s">
        <v>10865</v>
      </c>
    </row>
    <row r="9" spans="1:16" x14ac:dyDescent="0.25">
      <c r="A9">
        <v>20508</v>
      </c>
      <c r="B9" t="str">
        <f>CONCATENATE(F9,D9)</f>
        <v>310194809</v>
      </c>
      <c r="C9" t="str">
        <f>CONCATENATE(F9,"#",D9,"#")</f>
        <v>3101948#09#</v>
      </c>
      <c r="D9" s="3" t="s">
        <v>7026</v>
      </c>
      <c r="E9" t="str">
        <f>IFERROR(VLOOKUP(1*LEFT(C9,7),DF!$A$1:$F$9446,2,FALSE),"")</f>
        <v>CONJ TERMICO RERDA ART.0948/532016 NE/BE</v>
      </c>
      <c r="F9">
        <v>3101948</v>
      </c>
      <c r="G9" s="7" t="s">
        <v>13790</v>
      </c>
      <c r="H9" s="8">
        <v>2</v>
      </c>
      <c r="I9" s="11" t="s">
        <v>7027</v>
      </c>
      <c r="J9" s="11" t="s">
        <v>10866</v>
      </c>
    </row>
    <row r="10" spans="1:16" x14ac:dyDescent="0.25">
      <c r="A10">
        <v>20508</v>
      </c>
      <c r="B10" t="str">
        <f>CONCATENATE(F10,D10)</f>
        <v>510139009</v>
      </c>
      <c r="C10" t="str">
        <f>CONCATENATE(F10,"#",D10,"#")</f>
        <v>5101390#09#</v>
      </c>
      <c r="D10" s="3" t="s">
        <v>7026</v>
      </c>
      <c r="E10" t="str">
        <f>IFERROR(VLOOKUP(1*LEFT(C10,7),DF!$A$1:$F$9446,2,FALSE),"")</f>
        <v>CAMP ALPHA FEROCITY 500</v>
      </c>
      <c r="F10">
        <v>5101390</v>
      </c>
      <c r="G10" s="7" t="s">
        <v>13791</v>
      </c>
      <c r="H10" s="7">
        <v>6</v>
      </c>
      <c r="I10" s="11" t="s">
        <v>7027</v>
      </c>
      <c r="J10" s="11" t="s">
        <v>10866</v>
      </c>
      <c r="K10" s="11" t="s">
        <v>10869</v>
      </c>
      <c r="L10" s="11" t="s">
        <v>10870</v>
      </c>
      <c r="M10" s="11" t="s">
        <v>10871</v>
      </c>
      <c r="N10" s="11" t="s">
        <v>10877</v>
      </c>
    </row>
    <row r="11" spans="1:16" x14ac:dyDescent="0.25">
      <c r="A11">
        <v>20508</v>
      </c>
      <c r="B11" t="str">
        <f>CONCATENATE(F11,D11)</f>
        <v>510139018</v>
      </c>
      <c r="C11" t="str">
        <f>CONCATENATE(F11,"#",D11,"#")</f>
        <v>5101390#18#</v>
      </c>
      <c r="D11" s="3" t="s">
        <v>10868</v>
      </c>
      <c r="E11" t="str">
        <f>IFERROR(VLOOKUP(1*LEFT(C11,7),DF!$A$1:$F$9446,2,FALSE),"")</f>
        <v>CAMP ALPHA FEROCITY 500</v>
      </c>
      <c r="F11">
        <v>5101390</v>
      </c>
      <c r="G11" s="7" t="s">
        <v>13792</v>
      </c>
      <c r="H11" s="7">
        <v>6</v>
      </c>
      <c r="I11" s="11" t="s">
        <v>10872</v>
      </c>
      <c r="J11" s="11" t="s">
        <v>10873</v>
      </c>
      <c r="K11" s="11" t="s">
        <v>10874</v>
      </c>
      <c r="L11" s="11" t="s">
        <v>10875</v>
      </c>
      <c r="M11" s="11" t="s">
        <v>10876</v>
      </c>
      <c r="N11" s="11" t="s">
        <v>10878</v>
      </c>
    </row>
    <row r="12" spans="1:16" x14ac:dyDescent="0.25">
      <c r="A12">
        <v>20508</v>
      </c>
      <c r="B12" t="str">
        <f>CONCATENATE(F12,D12)</f>
        <v>510144509</v>
      </c>
      <c r="C12" t="str">
        <f>CONCATENATE(F12,"#",D12,"#")</f>
        <v>5101445#09#</v>
      </c>
      <c r="D12" s="3" t="s">
        <v>7026</v>
      </c>
      <c r="E12" t="str">
        <f>IFERROR(VLOOKUP(1*LEFT(C12,7),DF!$A$1:$F$9446,2,FALSE),"")</f>
        <v>CAMP ALPHA  SONIC 600</v>
      </c>
      <c r="F12">
        <v>5101445</v>
      </c>
      <c r="G12" s="7" t="s">
        <v>13793</v>
      </c>
      <c r="H12" s="7">
        <v>8</v>
      </c>
      <c r="I12" s="11" t="s">
        <v>7027</v>
      </c>
      <c r="J12" s="11" t="s">
        <v>10866</v>
      </c>
      <c r="K12" s="11" t="s">
        <v>10869</v>
      </c>
      <c r="L12" s="11" t="s">
        <v>10870</v>
      </c>
      <c r="M12" s="11" t="s">
        <v>10871</v>
      </c>
      <c r="N12" s="11" t="s">
        <v>10877</v>
      </c>
      <c r="O12" s="11" t="s">
        <v>10879</v>
      </c>
      <c r="P12" s="11" t="s">
        <v>10880</v>
      </c>
    </row>
    <row r="13" spans="1:16" x14ac:dyDescent="0.25">
      <c r="A13">
        <v>20508</v>
      </c>
      <c r="B13" t="str">
        <f>CONCATENATE(F13,D13)</f>
        <v>510144518</v>
      </c>
      <c r="C13" t="str">
        <f>CONCATENATE(F13,"#",D13,"#")</f>
        <v>5101445#18#</v>
      </c>
      <c r="D13" s="3" t="s">
        <v>10868</v>
      </c>
      <c r="E13" t="str">
        <f>IFERROR(VLOOKUP(1*LEFT(C13,7),DF!$A$1:$F$9446,2,FALSE),"")</f>
        <v>CAMP ALPHA  SONIC 600</v>
      </c>
      <c r="F13">
        <v>5101445</v>
      </c>
      <c r="G13" s="7" t="s">
        <v>13794</v>
      </c>
      <c r="H13" s="7">
        <v>8</v>
      </c>
      <c r="I13" s="11" t="s">
        <v>10872</v>
      </c>
      <c r="J13" s="11" t="s">
        <v>10873</v>
      </c>
      <c r="K13" s="11" t="s">
        <v>10874</v>
      </c>
      <c r="L13" s="11" t="s">
        <v>10875</v>
      </c>
      <c r="M13" s="11" t="s">
        <v>10876</v>
      </c>
      <c r="N13" s="11" t="s">
        <v>10878</v>
      </c>
      <c r="O13" s="11" t="s">
        <v>10881</v>
      </c>
      <c r="P13" s="11" t="s">
        <v>10882</v>
      </c>
    </row>
    <row r="14" spans="1:16" x14ac:dyDescent="0.25">
      <c r="A14">
        <v>20508</v>
      </c>
      <c r="B14" t="str">
        <f>CONCATENATE(F14,D14)</f>
        <v>870890703</v>
      </c>
      <c r="C14" t="str">
        <f>CONCATENATE(F14,"#",D14,"#")</f>
        <v>8708907#03#</v>
      </c>
      <c r="D14" s="3" t="s">
        <v>8374</v>
      </c>
      <c r="E14" t="str">
        <f>IFERROR(VLOOKUP(1*LEFT(C14,7),DF!$A$1:$F$9446,2,FALSE),"")</f>
        <v>MOCHILA ASALTO TACT40LT 3P LASER JSH1907</v>
      </c>
      <c r="F14">
        <v>8708907</v>
      </c>
      <c r="G14" s="7" t="s">
        <v>13795</v>
      </c>
      <c r="H14" s="7">
        <v>2</v>
      </c>
      <c r="I14" s="11" t="s">
        <v>8377</v>
      </c>
      <c r="J14" s="11" t="s">
        <v>10865</v>
      </c>
    </row>
    <row r="15" spans="1:16" x14ac:dyDescent="0.25">
      <c r="A15">
        <v>20508</v>
      </c>
      <c r="B15" t="str">
        <f>CONCATENATE(F15,D15)</f>
        <v>870890706</v>
      </c>
      <c r="C15" t="str">
        <f>CONCATENATE(F15,"#",D15,"#")</f>
        <v>8708907#06#</v>
      </c>
      <c r="D15" s="3" t="s">
        <v>8375</v>
      </c>
      <c r="E15" t="str">
        <f>IFERROR(VLOOKUP(1*LEFT(C15,7),DF!$A$1:$F$9446,2,FALSE),"")</f>
        <v>MOCHILA ASALTO TACT40LT 3P LASER JSH1907</v>
      </c>
      <c r="F15">
        <v>8708907</v>
      </c>
      <c r="G15" s="7" t="s">
        <v>13796</v>
      </c>
      <c r="H15" s="7">
        <v>2</v>
      </c>
      <c r="I15" s="11" t="s">
        <v>8376</v>
      </c>
      <c r="J15" s="11" t="s">
        <v>12131</v>
      </c>
    </row>
    <row r="16" spans="1:16" x14ac:dyDescent="0.25">
      <c r="A16">
        <v>20508</v>
      </c>
      <c r="B16" t="str">
        <f>CONCATENATE(F16,D16)</f>
        <v>870890709</v>
      </c>
      <c r="C16" t="str">
        <f>CONCATENATE(F16,"#",D16,"#")</f>
        <v>8708907#09#</v>
      </c>
      <c r="D16" s="3" t="s">
        <v>7026</v>
      </c>
      <c r="E16" t="str">
        <f>IFERROR(VLOOKUP(1*LEFT(C16,7),DF!$A$1:$F$9446,2,FALSE),"")</f>
        <v>MOCHILA ASALTO TACT40LT 3P LASER JSH1907</v>
      </c>
      <c r="F16">
        <v>8708907</v>
      </c>
      <c r="G16" s="7" t="s">
        <v>13797</v>
      </c>
      <c r="H16" s="7">
        <v>2</v>
      </c>
      <c r="I16" s="11" t="s">
        <v>7027</v>
      </c>
      <c r="J16" s="11" t="s">
        <v>10866</v>
      </c>
    </row>
    <row r="17" spans="1:16" x14ac:dyDescent="0.25">
      <c r="A17">
        <v>20508</v>
      </c>
      <c r="B17" t="str">
        <f>CONCATENATE(F17,D17)</f>
        <v>870890723</v>
      </c>
      <c r="C17" t="str">
        <f>CONCATENATE(F17,"#",D17,"#")</f>
        <v>8708907#23#</v>
      </c>
      <c r="D17" s="3" t="s">
        <v>12130</v>
      </c>
      <c r="E17" t="str">
        <f>IFERROR(VLOOKUP(1*LEFT(C17,7),DF!$A$1:$F$9446,2,FALSE),"")</f>
        <v>MOCHILA ASALTO TACT40LT 3P LASER JSH1907</v>
      </c>
      <c r="F17">
        <v>8708907</v>
      </c>
      <c r="G17" s="7" t="s">
        <v>13798</v>
      </c>
      <c r="H17" s="7">
        <v>8</v>
      </c>
      <c r="I17" s="11" t="s">
        <v>12132</v>
      </c>
      <c r="J17" s="11" t="s">
        <v>12133</v>
      </c>
      <c r="K17" s="11" t="s">
        <v>12134</v>
      </c>
      <c r="L17" s="11" t="s">
        <v>12135</v>
      </c>
      <c r="M17" s="11" t="s">
        <v>12136</v>
      </c>
      <c r="N17" s="11" t="s">
        <v>12137</v>
      </c>
      <c r="O17" s="11" t="s">
        <v>12138</v>
      </c>
      <c r="P17" s="11" t="s">
        <v>12139</v>
      </c>
    </row>
    <row r="18" spans="1:16" x14ac:dyDescent="0.25">
      <c r="A18">
        <v>20508</v>
      </c>
      <c r="B18" t="str">
        <f>CONCATENATE(F18,D18)</f>
        <v>870863703</v>
      </c>
      <c r="C18" t="str">
        <f>CONCATENATE(F18,"#",D18,"#")</f>
        <v>8708637#03#</v>
      </c>
      <c r="D18" s="3" t="s">
        <v>8374</v>
      </c>
      <c r="E18" t="str">
        <f>IFERROR(VLOOKUP(1*LEFT(C18,7),DF!$A$1:$F$9446,2,FALSE),"")</f>
        <v>MOCHILA 3D GRANDE MZ-RJ-ZE-002 37.5L FRO</v>
      </c>
      <c r="F18">
        <v>8708637</v>
      </c>
      <c r="G18" s="7" t="s">
        <v>13799</v>
      </c>
      <c r="H18" s="7">
        <v>3</v>
      </c>
      <c r="I18" s="11" t="s">
        <v>8377</v>
      </c>
      <c r="J18" s="11" t="s">
        <v>10865</v>
      </c>
      <c r="K18" s="11" t="s">
        <v>12140</v>
      </c>
    </row>
    <row r="19" spans="1:16" x14ac:dyDescent="0.25">
      <c r="A19">
        <v>20508</v>
      </c>
      <c r="B19" t="str">
        <f>CONCATENATE(F19,D19)</f>
        <v>870863709</v>
      </c>
      <c r="C19" t="str">
        <f>CONCATENATE(F19,"#",D19,"#")</f>
        <v>8708637#09#</v>
      </c>
      <c r="D19" s="3" t="s">
        <v>7026</v>
      </c>
      <c r="E19" t="str">
        <f>IFERROR(VLOOKUP(1*LEFT(C19,7),DF!$A$1:$F$9446,2,FALSE),"")</f>
        <v>MOCHILA 3D GRANDE MZ-RJ-ZE-002 37.5L FRO</v>
      </c>
      <c r="F19">
        <v>8708637</v>
      </c>
      <c r="G19" s="7" t="s">
        <v>13800</v>
      </c>
      <c r="H19" s="7">
        <v>5</v>
      </c>
      <c r="I19" s="11" t="s">
        <v>7027</v>
      </c>
      <c r="J19" s="11" t="s">
        <v>10866</v>
      </c>
      <c r="K19" s="11" t="s">
        <v>10869</v>
      </c>
      <c r="L19" s="11" t="s">
        <v>10870</v>
      </c>
      <c r="M19" s="11" t="s">
        <v>10871</v>
      </c>
    </row>
    <row r="20" spans="1:16" x14ac:dyDescent="0.25">
      <c r="A20">
        <v>20508</v>
      </c>
      <c r="B20" t="str">
        <f>CONCATENATE(F20,D20)</f>
        <v>870853606</v>
      </c>
      <c r="C20" t="str">
        <f>CONCATENATE(F20,"#",D20,"#")</f>
        <v>8708536#06#</v>
      </c>
      <c r="D20" s="3" t="s">
        <v>8375</v>
      </c>
      <c r="E20" t="str">
        <f>IFERROR(VLOOKUP(1*LEFT(C20,7),DF!$A$1:$F$9446,2,FALSE),"")</f>
        <v>POUCH BOTIQUIN SIST MOLLE 536</v>
      </c>
      <c r="F20">
        <v>8708536</v>
      </c>
      <c r="G20" s="7" t="s">
        <v>13801</v>
      </c>
      <c r="H20" s="7">
        <v>4</v>
      </c>
      <c r="I20" s="11" t="s">
        <v>8376</v>
      </c>
      <c r="J20" s="11" t="s">
        <v>12131</v>
      </c>
      <c r="K20" s="11" t="s">
        <v>12148</v>
      </c>
      <c r="L20" s="11" t="s">
        <v>12149</v>
      </c>
    </row>
    <row r="21" spans="1:16" x14ac:dyDescent="0.25">
      <c r="A21">
        <v>20508</v>
      </c>
      <c r="B21" t="str">
        <f>CONCATENATE(F21,D21)</f>
        <v>870853608</v>
      </c>
      <c r="C21" t="str">
        <f>CONCATENATE(F21,"#",D21,"#")</f>
        <v>8708536#08#</v>
      </c>
      <c r="D21" s="3" t="s">
        <v>12146</v>
      </c>
      <c r="E21" t="str">
        <f>IFERROR(VLOOKUP(1*LEFT(C21,7),DF!$A$1:$F$9446,2,FALSE),"")</f>
        <v>POUCH BOTIQUIN SIST MOLLE 536</v>
      </c>
      <c r="F21">
        <v>8708536</v>
      </c>
      <c r="G21" s="7" t="s">
        <v>13802</v>
      </c>
      <c r="H21" s="7">
        <v>5</v>
      </c>
      <c r="I21" s="11" t="s">
        <v>12150</v>
      </c>
      <c r="J21" s="11" t="s">
        <v>12151</v>
      </c>
      <c r="K21" s="11" t="s">
        <v>12152</v>
      </c>
      <c r="L21" s="11" t="s">
        <v>12153</v>
      </c>
      <c r="M21" s="11" t="s">
        <v>12154</v>
      </c>
    </row>
    <row r="22" spans="1:16" x14ac:dyDescent="0.25">
      <c r="A22">
        <v>20508</v>
      </c>
      <c r="B22" t="str">
        <f>CONCATENATE(F22,D22)</f>
        <v>870853609</v>
      </c>
      <c r="C22" t="str">
        <f>CONCATENATE(F22,"#",D22,"#")</f>
        <v>8708536#09#</v>
      </c>
      <c r="D22" s="3" t="s">
        <v>7026</v>
      </c>
      <c r="E22" t="str">
        <f>IFERROR(VLOOKUP(1*LEFT(C22,7),DF!$A$1:$F$9446,2,FALSE),"")</f>
        <v>POUCH BOTIQUIN SIST MOLLE 536</v>
      </c>
      <c r="F22">
        <v>8708536</v>
      </c>
      <c r="G22" s="7" t="s">
        <v>13803</v>
      </c>
      <c r="H22" s="7">
        <v>4</v>
      </c>
      <c r="I22" s="11" t="s">
        <v>7027</v>
      </c>
      <c r="J22" s="11" t="s">
        <v>10866</v>
      </c>
      <c r="K22" s="11" t="s">
        <v>10869</v>
      </c>
      <c r="L22" s="11" t="s">
        <v>10870</v>
      </c>
    </row>
    <row r="23" spans="1:16" x14ac:dyDescent="0.25">
      <c r="A23">
        <v>20508</v>
      </c>
      <c r="B23" t="str">
        <f>CONCATENATE(F23,D23)</f>
        <v>870853622</v>
      </c>
      <c r="C23" t="str">
        <f>CONCATENATE(F23,"#",D23,"#")</f>
        <v>8708536#22#</v>
      </c>
      <c r="D23" s="3" t="s">
        <v>12147</v>
      </c>
      <c r="E23" t="str">
        <f>IFERROR(VLOOKUP(1*LEFT(C23,7),DF!$A$1:$F$9446,2,FALSE),"")</f>
        <v>POUCH BOTIQUIN SIST MOLLE 536</v>
      </c>
      <c r="F23">
        <v>8708536</v>
      </c>
      <c r="G23" s="7" t="s">
        <v>13804</v>
      </c>
      <c r="H23" s="7">
        <v>5</v>
      </c>
      <c r="I23" s="11" t="s">
        <v>12155</v>
      </c>
      <c r="J23" s="11" t="s">
        <v>12156</v>
      </c>
      <c r="K23" s="11" t="s">
        <v>12157</v>
      </c>
      <c r="L23" s="11" t="s">
        <v>12158</v>
      </c>
      <c r="M23" s="11" t="s">
        <v>12159</v>
      </c>
    </row>
    <row r="24" spans="1:16" x14ac:dyDescent="0.25">
      <c r="A24">
        <v>20508</v>
      </c>
      <c r="B24" t="str">
        <f>CONCATENATE(F24,D24)</f>
        <v>870801207</v>
      </c>
      <c r="C24" t="str">
        <f>CONCATENATE(F24,"#",D24,"#")</f>
        <v>8708012#07#</v>
      </c>
      <c r="D24" s="3" t="s">
        <v>12163</v>
      </c>
      <c r="E24" t="str">
        <f>IFERROR(VLOOKUP(1*LEFT(C24,7),DF!$A$1:$F$9446,2,FALSE),"")</f>
        <v>MOCHILA MOLLE MZ-RJ-A12</v>
      </c>
      <c r="F24">
        <v>8708012</v>
      </c>
      <c r="G24" s="7" t="s">
        <v>13805</v>
      </c>
      <c r="H24" s="7">
        <v>4</v>
      </c>
      <c r="I24" s="11" t="s">
        <v>12164</v>
      </c>
      <c r="J24" s="11" t="s">
        <v>12165</v>
      </c>
      <c r="K24" s="11" t="s">
        <v>12166</v>
      </c>
      <c r="L24" s="11" t="s">
        <v>12167</v>
      </c>
    </row>
    <row r="25" spans="1:16" x14ac:dyDescent="0.25">
      <c r="A25">
        <v>20508</v>
      </c>
      <c r="B25" t="str">
        <f>CONCATENATE(F25,D25)</f>
        <v>870801208</v>
      </c>
      <c r="C25" t="str">
        <f>CONCATENATE(F25,"#",D25,"#")</f>
        <v>8708012#08#</v>
      </c>
      <c r="D25" s="3" t="s">
        <v>12146</v>
      </c>
      <c r="E25" t="str">
        <f>IFERROR(VLOOKUP(1*LEFT(C25,7),DF!$A$1:$F$9446,2,FALSE),"")</f>
        <v>MOCHILA MOLLE MZ-RJ-A12</v>
      </c>
      <c r="F25">
        <v>8708012</v>
      </c>
      <c r="G25" s="7" t="s">
        <v>13806</v>
      </c>
      <c r="H25" s="7">
        <v>4</v>
      </c>
      <c r="I25" s="11" t="s">
        <v>12150</v>
      </c>
      <c r="J25" s="11" t="s">
        <v>12151</v>
      </c>
      <c r="K25" s="11" t="s">
        <v>12152</v>
      </c>
      <c r="L25" s="11" t="s">
        <v>12153</v>
      </c>
    </row>
    <row r="26" spans="1:16" x14ac:dyDescent="0.25">
      <c r="A26">
        <v>20508</v>
      </c>
      <c r="B26" t="str">
        <f>CONCATENATE(F26,D26)</f>
        <v>870801209</v>
      </c>
      <c r="C26" t="str">
        <f>CONCATENATE(F26,"#",D26,"#")</f>
        <v>8708012#09#</v>
      </c>
      <c r="D26" s="3" t="s">
        <v>7026</v>
      </c>
      <c r="E26" t="str">
        <f>IFERROR(VLOOKUP(1*LEFT(C26,7),DF!$A$1:$F$9446,2,FALSE),"")</f>
        <v>MOCHILA MOLLE MZ-RJ-A12</v>
      </c>
      <c r="F26">
        <v>8708012</v>
      </c>
      <c r="G26" s="7" t="s">
        <v>13807</v>
      </c>
      <c r="H26" s="7">
        <v>4</v>
      </c>
      <c r="I26" s="11" t="s">
        <v>7027</v>
      </c>
      <c r="J26" s="11" t="s">
        <v>10866</v>
      </c>
      <c r="K26" s="11" t="s">
        <v>10869</v>
      </c>
      <c r="L26" s="11" t="s">
        <v>10870</v>
      </c>
    </row>
    <row r="27" spans="1:16" x14ac:dyDescent="0.25">
      <c r="A27">
        <v>20508</v>
      </c>
      <c r="B27" t="str">
        <f>CONCATENATE(F27,D27)</f>
        <v>870830403</v>
      </c>
      <c r="C27" t="str">
        <f>CONCATENATE(F27,"#",D27,"#")</f>
        <v>8708304#03#</v>
      </c>
      <c r="D27" s="3" t="s">
        <v>8374</v>
      </c>
      <c r="E27" t="str">
        <f>IFERROR(VLOOKUP(1*LEFT(C27,7),DF!$A$1:$F$9446,2,FALSE),"")</f>
        <v>MOCHILA MOLLE MEDIANA 2304A</v>
      </c>
      <c r="F27">
        <v>8708304</v>
      </c>
      <c r="G27" s="7" t="s">
        <v>13808</v>
      </c>
      <c r="H27" s="7">
        <v>4</v>
      </c>
      <c r="I27" s="11" t="s">
        <v>8377</v>
      </c>
      <c r="J27" s="11" t="s">
        <v>10865</v>
      </c>
      <c r="K27" s="11" t="s">
        <v>12140</v>
      </c>
      <c r="L27" s="11" t="s">
        <v>12168</v>
      </c>
    </row>
    <row r="28" spans="1:16" x14ac:dyDescent="0.25">
      <c r="A28">
        <v>20508</v>
      </c>
      <c r="B28" t="str">
        <f>CONCATENATE(F28,D28)</f>
        <v>870830406</v>
      </c>
      <c r="C28" t="str">
        <f>CONCATENATE(F28,"#",D28,"#")</f>
        <v>8708304#06#</v>
      </c>
      <c r="D28" s="3" t="s">
        <v>8375</v>
      </c>
      <c r="E28" t="str">
        <f>IFERROR(VLOOKUP(1*LEFT(C28,7),DF!$A$1:$F$9446,2,FALSE),"")</f>
        <v>MOCHILA MOLLE MEDIANA 2304A</v>
      </c>
      <c r="F28">
        <v>8708304</v>
      </c>
      <c r="G28" s="7" t="s">
        <v>13809</v>
      </c>
      <c r="H28" s="7">
        <v>4</v>
      </c>
      <c r="I28" s="11" t="s">
        <v>8376</v>
      </c>
      <c r="J28" s="11" t="s">
        <v>12131</v>
      </c>
      <c r="K28" s="11" t="s">
        <v>12148</v>
      </c>
      <c r="L28" s="11" t="s">
        <v>12149</v>
      </c>
    </row>
    <row r="29" spans="1:16" x14ac:dyDescent="0.25">
      <c r="A29">
        <v>20508</v>
      </c>
      <c r="B29" t="str">
        <f>CONCATENATE(F29,D29)</f>
        <v>870830407</v>
      </c>
      <c r="C29" t="str">
        <f>CONCATENATE(F29,"#",D29,"#")</f>
        <v>8708304#07#</v>
      </c>
      <c r="D29" s="3" t="s">
        <v>12163</v>
      </c>
      <c r="E29" t="str">
        <f>IFERROR(VLOOKUP(1*LEFT(C29,7),DF!$A$1:$F$9446,2,FALSE),"")</f>
        <v>MOCHILA MOLLE MEDIANA 2304A</v>
      </c>
      <c r="F29">
        <v>8708304</v>
      </c>
      <c r="G29" s="7" t="s">
        <v>13810</v>
      </c>
      <c r="H29" s="7">
        <v>4</v>
      </c>
      <c r="I29" s="11" t="s">
        <v>12164</v>
      </c>
      <c r="J29" s="11" t="s">
        <v>12165</v>
      </c>
      <c r="K29" s="11" t="s">
        <v>12166</v>
      </c>
      <c r="L29" s="11" t="s">
        <v>12167</v>
      </c>
    </row>
    <row r="30" spans="1:16" x14ac:dyDescent="0.25">
      <c r="A30">
        <v>20508</v>
      </c>
      <c r="B30" t="str">
        <f>CONCATENATE(F30,D30)</f>
        <v>870830408</v>
      </c>
      <c r="C30" t="str">
        <f>CONCATENATE(F30,"#",D30,"#")</f>
        <v>8708304#08#</v>
      </c>
      <c r="D30" s="3" t="s">
        <v>12146</v>
      </c>
      <c r="E30" t="str">
        <f>IFERROR(VLOOKUP(1*LEFT(C30,7),DF!$A$1:$F$9446,2,FALSE),"")</f>
        <v>MOCHILA MOLLE MEDIANA 2304A</v>
      </c>
      <c r="F30">
        <v>8708304</v>
      </c>
      <c r="G30" s="7" t="s">
        <v>13811</v>
      </c>
      <c r="H30" s="7">
        <v>4</v>
      </c>
      <c r="I30" s="11" t="s">
        <v>12150</v>
      </c>
      <c r="J30" s="11" t="s">
        <v>12151</v>
      </c>
      <c r="K30" s="11" t="s">
        <v>12152</v>
      </c>
      <c r="L30" s="11" t="s">
        <v>12153</v>
      </c>
    </row>
    <row r="31" spans="1:16" x14ac:dyDescent="0.25">
      <c r="A31">
        <v>20508</v>
      </c>
      <c r="B31" t="str">
        <f>CONCATENATE(F31,D31)</f>
        <v>870830409</v>
      </c>
      <c r="C31" t="str">
        <f>CONCATENATE(F31,"#",D31,"#")</f>
        <v>8708304#09#</v>
      </c>
      <c r="D31" s="3" t="s">
        <v>7026</v>
      </c>
      <c r="E31" t="str">
        <f>IFERROR(VLOOKUP(1*LEFT(C31,7),DF!$A$1:$F$9446,2,FALSE),"")</f>
        <v>MOCHILA MOLLE MEDIANA 2304A</v>
      </c>
      <c r="F31">
        <v>8708304</v>
      </c>
      <c r="G31" s="7" t="s">
        <v>13812</v>
      </c>
      <c r="H31" s="7">
        <v>4</v>
      </c>
      <c r="I31" s="11" t="s">
        <v>7027</v>
      </c>
      <c r="J31" s="11" t="s">
        <v>10866</v>
      </c>
      <c r="K31" s="11" t="s">
        <v>10869</v>
      </c>
      <c r="L31" s="11" t="s">
        <v>10870</v>
      </c>
    </row>
    <row r="32" spans="1:16" x14ac:dyDescent="0.25">
      <c r="A32">
        <v>20508</v>
      </c>
      <c r="B32" t="str">
        <f>CONCATENATE(F32,D32)</f>
        <v>870831003</v>
      </c>
      <c r="C32" t="str">
        <f>CONCATENATE(F32,"#",D32,"#")</f>
        <v>8708310#03#</v>
      </c>
      <c r="D32" s="3" t="s">
        <v>8374</v>
      </c>
      <c r="E32" t="str">
        <f>IFERROR(VLOOKUP(1*LEFT(C32,7),DF!$A$1:$F$9446,2,FALSE),"")</f>
        <v>MOCHILA TACTICA MOLLE 2310</v>
      </c>
      <c r="F32" s="7">
        <v>8708310</v>
      </c>
      <c r="G32" s="7" t="s">
        <v>13813</v>
      </c>
      <c r="H32" s="7">
        <v>3</v>
      </c>
      <c r="I32" s="11" t="s">
        <v>8377</v>
      </c>
      <c r="J32" s="11" t="s">
        <v>10865</v>
      </c>
      <c r="K32" s="11" t="s">
        <v>12140</v>
      </c>
    </row>
    <row r="33" spans="1:17" x14ac:dyDescent="0.25">
      <c r="A33">
        <v>20508</v>
      </c>
      <c r="B33" t="str">
        <f>CONCATENATE(F33,D33)</f>
        <v>870831007</v>
      </c>
      <c r="C33" t="str">
        <f>CONCATENATE(F33,"#",D33,"#")</f>
        <v>8708310#07#</v>
      </c>
      <c r="D33" s="3" t="s">
        <v>12163</v>
      </c>
      <c r="E33" t="str">
        <f>IFERROR(VLOOKUP(1*LEFT(C33,7),DF!$A$1:$F$9446,2,FALSE),"")</f>
        <v>MOCHILA TACTICA MOLLE 2310</v>
      </c>
      <c r="F33" s="7">
        <v>8708310</v>
      </c>
      <c r="G33" s="7" t="s">
        <v>13814</v>
      </c>
      <c r="H33" s="7">
        <v>3</v>
      </c>
      <c r="I33" s="11" t="s">
        <v>12164</v>
      </c>
      <c r="J33" s="11" t="s">
        <v>12165</v>
      </c>
      <c r="K33" s="11" t="s">
        <v>12166</v>
      </c>
    </row>
    <row r="34" spans="1:17" x14ac:dyDescent="0.25">
      <c r="A34">
        <v>20508</v>
      </c>
      <c r="B34" t="str">
        <f>CONCATENATE(F34,D34)</f>
        <v>870831008</v>
      </c>
      <c r="C34" t="str">
        <f>CONCATENATE(F34,"#",D34,"#")</f>
        <v>8708310#08#</v>
      </c>
      <c r="D34" s="3" t="s">
        <v>12146</v>
      </c>
      <c r="E34" t="str">
        <f>IFERROR(VLOOKUP(1*LEFT(C34,7),DF!$A$1:$F$9446,2,FALSE),"")</f>
        <v>MOCHILA TACTICA MOLLE 2310</v>
      </c>
      <c r="F34" s="7">
        <v>8708310</v>
      </c>
      <c r="G34" s="7" t="s">
        <v>13815</v>
      </c>
      <c r="H34" s="7">
        <v>3</v>
      </c>
      <c r="I34" s="11" t="s">
        <v>12150</v>
      </c>
      <c r="J34" s="11" t="s">
        <v>12151</v>
      </c>
      <c r="K34" s="11" t="s">
        <v>12152</v>
      </c>
    </row>
    <row r="35" spans="1:17" x14ac:dyDescent="0.25">
      <c r="A35">
        <v>20508</v>
      </c>
      <c r="B35" t="str">
        <f>CONCATENATE(F35,D35)</f>
        <v>870831009</v>
      </c>
      <c r="C35" t="str">
        <f>CONCATENATE(F35,"#",D35,"#")</f>
        <v>8708310#09#</v>
      </c>
      <c r="D35" s="3" t="s">
        <v>7026</v>
      </c>
      <c r="E35" t="str">
        <f>IFERROR(VLOOKUP(1*LEFT(C35,7),DF!$A$1:$F$9446,2,FALSE),"")</f>
        <v>MOCHILA TACTICA MOLLE 2310</v>
      </c>
      <c r="F35" s="7">
        <v>8708310</v>
      </c>
      <c r="G35" s="7" t="s">
        <v>13816</v>
      </c>
      <c r="H35" s="7">
        <v>3</v>
      </c>
      <c r="I35" s="11" t="s">
        <v>7027</v>
      </c>
      <c r="J35" s="11" t="s">
        <v>10866</v>
      </c>
      <c r="K35" s="11" t="s">
        <v>10869</v>
      </c>
    </row>
    <row r="36" spans="1:17" x14ac:dyDescent="0.25">
      <c r="A36">
        <v>20508</v>
      </c>
      <c r="B36" t="str">
        <f>CONCATENATE(F36,D36)</f>
        <v>870832307</v>
      </c>
      <c r="C36" t="str">
        <f>CONCATENATE(F36,"#",D36,"#")</f>
        <v>8708323#07#</v>
      </c>
      <c r="D36" s="3" t="s">
        <v>12163</v>
      </c>
      <c r="E36" t="str">
        <f>IFERROR(VLOOKUP(1*LEFT(C36,7),DF!$A$1:$F$9446,2,FALSE),"")</f>
        <v>MORRAL TACTICO CIERRE CRUZADO 2323</v>
      </c>
      <c r="F36" s="7">
        <v>8708323</v>
      </c>
      <c r="G36" s="7" t="s">
        <v>13817</v>
      </c>
      <c r="H36" s="7">
        <v>3</v>
      </c>
      <c r="I36" s="11" t="s">
        <v>12164</v>
      </c>
      <c r="J36" s="11" t="s">
        <v>12165</v>
      </c>
      <c r="K36" s="11" t="s">
        <v>12166</v>
      </c>
    </row>
    <row r="37" spans="1:17" x14ac:dyDescent="0.25">
      <c r="A37">
        <v>20508</v>
      </c>
      <c r="B37" t="str">
        <f>CONCATENATE(F37,D37)</f>
        <v>870832308</v>
      </c>
      <c r="C37" t="str">
        <f>CONCATENATE(F37,"#",D37,"#")</f>
        <v>8708323#08#</v>
      </c>
      <c r="D37" s="3" t="s">
        <v>12146</v>
      </c>
      <c r="E37" t="str">
        <f>IFERROR(VLOOKUP(1*LEFT(C37,7),DF!$A$1:$F$9446,2,FALSE),"")</f>
        <v>MORRAL TACTICO CIERRE CRUZADO 2323</v>
      </c>
      <c r="F37" s="7">
        <v>8708323</v>
      </c>
      <c r="G37" s="7" t="s">
        <v>13818</v>
      </c>
      <c r="H37" s="7">
        <v>3</v>
      </c>
      <c r="I37" s="11" t="s">
        <v>12150</v>
      </c>
      <c r="J37" s="11" t="s">
        <v>12151</v>
      </c>
      <c r="K37" s="11" t="s">
        <v>12152</v>
      </c>
    </row>
    <row r="38" spans="1:17" x14ac:dyDescent="0.25">
      <c r="A38">
        <v>20508</v>
      </c>
      <c r="B38" t="str">
        <f>CONCATENATE(F38,D38)</f>
        <v>870832309</v>
      </c>
      <c r="C38" t="str">
        <f>CONCATENATE(F38,"#",D38,"#")</f>
        <v>8708323#09#</v>
      </c>
      <c r="D38" s="3" t="s">
        <v>7026</v>
      </c>
      <c r="E38" t="str">
        <f>IFERROR(VLOOKUP(1*LEFT(C38,7),DF!$A$1:$F$9446,2,FALSE),"")</f>
        <v>MORRAL TACTICO CIERRE CRUZADO 2323</v>
      </c>
      <c r="F38" s="7">
        <v>8708323</v>
      </c>
      <c r="G38" s="7" t="s">
        <v>13819</v>
      </c>
      <c r="H38" s="7">
        <v>3</v>
      </c>
      <c r="I38" s="11" t="s">
        <v>7027</v>
      </c>
      <c r="J38" s="11" t="s">
        <v>10866</v>
      </c>
      <c r="K38" s="11" t="s">
        <v>10869</v>
      </c>
    </row>
    <row r="39" spans="1:17" x14ac:dyDescent="0.25">
      <c r="A39">
        <v>20508</v>
      </c>
      <c r="B39" t="str">
        <f>CONCATENATE(F39,D39)</f>
        <v>870877406</v>
      </c>
      <c r="C39" t="str">
        <f>CONCATENATE(F39,"#",D39,"#")</f>
        <v>8708774#06#</v>
      </c>
      <c r="D39" s="3" t="s">
        <v>8375</v>
      </c>
      <c r="E39" t="str">
        <f>IFERROR(VLOOKUP(1*LEFT(C39,7),DF!$A$1:$F$9446,2,FALSE),"")</f>
        <v>MORRAL TACTICO MOLLE C/ELASTICO 0774-78</v>
      </c>
      <c r="F39" s="7">
        <v>8708774</v>
      </c>
      <c r="G39" s="7" t="s">
        <v>13820</v>
      </c>
      <c r="H39" s="7">
        <v>4</v>
      </c>
      <c r="I39" s="11" t="s">
        <v>8376</v>
      </c>
      <c r="J39" s="11" t="s">
        <v>12131</v>
      </c>
      <c r="K39" s="11" t="s">
        <v>12148</v>
      </c>
      <c r="L39" s="11" t="s">
        <v>12149</v>
      </c>
    </row>
    <row r="40" spans="1:17" x14ac:dyDescent="0.25">
      <c r="A40">
        <v>20508</v>
      </c>
      <c r="B40" t="str">
        <f>CONCATENATE(F40,D40)</f>
        <v>870877409</v>
      </c>
      <c r="C40" t="str">
        <f>CONCATENATE(F40,"#",D40,"#")</f>
        <v>8708774#09#</v>
      </c>
      <c r="D40" s="3" t="s">
        <v>7026</v>
      </c>
      <c r="E40" t="str">
        <f>IFERROR(VLOOKUP(1*LEFT(C40,7),DF!$A$1:$F$9446,2,FALSE),"")</f>
        <v>MORRAL TACTICO MOLLE C/ELASTICO 0774-78</v>
      </c>
      <c r="F40" s="7">
        <v>8708774</v>
      </c>
      <c r="G40" s="7" t="s">
        <v>13821</v>
      </c>
      <c r="H40" s="7">
        <v>4</v>
      </c>
      <c r="I40" s="11" t="s">
        <v>7027</v>
      </c>
      <c r="J40" s="11" t="s">
        <v>10866</v>
      </c>
      <c r="K40" s="11" t="s">
        <v>10869</v>
      </c>
      <c r="L40" s="11" t="s">
        <v>10870</v>
      </c>
    </row>
    <row r="41" spans="1:17" x14ac:dyDescent="0.25">
      <c r="A41">
        <v>20508</v>
      </c>
      <c r="B41" t="str">
        <f>CONCATENATE(F41,D41)</f>
        <v>870877411</v>
      </c>
      <c r="C41" t="str">
        <f>CONCATENATE(F41,"#",D41,"#")</f>
        <v>8708774#11#</v>
      </c>
      <c r="D41" s="3" t="s">
        <v>12198</v>
      </c>
      <c r="E41" t="str">
        <f>IFERROR(VLOOKUP(1*LEFT(C41,7),DF!$A$1:$F$9446,2,FALSE),"")</f>
        <v>MORRAL TACTICO MOLLE C/ELASTICO 0774-78</v>
      </c>
      <c r="F41" s="7">
        <v>8708774</v>
      </c>
      <c r="G41" s="7" t="s">
        <v>13822</v>
      </c>
      <c r="H41" s="7">
        <v>4</v>
      </c>
      <c r="I41" s="11" t="s">
        <v>12199</v>
      </c>
      <c r="J41" s="11" t="s">
        <v>12200</v>
      </c>
      <c r="K41" s="11" t="s">
        <v>12201</v>
      </c>
      <c r="L41" s="11" t="s">
        <v>12202</v>
      </c>
    </row>
    <row r="42" spans="1:17" x14ac:dyDescent="0.25">
      <c r="A42">
        <v>20508</v>
      </c>
      <c r="B42" t="str">
        <f>CONCATENATE(F42,D42)</f>
        <v>861212204</v>
      </c>
      <c r="C42" t="str">
        <f>CONCATENATE(F42,"#",D42,"#")</f>
        <v>8612122#04#</v>
      </c>
      <c r="D42" s="3" t="s">
        <v>12169</v>
      </c>
      <c r="E42" t="str">
        <f>IFERROR(VLOOKUP(1*LEFT(C42,7),DF!$A$1:$F$9446,2,FALSE),"")</f>
        <v>GAZEBO PLEGABLE 3X3 AUTOMATICO</v>
      </c>
      <c r="F42" s="7">
        <v>8612122</v>
      </c>
      <c r="G42" s="7" t="s">
        <v>13823</v>
      </c>
      <c r="H42" s="7">
        <v>9</v>
      </c>
      <c r="I42" s="11" t="s">
        <v>12170</v>
      </c>
      <c r="J42" s="11" t="s">
        <v>12171</v>
      </c>
      <c r="K42" s="11" t="s">
        <v>12172</v>
      </c>
      <c r="L42" s="11" t="s">
        <v>12173</v>
      </c>
      <c r="M42" s="11" t="s">
        <v>12174</v>
      </c>
      <c r="N42" s="11" t="s">
        <v>12175</v>
      </c>
      <c r="O42" s="11" t="s">
        <v>12176</v>
      </c>
      <c r="P42" s="11" t="s">
        <v>12177</v>
      </c>
      <c r="Q42" s="11" t="s">
        <v>12178</v>
      </c>
    </row>
    <row r="43" spans="1:17" x14ac:dyDescent="0.25">
      <c r="A43">
        <v>20508</v>
      </c>
      <c r="B43" t="str">
        <f>CONCATENATE(F43,D43)</f>
        <v>861212218</v>
      </c>
      <c r="C43" t="str">
        <f>CONCATENATE(F43,"#",D43,"#")</f>
        <v>8612122#18#</v>
      </c>
      <c r="D43" s="3" t="s">
        <v>10868</v>
      </c>
      <c r="E43" t="str">
        <f>IFERROR(VLOOKUP(1*LEFT(C43,7),DF!$A$1:$F$9446,2,FALSE),"")</f>
        <v>GAZEBO PLEGABLE 3X3 AUTOMATICO</v>
      </c>
      <c r="F43" s="7">
        <v>8612122</v>
      </c>
      <c r="G43" s="7" t="s">
        <v>13824</v>
      </c>
      <c r="H43" s="7">
        <v>9</v>
      </c>
      <c r="I43" s="11" t="s">
        <v>10872</v>
      </c>
      <c r="J43" s="11" t="s">
        <v>10873</v>
      </c>
      <c r="K43" s="11" t="s">
        <v>10874</v>
      </c>
      <c r="L43" s="11" t="s">
        <v>10875</v>
      </c>
      <c r="M43" s="11" t="s">
        <v>10876</v>
      </c>
      <c r="N43" s="11" t="s">
        <v>10878</v>
      </c>
      <c r="O43" s="11" t="s">
        <v>10881</v>
      </c>
      <c r="P43" s="11" t="s">
        <v>10882</v>
      </c>
      <c r="Q43" s="11" t="s">
        <v>12179</v>
      </c>
    </row>
    <row r="44" spans="1:17" x14ac:dyDescent="0.25">
      <c r="A44">
        <v>20508</v>
      </c>
      <c r="B44" t="str">
        <f>CONCATENATE(F44,D44)</f>
        <v>861212222</v>
      </c>
      <c r="C44" t="str">
        <f>CONCATENATE(F44,"#",D44,"#")</f>
        <v>8612122#22#</v>
      </c>
      <c r="D44" s="3" t="s">
        <v>12147</v>
      </c>
      <c r="E44" t="str">
        <f>IFERROR(VLOOKUP(1*LEFT(C44,7),DF!$A$1:$F$9446,2,FALSE),"")</f>
        <v>GAZEBO PLEGABLE 3X3 AUTOMATICO</v>
      </c>
      <c r="F44" s="7">
        <v>8612122</v>
      </c>
      <c r="G44" s="7" t="s">
        <v>13825</v>
      </c>
      <c r="H44" s="7">
        <v>9</v>
      </c>
      <c r="I44" s="11" t="s">
        <v>12155</v>
      </c>
      <c r="J44" s="11" t="s">
        <v>12156</v>
      </c>
      <c r="K44" s="11" t="s">
        <v>12157</v>
      </c>
      <c r="L44" s="11" t="s">
        <v>12158</v>
      </c>
      <c r="M44" s="11" t="s">
        <v>12159</v>
      </c>
      <c r="N44" s="11" t="s">
        <v>12180</v>
      </c>
      <c r="O44" s="11" t="s">
        <v>12181</v>
      </c>
      <c r="P44" s="11" t="s">
        <v>12182</v>
      </c>
      <c r="Q44" s="11" t="s">
        <v>12183</v>
      </c>
    </row>
    <row r="45" spans="1:17" x14ac:dyDescent="0.25">
      <c r="A45">
        <v>20508</v>
      </c>
      <c r="B45" t="str">
        <f>CONCATENATE(F45,D45)</f>
        <v>830329708</v>
      </c>
      <c r="C45" t="str">
        <f>CONCATENATE(F45,"#",D45,"#")</f>
        <v>8303297#08#</v>
      </c>
      <c r="D45" s="3" t="s">
        <v>12146</v>
      </c>
      <c r="E45" t="str">
        <f>IFERROR(VLOOKUP(1*LEFT(C45,7),DF!$A$1:$F$9446,2,FALSE),"")</f>
        <v>RELOJ TACTICO MALLA/PLASTI ICE FROG 5524</v>
      </c>
      <c r="F45" s="7">
        <v>8303297</v>
      </c>
      <c r="G45" s="7" t="s">
        <v>13826</v>
      </c>
      <c r="H45" s="7">
        <v>2</v>
      </c>
      <c r="I45" s="11" t="s">
        <v>12150</v>
      </c>
      <c r="J45" s="11" t="s">
        <v>12151</v>
      </c>
    </row>
    <row r="46" spans="1:17" x14ac:dyDescent="0.25">
      <c r="A46">
        <v>20508</v>
      </c>
      <c r="B46" t="str">
        <f>CONCATENATE(F46,D46)</f>
        <v>830329709</v>
      </c>
      <c r="C46" t="str">
        <f>CONCATENATE(F46,"#",D46,"#")</f>
        <v>8303297#09#</v>
      </c>
      <c r="D46" s="3" t="s">
        <v>7026</v>
      </c>
      <c r="E46" t="str">
        <f>IFERROR(VLOOKUP(1*LEFT(C46,7),DF!$A$1:$F$9446,2,FALSE),"")</f>
        <v>RELOJ TACTICO MALLA/PLASTI ICE FROG 5524</v>
      </c>
      <c r="F46" s="7">
        <v>8303297</v>
      </c>
      <c r="G46" s="7" t="s">
        <v>13827</v>
      </c>
      <c r="H46" s="7">
        <v>1</v>
      </c>
      <c r="I46" s="11" t="s">
        <v>7027</v>
      </c>
    </row>
    <row r="47" spans="1:17" x14ac:dyDescent="0.25">
      <c r="A47">
        <v>20508</v>
      </c>
      <c r="B47" t="str">
        <f>CONCATENATE(F47,D47)</f>
        <v>830329721</v>
      </c>
      <c r="C47" t="str">
        <f>CONCATENATE(F47,"#",D47,"#")</f>
        <v>8303297#21#</v>
      </c>
      <c r="D47" s="3" t="s">
        <v>12185</v>
      </c>
      <c r="E47" t="str">
        <f>IFERROR(VLOOKUP(1*LEFT(C47,7),DF!$A$1:$F$9446,2,FALSE),"")</f>
        <v>RELOJ TACTICO MALLA/PLASTI ICE FROG 5524</v>
      </c>
      <c r="F47" s="7">
        <v>8303297</v>
      </c>
      <c r="G47" s="7" t="s">
        <v>13828</v>
      </c>
      <c r="H47" s="7">
        <v>2</v>
      </c>
      <c r="I47" s="11" t="s">
        <v>12186</v>
      </c>
      <c r="J47" s="11" t="s">
        <v>12187</v>
      </c>
    </row>
    <row r="48" spans="1:17" x14ac:dyDescent="0.25">
      <c r="A48">
        <v>20508</v>
      </c>
      <c r="B48" t="str">
        <f>CONCATENATE(F48,D48)</f>
        <v>870125503</v>
      </c>
      <c r="C48" t="str">
        <f>CONCATENATE(F48,"#",D48,"#")</f>
        <v>8701255#03#</v>
      </c>
      <c r="D48" s="3" t="s">
        <v>8374</v>
      </c>
      <c r="E48" t="str">
        <f>IFERROR(VLOOKUP(1*LEFT(C48,7),DF!$A$1:$F$9446,2,FALSE),"")</f>
        <v>CINTURON TACTICO 3255 TG017</v>
      </c>
      <c r="F48" s="7">
        <v>8701255</v>
      </c>
      <c r="G48" s="7" t="s">
        <v>13829</v>
      </c>
      <c r="H48" s="7">
        <v>2</v>
      </c>
      <c r="I48" s="11" t="s">
        <v>8377</v>
      </c>
      <c r="J48" s="11" t="s">
        <v>10865</v>
      </c>
    </row>
    <row r="49" spans="1:13" x14ac:dyDescent="0.25">
      <c r="A49">
        <v>20508</v>
      </c>
      <c r="B49" t="str">
        <f>CONCATENATE(F49,D49)</f>
        <v>870125509</v>
      </c>
      <c r="C49" t="str">
        <f>CONCATENATE(F49,"#",D49,"#")</f>
        <v>8701255#09#</v>
      </c>
      <c r="D49" s="3" t="s">
        <v>7026</v>
      </c>
      <c r="E49" t="str">
        <f>IFERROR(VLOOKUP(1*LEFT(C49,7),DF!$A$1:$F$9446,2,FALSE),"")</f>
        <v>CINTURON TACTICO 3255 TG017</v>
      </c>
      <c r="F49" s="7">
        <v>8701255</v>
      </c>
      <c r="G49" s="7" t="s">
        <v>13830</v>
      </c>
      <c r="H49" s="7">
        <v>1</v>
      </c>
      <c r="I49" s="11" t="s">
        <v>7027</v>
      </c>
    </row>
    <row r="50" spans="1:13" x14ac:dyDescent="0.25">
      <c r="A50">
        <v>20508</v>
      </c>
      <c r="B50" t="str">
        <f>CONCATENATE(F50,D50)</f>
        <v>870863403</v>
      </c>
      <c r="C50" t="str">
        <f>CONCATENATE(F50,"#",D50,"#")</f>
        <v>8708634#03#</v>
      </c>
      <c r="D50" s="3" t="s">
        <v>8374</v>
      </c>
      <c r="E50" t="str">
        <f>IFERROR(VLOOKUP(1*LEFT(C50,7),DF!$A$1:$F$9446,2,FALSE),"")</f>
        <v>MOCHILA CON CORDON GRANDE 8132-34 65L YW</v>
      </c>
      <c r="F50" s="7">
        <v>8708634</v>
      </c>
      <c r="G50" s="7" t="s">
        <v>13831</v>
      </c>
      <c r="H50" s="7">
        <v>2</v>
      </c>
      <c r="I50" s="11" t="s">
        <v>8377</v>
      </c>
      <c r="J50" s="11" t="s">
        <v>10865</v>
      </c>
    </row>
    <row r="51" spans="1:13" x14ac:dyDescent="0.25">
      <c r="A51">
        <v>20508</v>
      </c>
      <c r="B51" t="str">
        <f>CONCATENATE(F51,D51)</f>
        <v>870863405</v>
      </c>
      <c r="C51" t="str">
        <f>CONCATENATE(F51,"#",D51,"#")</f>
        <v>8708634#05#</v>
      </c>
      <c r="D51" s="3" t="s">
        <v>12203</v>
      </c>
      <c r="E51" t="str">
        <f>IFERROR(VLOOKUP(1*LEFT(C51,7),DF!$A$1:$F$9446,2,FALSE),"")</f>
        <v>MOCHILA CON CORDON GRANDE 8132-34 65L YW</v>
      </c>
      <c r="F51" s="7">
        <v>8708634</v>
      </c>
      <c r="G51" s="7" t="s">
        <v>13832</v>
      </c>
      <c r="H51" s="7">
        <v>1</v>
      </c>
      <c r="I51" s="11" t="s">
        <v>12283</v>
      </c>
    </row>
    <row r="52" spans="1:13" x14ac:dyDescent="0.25">
      <c r="A52">
        <v>20508</v>
      </c>
      <c r="B52" t="str">
        <f>CONCATENATE(F52,D52)</f>
        <v>870863407</v>
      </c>
      <c r="C52" t="str">
        <f>CONCATENATE(F52,"#",D52,"#")</f>
        <v>8708634#07#</v>
      </c>
      <c r="D52" s="3" t="s">
        <v>12163</v>
      </c>
      <c r="E52" t="str">
        <f>IFERROR(VLOOKUP(1*LEFT(C52,7),DF!$A$1:$F$9446,2,FALSE),"")</f>
        <v>MOCHILA CON CORDON GRANDE 8132-34 65L YW</v>
      </c>
      <c r="F52" s="7">
        <v>8708634</v>
      </c>
      <c r="G52" s="7" t="s">
        <v>13833</v>
      </c>
      <c r="H52" s="7">
        <v>1</v>
      </c>
      <c r="I52" s="11" t="s">
        <v>12164</v>
      </c>
    </row>
    <row r="53" spans="1:13" x14ac:dyDescent="0.25">
      <c r="A53">
        <v>20508</v>
      </c>
      <c r="B53" t="str">
        <f>CONCATENATE(F53,D53)</f>
        <v>870863409</v>
      </c>
      <c r="C53" t="str">
        <f>CONCATENATE(F53,"#",D53,"#")</f>
        <v>8708634#09#</v>
      </c>
      <c r="D53" s="3" t="s">
        <v>7026</v>
      </c>
      <c r="E53" t="str">
        <f>IFERROR(VLOOKUP(1*LEFT(C53,7),DF!$A$1:$F$9446,2,FALSE),"")</f>
        <v>MOCHILA CON CORDON GRANDE 8132-34 65L YW</v>
      </c>
      <c r="F53" s="7">
        <v>8708634</v>
      </c>
      <c r="G53" s="7" t="s">
        <v>13834</v>
      </c>
      <c r="H53" s="7">
        <v>4</v>
      </c>
      <c r="I53" s="11" t="s">
        <v>7027</v>
      </c>
      <c r="J53" s="11" t="s">
        <v>10866</v>
      </c>
      <c r="K53" s="11" t="s">
        <v>10869</v>
      </c>
      <c r="L53" s="11" t="s">
        <v>10870</v>
      </c>
    </row>
    <row r="54" spans="1:13" x14ac:dyDescent="0.25">
      <c r="A54">
        <v>20508</v>
      </c>
      <c r="B54" t="str">
        <f>CONCATENATE(F54,D54)</f>
        <v>870862806</v>
      </c>
      <c r="C54" t="str">
        <f>CONCATENATE(F54,"#",D54,"#")</f>
        <v>8708628#06#</v>
      </c>
      <c r="D54" s="3" t="s">
        <v>8375</v>
      </c>
      <c r="E54" t="str">
        <f>IFERROR(VLOOKUP(1*LEFT(C54,7),DF!$A$1:$F$9446,2,FALSE),"")</f>
        <v>MOCHILA BOLSO 8126-2 50L YW-140/3</v>
      </c>
      <c r="F54" s="7">
        <v>8708628</v>
      </c>
      <c r="G54" s="7" t="s">
        <v>13835</v>
      </c>
      <c r="H54" s="7">
        <v>1</v>
      </c>
      <c r="I54" s="11" t="s">
        <v>8376</v>
      </c>
    </row>
    <row r="55" spans="1:13" x14ac:dyDescent="0.25">
      <c r="A55">
        <v>20508</v>
      </c>
      <c r="B55" t="str">
        <f>CONCATENATE(F55,D55)</f>
        <v>870862807</v>
      </c>
      <c r="C55" t="str">
        <f>CONCATENATE(F55,"#",D55,"#")</f>
        <v>8708628#07#</v>
      </c>
      <c r="D55" s="3" t="s">
        <v>12163</v>
      </c>
      <c r="E55" t="str">
        <f>IFERROR(VLOOKUP(1*LEFT(C55,7),DF!$A$1:$F$9446,2,FALSE),"")</f>
        <v>MOCHILA BOLSO 8126-2 50L YW-140/3</v>
      </c>
      <c r="F55" s="7">
        <v>8708628</v>
      </c>
      <c r="G55" s="7" t="s">
        <v>13836</v>
      </c>
      <c r="H55" s="7">
        <v>5</v>
      </c>
      <c r="I55" s="11" t="s">
        <v>12164</v>
      </c>
      <c r="J55" s="11" t="s">
        <v>12165</v>
      </c>
      <c r="K55" s="11" t="s">
        <v>12166</v>
      </c>
      <c r="L55" s="11" t="s">
        <v>12167</v>
      </c>
      <c r="M55" s="11" t="s">
        <v>12284</v>
      </c>
    </row>
    <row r="56" spans="1:13" x14ac:dyDescent="0.25">
      <c r="A56">
        <v>20508</v>
      </c>
      <c r="B56" t="str">
        <f>CONCATENATE(F56,D56)</f>
        <v>852051109</v>
      </c>
      <c r="C56" t="str">
        <f>CONCATENATE(F56,"#",D56,"#")</f>
        <v>8520511#09#</v>
      </c>
      <c r="D56" s="3" t="s">
        <v>7026</v>
      </c>
      <c r="E56" t="str">
        <f>IFERROR(VLOOKUP(1*LEFT(C56,7),DF!$A$1:$F$9446,2,FALSE),"")</f>
        <v>MOSQUETON POLIM PLASTICO 2072</v>
      </c>
      <c r="F56" s="7">
        <v>8520511</v>
      </c>
      <c r="G56" s="7" t="s">
        <v>13837</v>
      </c>
      <c r="H56" s="7">
        <v>2</v>
      </c>
      <c r="I56" s="11" t="s">
        <v>7027</v>
      </c>
      <c r="J56" s="11" t="s">
        <v>10866</v>
      </c>
    </row>
    <row r="57" spans="1:13" x14ac:dyDescent="0.25">
      <c r="A57">
        <v>20508</v>
      </c>
      <c r="B57" t="str">
        <f>CONCATENATE(F57,D57)</f>
        <v>852051106</v>
      </c>
      <c r="C57" t="str">
        <f>CONCATENATE(F57,"#",D57,"#")</f>
        <v>8520511#06#</v>
      </c>
      <c r="D57" s="3" t="s">
        <v>8375</v>
      </c>
      <c r="E57" t="str">
        <f>IFERROR(VLOOKUP(1*LEFT(C57,7),DF!$A$1:$F$9446,2,FALSE),"")</f>
        <v>MOSQUETON POLIM PLASTICO 2072</v>
      </c>
      <c r="F57" s="7">
        <v>8520511</v>
      </c>
      <c r="G57" s="7" t="s">
        <v>13838</v>
      </c>
      <c r="H57" s="7">
        <v>2</v>
      </c>
      <c r="I57" s="11" t="s">
        <v>8376</v>
      </c>
      <c r="J57" s="11" t="s">
        <v>12131</v>
      </c>
    </row>
    <row r="58" spans="1:13" x14ac:dyDescent="0.25">
      <c r="A58">
        <v>20508</v>
      </c>
      <c r="B58" t="str">
        <f>CONCATENATE(F58,D58)</f>
        <v>852051103</v>
      </c>
      <c r="C58" t="str">
        <f>CONCATENATE(F58,"#",D58,"#")</f>
        <v>8520511#03#</v>
      </c>
      <c r="D58" s="3" t="s">
        <v>8374</v>
      </c>
      <c r="E58" t="str">
        <f>IFERROR(VLOOKUP(1*LEFT(C58,7),DF!$A$1:$F$9446,2,FALSE),"")</f>
        <v>MOSQUETON POLIM PLASTICO 2072</v>
      </c>
      <c r="F58" s="7">
        <v>8520511</v>
      </c>
      <c r="G58" s="7" t="s">
        <v>13839</v>
      </c>
      <c r="H58" s="7">
        <v>2</v>
      </c>
      <c r="I58" s="11" t="s">
        <v>8377</v>
      </c>
      <c r="J58" s="11" t="s">
        <v>10865</v>
      </c>
    </row>
    <row r="59" spans="1:13" x14ac:dyDescent="0.25">
      <c r="A59">
        <v>20508</v>
      </c>
      <c r="B59" t="str">
        <f>CONCATENATE(F59,D59)</f>
        <v>850582409</v>
      </c>
      <c r="C59" t="str">
        <f>CONCATENATE(F59,"#",D59,"#")</f>
        <v>8505824#09#</v>
      </c>
      <c r="D59" s="3" t="s">
        <v>7026</v>
      </c>
      <c r="E59" t="str">
        <f>IFERROR(VLOOKUP(1*LEFT(C59,7),DF!$A$1:$F$9446,2,FALSE),"")</f>
        <v>BARBIJO CORDON BICOLOR RER</v>
      </c>
      <c r="F59" s="7">
        <v>8505824</v>
      </c>
      <c r="G59" s="7" t="s">
        <v>13840</v>
      </c>
      <c r="H59" s="7">
        <v>1</v>
      </c>
      <c r="I59" s="11" t="s">
        <v>7027</v>
      </c>
    </row>
    <row r="60" spans="1:13" x14ac:dyDescent="0.25">
      <c r="A60">
        <v>20508</v>
      </c>
      <c r="B60" t="str">
        <f>CONCATENATE(F60,D60)</f>
        <v>850582418</v>
      </c>
      <c r="C60" t="str">
        <f>CONCATENATE(F60,"#",D60,"#")</f>
        <v>8505824#18#</v>
      </c>
      <c r="D60" s="3" t="s">
        <v>10868</v>
      </c>
      <c r="E60" t="str">
        <f>IFERROR(VLOOKUP(1*LEFT(C60,7),DF!$A$1:$F$9446,2,FALSE),"")</f>
        <v>BARBIJO CORDON BICOLOR RER</v>
      </c>
      <c r="F60" s="7">
        <v>8505824</v>
      </c>
      <c r="G60" s="7" t="s">
        <v>13841</v>
      </c>
      <c r="H60" s="7">
        <v>1</v>
      </c>
      <c r="I60" s="11" t="s">
        <v>10872</v>
      </c>
    </row>
    <row r="61" spans="1:13" x14ac:dyDescent="0.25">
      <c r="A61">
        <v>20508</v>
      </c>
      <c r="B61" t="str">
        <f>CONCATENATE(F61,D61)</f>
        <v>869223011</v>
      </c>
      <c r="C61" t="str">
        <f>CONCATENATE(F61,"#",D61,"#")</f>
        <v>8692230#11#</v>
      </c>
      <c r="D61" s="3" t="s">
        <v>12198</v>
      </c>
      <c r="E61" t="str">
        <f>IFERROR(VLOOKUP(1*LEFT(C61,7),DF!$A$1:$F$9446,2,FALSE),"")</f>
        <v>BOLSA DORMIR KC-003-2</v>
      </c>
      <c r="F61" s="7">
        <v>8692230</v>
      </c>
      <c r="G61" s="7" t="s">
        <v>13842</v>
      </c>
      <c r="H61" s="7">
        <v>4</v>
      </c>
      <c r="I61" s="11" t="s">
        <v>12199</v>
      </c>
      <c r="J61" s="11" t="s">
        <v>12200</v>
      </c>
      <c r="K61" s="11" t="s">
        <v>12201</v>
      </c>
      <c r="L61" s="11" t="s">
        <v>12202</v>
      </c>
    </row>
    <row r="62" spans="1:13" x14ac:dyDescent="0.25">
      <c r="A62">
        <v>20508</v>
      </c>
      <c r="B62" t="str">
        <f>CONCATENATE(F62,D62)</f>
        <v>869223004</v>
      </c>
      <c r="C62" t="str">
        <f>CONCATENATE(F62,"#",D62,"#")</f>
        <v>8692230#04#</v>
      </c>
      <c r="D62" s="3" t="s">
        <v>12169</v>
      </c>
      <c r="E62" t="str">
        <f>IFERROR(VLOOKUP(1*LEFT(C62,7),DF!$A$1:$F$9446,2,FALSE),"")</f>
        <v>BOLSA DORMIR KC-003-2</v>
      </c>
      <c r="F62" s="7">
        <v>8692230</v>
      </c>
      <c r="G62" s="7" t="s">
        <v>13843</v>
      </c>
      <c r="H62" s="7">
        <v>4</v>
      </c>
      <c r="I62" s="11" t="s">
        <v>12170</v>
      </c>
      <c r="J62" s="11" t="s">
        <v>12171</v>
      </c>
      <c r="K62" s="11" t="s">
        <v>12172</v>
      </c>
      <c r="L62" s="11" t="s">
        <v>12173</v>
      </c>
    </row>
    <row r="63" spans="1:13" x14ac:dyDescent="0.25">
      <c r="A63">
        <v>20508</v>
      </c>
      <c r="B63" t="str">
        <f>CONCATENATE(F63,D63)</f>
        <v>869223018</v>
      </c>
      <c r="C63" t="str">
        <f>CONCATENATE(F63,"#",D63,"#")</f>
        <v>8692230#18#</v>
      </c>
      <c r="D63" s="3" t="s">
        <v>10868</v>
      </c>
      <c r="E63" t="str">
        <f>IFERROR(VLOOKUP(1*LEFT(C63,7),DF!$A$1:$F$9446,2,FALSE),"")</f>
        <v>BOLSA DORMIR KC-003-2</v>
      </c>
      <c r="F63" s="7">
        <v>8692230</v>
      </c>
      <c r="G63" s="7" t="s">
        <v>13844</v>
      </c>
      <c r="H63" s="7">
        <v>4</v>
      </c>
      <c r="I63" s="11" t="s">
        <v>10872</v>
      </c>
      <c r="J63" s="11" t="s">
        <v>10873</v>
      </c>
      <c r="K63" s="11" t="s">
        <v>10874</v>
      </c>
      <c r="L63" s="11" t="s">
        <v>10875</v>
      </c>
    </row>
    <row r="64" spans="1:13" x14ac:dyDescent="0.25">
      <c r="A64">
        <v>20508</v>
      </c>
      <c r="B64" t="str">
        <f>CONCATENATE(F64,D64)</f>
        <v>869223006</v>
      </c>
      <c r="C64" t="str">
        <f>CONCATENATE(F64,"#",D64,"#")</f>
        <v>8692230#06#</v>
      </c>
      <c r="D64" s="3" t="s">
        <v>8375</v>
      </c>
      <c r="E64" t="str">
        <f>IFERROR(VLOOKUP(1*LEFT(C64,7),DF!$A$1:$F$9446,2,FALSE),"")</f>
        <v>BOLSA DORMIR KC-003-2</v>
      </c>
      <c r="F64" s="7">
        <v>8692230</v>
      </c>
      <c r="G64" s="7" t="s">
        <v>13845</v>
      </c>
      <c r="H64" s="7">
        <v>4</v>
      </c>
      <c r="I64" s="11" t="s">
        <v>8376</v>
      </c>
      <c r="J64" s="11" t="s">
        <v>12131</v>
      </c>
      <c r="K64" s="11" t="s">
        <v>12148</v>
      </c>
      <c r="L64" s="11" t="s">
        <v>12149</v>
      </c>
    </row>
    <row r="65" spans="1:15" x14ac:dyDescent="0.25">
      <c r="A65">
        <v>20508</v>
      </c>
      <c r="B65" t="str">
        <f>CONCATENATE(F65,D65)</f>
        <v>869223029</v>
      </c>
      <c r="C65" t="str">
        <f>CONCATENATE(F65,"#",D65,"#")</f>
        <v>8692230#29#</v>
      </c>
      <c r="D65" s="3" t="s">
        <v>12285</v>
      </c>
      <c r="E65" t="str">
        <f>IFERROR(VLOOKUP(1*LEFT(C65,7),DF!$A$1:$F$9446,2,FALSE),"")</f>
        <v>BOLSA DORMIR KC-003-2</v>
      </c>
      <c r="F65" s="7">
        <v>8692230</v>
      </c>
      <c r="G65" s="7" t="s">
        <v>13846</v>
      </c>
      <c r="H65" s="7">
        <v>5</v>
      </c>
      <c r="I65" s="11" t="s">
        <v>12287</v>
      </c>
      <c r="J65" s="11" t="s">
        <v>12288</v>
      </c>
      <c r="K65" s="11" t="s">
        <v>12289</v>
      </c>
      <c r="L65" s="11" t="s">
        <v>12290</v>
      </c>
      <c r="M65" s="11" t="s">
        <v>12291</v>
      </c>
    </row>
    <row r="66" spans="1:15" x14ac:dyDescent="0.25">
      <c r="A66">
        <v>20508</v>
      </c>
      <c r="B66" t="str">
        <f>CONCATENATE(F66,D66)</f>
        <v>869223006</v>
      </c>
      <c r="C66" t="str">
        <f>CONCATENATE(F66,"#",D66,"#")</f>
        <v>8692230#06#</v>
      </c>
      <c r="D66" s="24" t="s">
        <v>8375</v>
      </c>
      <c r="E66" t="str">
        <f>IFERROR(VLOOKUP(1*LEFT(C66,7),DF!$A$1:$F$9446,2,FALSE),"")</f>
        <v>BOLSA DORMIR KC-003-2</v>
      </c>
      <c r="F66" s="7">
        <v>8692230</v>
      </c>
      <c r="G66" s="7" t="s">
        <v>13845</v>
      </c>
      <c r="H66" s="7">
        <v>4</v>
      </c>
      <c r="I66" s="11" t="s">
        <v>8376</v>
      </c>
      <c r="J66" s="11" t="s">
        <v>12131</v>
      </c>
      <c r="K66" s="11" t="s">
        <v>12148</v>
      </c>
      <c r="L66" s="11" t="s">
        <v>12149</v>
      </c>
    </row>
    <row r="67" spans="1:15" x14ac:dyDescent="0.25">
      <c r="A67">
        <v>20508</v>
      </c>
      <c r="B67" t="str">
        <f>CONCATENATE(F67,D67)</f>
        <v>869223013</v>
      </c>
      <c r="C67" t="str">
        <f>CONCATENATE(F67,"#",D67,"#")</f>
        <v>8692230#13#</v>
      </c>
      <c r="D67" s="24" t="s">
        <v>12286</v>
      </c>
      <c r="E67" t="str">
        <f>IFERROR(VLOOKUP(1*LEFT(C67,7),DF!$A$1:$F$9446,2,FALSE),"")</f>
        <v>BOLSA DORMIR KC-003-2</v>
      </c>
      <c r="F67" s="7">
        <v>8692230</v>
      </c>
      <c r="G67" s="7" t="s">
        <v>13847</v>
      </c>
      <c r="H67" s="7">
        <v>2</v>
      </c>
      <c r="I67" s="11" t="s">
        <v>12292</v>
      </c>
      <c r="J67" s="11" t="s">
        <v>12293</v>
      </c>
    </row>
    <row r="68" spans="1:15" x14ac:dyDescent="0.25">
      <c r="A68">
        <v>20508</v>
      </c>
      <c r="B68" t="str">
        <f>CONCATENATE(F68,D68)</f>
        <v>840000801</v>
      </c>
      <c r="C68" t="str">
        <f>CONCATENATE(F68,"#",D68,"#")</f>
        <v>8400008#01#</v>
      </c>
      <c r="D68" s="24" t="s">
        <v>12294</v>
      </c>
      <c r="E68" t="str">
        <f>IFERROR(VLOOKUP(1*LEFT(C68,7),DF!$A$1:$F$9446,2,FALSE),"")</f>
        <v>GORRITA BEISBOL CAMUFLADAS 2280</v>
      </c>
      <c r="F68" s="7">
        <v>8400008</v>
      </c>
      <c r="G68" s="7" t="s">
        <v>13848</v>
      </c>
      <c r="H68" s="7">
        <v>3</v>
      </c>
      <c r="I68" s="11" t="s">
        <v>12295</v>
      </c>
      <c r="J68" s="11" t="s">
        <v>12296</v>
      </c>
      <c r="K68" s="11" t="s">
        <v>12297</v>
      </c>
    </row>
    <row r="69" spans="1:15" x14ac:dyDescent="0.25">
      <c r="A69">
        <v>20508</v>
      </c>
      <c r="B69" t="str">
        <f>CONCATENATE(F69,D69)</f>
        <v>840000803</v>
      </c>
      <c r="C69" t="str">
        <f>CONCATENATE(F69,"#",D69,"#")</f>
        <v>8400008#03#</v>
      </c>
      <c r="D69" s="24" t="s">
        <v>8374</v>
      </c>
      <c r="E69" t="str">
        <f>IFERROR(VLOOKUP(1*LEFT(C69,7),DF!$A$1:$F$9446,2,FALSE),"")</f>
        <v>GORRITA BEISBOL CAMUFLADAS 2280</v>
      </c>
      <c r="F69" s="7">
        <v>8400008</v>
      </c>
      <c r="G69" s="7" t="s">
        <v>13849</v>
      </c>
      <c r="H69" s="7">
        <v>1</v>
      </c>
      <c r="I69" s="11" t="s">
        <v>8377</v>
      </c>
    </row>
    <row r="70" spans="1:15" x14ac:dyDescent="0.25">
      <c r="A70">
        <v>20508</v>
      </c>
      <c r="B70" t="str">
        <f>CONCATENATE(F70,D70)</f>
        <v>840000806</v>
      </c>
      <c r="C70" t="str">
        <f>CONCATENATE(F70,"#",D70,"#")</f>
        <v>8400008#06#</v>
      </c>
      <c r="D70" s="24" t="s">
        <v>8375</v>
      </c>
      <c r="E70" t="str">
        <f>IFERROR(VLOOKUP(1*LEFT(C70,7),DF!$A$1:$F$9446,2,FALSE),"")</f>
        <v>GORRITA BEISBOL CAMUFLADAS 2280</v>
      </c>
      <c r="F70" s="7">
        <v>8400008</v>
      </c>
      <c r="G70" s="7" t="s">
        <v>13850</v>
      </c>
      <c r="H70" s="7">
        <v>1</v>
      </c>
      <c r="I70" s="11" t="s">
        <v>8376</v>
      </c>
    </row>
    <row r="71" spans="1:15" x14ac:dyDescent="0.25">
      <c r="A71">
        <v>20508</v>
      </c>
      <c r="B71" t="str">
        <f>CONCATENATE(F71,D71)</f>
        <v>840000807</v>
      </c>
      <c r="C71" t="str">
        <f>CONCATENATE(F71,"#",D71,"#")</f>
        <v>8400008#07#</v>
      </c>
      <c r="D71" s="24" t="s">
        <v>12163</v>
      </c>
      <c r="E71" t="str">
        <f>IFERROR(VLOOKUP(1*LEFT(C71,7),DF!$A$1:$F$9446,2,FALSE),"")</f>
        <v>GORRITA BEISBOL CAMUFLADAS 2280</v>
      </c>
      <c r="F71" s="7">
        <v>8400008</v>
      </c>
      <c r="G71" s="7" t="s">
        <v>13851</v>
      </c>
      <c r="H71" s="7">
        <v>1</v>
      </c>
      <c r="I71" s="11" t="s">
        <v>12164</v>
      </c>
    </row>
    <row r="72" spans="1:15" x14ac:dyDescent="0.25">
      <c r="A72">
        <v>20508</v>
      </c>
      <c r="B72" t="str">
        <f>CONCATENATE(F72,D72)</f>
        <v>840000808</v>
      </c>
      <c r="C72" t="str">
        <f>CONCATENATE(F72,"#",D72,"#")</f>
        <v>8400008#08#</v>
      </c>
      <c r="D72" s="24" t="s">
        <v>12146</v>
      </c>
      <c r="E72" t="str">
        <f>IFERROR(VLOOKUP(1*LEFT(C72,7),DF!$A$1:$F$9446,2,FALSE),"")</f>
        <v>GORRITA BEISBOL CAMUFLADAS 2280</v>
      </c>
      <c r="F72" s="7">
        <v>8400008</v>
      </c>
      <c r="G72" s="7" t="s">
        <v>13852</v>
      </c>
      <c r="H72" s="7">
        <v>1</v>
      </c>
      <c r="I72" s="11" t="s">
        <v>12150</v>
      </c>
    </row>
    <row r="73" spans="1:15" x14ac:dyDescent="0.25">
      <c r="A73">
        <v>20508</v>
      </c>
      <c r="B73" t="str">
        <f>CONCATENATE(F73,D73)</f>
        <v>840000811</v>
      </c>
      <c r="C73" t="str">
        <f>CONCATENATE(F73,"#",D73,"#")</f>
        <v>8400008#11#</v>
      </c>
      <c r="D73" s="24" t="s">
        <v>12198</v>
      </c>
      <c r="E73" t="str">
        <f>IFERROR(VLOOKUP(1*LEFT(C73,7),DF!$A$1:$F$9446,2,FALSE),"")</f>
        <v>GORRITA BEISBOL CAMUFLADAS 2280</v>
      </c>
      <c r="F73" s="7">
        <v>8400008</v>
      </c>
      <c r="G73" s="7" t="s">
        <v>13853</v>
      </c>
      <c r="H73" s="7">
        <v>1</v>
      </c>
      <c r="I73" s="11" t="s">
        <v>12199</v>
      </c>
    </row>
    <row r="74" spans="1:15" x14ac:dyDescent="0.25">
      <c r="A74">
        <v>20508</v>
      </c>
      <c r="B74" t="str">
        <f>CONCATENATE(F74,D74)</f>
        <v>840000821</v>
      </c>
      <c r="C74" t="str">
        <f>CONCATENATE(F74,"#",D74,"#")</f>
        <v>8400008#21#</v>
      </c>
      <c r="D74" s="24" t="s">
        <v>12185</v>
      </c>
      <c r="E74" t="str">
        <f>IFERROR(VLOOKUP(1*LEFT(C74,7),DF!$A$1:$F$9446,2,FALSE),"")</f>
        <v>GORRITA BEISBOL CAMUFLADAS 2280</v>
      </c>
      <c r="F74" s="7">
        <v>8400008</v>
      </c>
      <c r="G74" s="7" t="s">
        <v>13854</v>
      </c>
      <c r="H74" s="7">
        <v>1</v>
      </c>
      <c r="I74" s="11" t="s">
        <v>12186</v>
      </c>
    </row>
    <row r="75" spans="1:15" x14ac:dyDescent="0.25">
      <c r="A75">
        <v>20508</v>
      </c>
      <c r="B75" t="str">
        <f>CONCATENATE(F75,D75)</f>
        <v>870899804</v>
      </c>
      <c r="C75" t="str">
        <f>CONCATENATE(F75,"#",D75,"#")</f>
        <v>8708998#04#</v>
      </c>
      <c r="D75" s="24" t="s">
        <v>12169</v>
      </c>
      <c r="E75" t="str">
        <f>IFERROR(VLOOKUP(1*LEFT(C75,7),DF!$A$1:$F$9446,2,FALSE),"")</f>
        <v>MOCHILA TIPO CAMELBACK CON SILBATO Y CIERRE FRONTAL 2998</v>
      </c>
      <c r="F75" s="7">
        <v>8708998</v>
      </c>
      <c r="G75" s="7" t="s">
        <v>13855</v>
      </c>
      <c r="H75" s="7">
        <v>7</v>
      </c>
      <c r="I75" s="11" t="s">
        <v>12170</v>
      </c>
      <c r="J75" s="11" t="s">
        <v>12171</v>
      </c>
      <c r="K75" s="11" t="s">
        <v>12172</v>
      </c>
      <c r="L75" s="11" t="s">
        <v>12174</v>
      </c>
      <c r="M75" s="11" t="s">
        <v>12175</v>
      </c>
      <c r="N75" s="11" t="s">
        <v>12176</v>
      </c>
      <c r="O75" s="11" t="s">
        <v>12177</v>
      </c>
    </row>
    <row r="76" spans="1:15" x14ac:dyDescent="0.25">
      <c r="A76">
        <v>20508</v>
      </c>
      <c r="B76" t="str">
        <f>CONCATENATE(F76,D76)</f>
        <v>870899805</v>
      </c>
      <c r="C76" t="str">
        <f>CONCATENATE(F76,"#",D76,"#")</f>
        <v>8708998#05#</v>
      </c>
      <c r="D76" s="24" t="s">
        <v>12203</v>
      </c>
      <c r="E76" t="str">
        <f>IFERROR(VLOOKUP(1*LEFT(C76,7),DF!$A$1:$F$9446,2,FALSE),"")</f>
        <v>MOCHILA TIPO CAMELBACK CON SILBATO Y CIERRE FRONTAL 2998</v>
      </c>
      <c r="F76" s="7">
        <v>8708998</v>
      </c>
      <c r="G76" s="7" t="s">
        <v>13856</v>
      </c>
      <c r="H76" s="7">
        <v>4</v>
      </c>
      <c r="I76" s="11" t="s">
        <v>12283</v>
      </c>
      <c r="J76" s="11" t="s">
        <v>12301</v>
      </c>
      <c r="K76" s="11" t="s">
        <v>12302</v>
      </c>
      <c r="L76" s="11" t="s">
        <v>12303</v>
      </c>
    </row>
    <row r="77" spans="1:15" x14ac:dyDescent="0.25">
      <c r="A77">
        <v>20508</v>
      </c>
      <c r="B77" t="str">
        <f>CONCATENATE(F77,D77)</f>
        <v>870899807</v>
      </c>
      <c r="C77" t="str">
        <f>CONCATENATE(F77,"#",D77,"#")</f>
        <v>8708998#07#</v>
      </c>
      <c r="D77" s="24" t="s">
        <v>12163</v>
      </c>
      <c r="E77" t="str">
        <f>IFERROR(VLOOKUP(1*LEFT(C77,7),DF!$A$1:$F$9446,2,FALSE),"")</f>
        <v>MOCHILA TIPO CAMELBACK CON SILBATO Y CIERRE FRONTAL 2998</v>
      </c>
      <c r="F77" s="7">
        <v>8708998</v>
      </c>
      <c r="G77" s="7" t="s">
        <v>13857</v>
      </c>
      <c r="H77" s="7">
        <v>4</v>
      </c>
      <c r="I77" s="11" t="s">
        <v>12164</v>
      </c>
      <c r="J77" s="11" t="s">
        <v>12165</v>
      </c>
      <c r="K77" s="11" t="s">
        <v>12166</v>
      </c>
      <c r="L77" s="11" t="s">
        <v>12167</v>
      </c>
    </row>
    <row r="78" spans="1:15" x14ac:dyDescent="0.25">
      <c r="A78">
        <v>20508</v>
      </c>
      <c r="B78" t="str">
        <f>CONCATENATE(F78,D78)</f>
        <v>870899808</v>
      </c>
      <c r="C78" t="str">
        <f>CONCATENATE(F78,"#",D78,"#")</f>
        <v>8708998#08#</v>
      </c>
      <c r="D78" s="24" t="s">
        <v>12146</v>
      </c>
      <c r="E78" t="str">
        <f>IFERROR(VLOOKUP(1*LEFT(C78,7),DF!$A$1:$F$9446,2,FALSE),"")</f>
        <v>MOCHILA TIPO CAMELBACK CON SILBATO Y CIERRE FRONTAL 2998</v>
      </c>
      <c r="F78" s="7">
        <v>8708998</v>
      </c>
      <c r="G78" s="7" t="s">
        <v>13858</v>
      </c>
      <c r="H78" s="7">
        <v>5</v>
      </c>
      <c r="I78" s="11" t="s">
        <v>12150</v>
      </c>
      <c r="J78" s="11" t="s">
        <v>12151</v>
      </c>
      <c r="K78" s="11" t="s">
        <v>12152</v>
      </c>
      <c r="L78" s="11" t="s">
        <v>12153</v>
      </c>
      <c r="M78" s="11" t="s">
        <v>12154</v>
      </c>
    </row>
    <row r="79" spans="1:15" x14ac:dyDescent="0.25">
      <c r="A79">
        <v>20508</v>
      </c>
      <c r="B79" t="str">
        <f>CONCATENATE(F79,D79)</f>
        <v>870899811</v>
      </c>
      <c r="C79" t="str">
        <f>CONCATENATE(F79,"#",D79,"#")</f>
        <v>8708998#11#</v>
      </c>
      <c r="D79" s="24" t="s">
        <v>12198</v>
      </c>
      <c r="E79" t="str">
        <f>IFERROR(VLOOKUP(1*LEFT(C79,7),DF!$A$1:$F$9446,2,FALSE),"")</f>
        <v>MOCHILA TIPO CAMELBACK CON SILBATO Y CIERRE FRONTAL 2998</v>
      </c>
      <c r="F79" s="7">
        <v>8708998</v>
      </c>
      <c r="G79" s="7" t="s">
        <v>13859</v>
      </c>
      <c r="H79" s="7">
        <v>4</v>
      </c>
      <c r="I79" s="11" t="s">
        <v>12199</v>
      </c>
      <c r="J79" s="11" t="s">
        <v>12200</v>
      </c>
      <c r="K79" s="11" t="s">
        <v>12201</v>
      </c>
      <c r="L79" s="11" t="s">
        <v>12202</v>
      </c>
    </row>
    <row r="80" spans="1:15" x14ac:dyDescent="0.25">
      <c r="A80">
        <v>20508</v>
      </c>
      <c r="B80" t="str">
        <f>CONCATENATE(F80,D80)</f>
        <v>870833303</v>
      </c>
      <c r="C80" t="str">
        <f>CONCATENATE(F80,"#",D80,"#")</f>
        <v>8708333#03#</v>
      </c>
      <c r="D80" s="24" t="s">
        <v>8374</v>
      </c>
      <c r="E80" t="str">
        <f>IFERROR(VLOOKUP(1*LEFT(C80,7),DF!$A$1:$F$9446,2,FALSE),"")</f>
        <v>MOCHILA TACTICA  MZ-RJ-A33 25 LTS</v>
      </c>
      <c r="F80" s="7">
        <v>8708333</v>
      </c>
      <c r="G80" s="7" t="s">
        <v>13860</v>
      </c>
      <c r="H80" s="7">
        <v>3</v>
      </c>
      <c r="I80" s="11" t="s">
        <v>8377</v>
      </c>
      <c r="J80" s="11" t="s">
        <v>10865</v>
      </c>
      <c r="K80" s="11" t="s">
        <v>12140</v>
      </c>
    </row>
    <row r="81" spans="1:13" x14ac:dyDescent="0.25">
      <c r="A81">
        <v>20508</v>
      </c>
      <c r="B81" t="str">
        <f>CONCATENATE(F81,D81)</f>
        <v>870833309</v>
      </c>
      <c r="C81" t="str">
        <f>CONCATENATE(F81,"#",D81,"#")</f>
        <v>8708333#09#</v>
      </c>
      <c r="D81" s="24" t="s">
        <v>7026</v>
      </c>
      <c r="E81" t="str">
        <f>IFERROR(VLOOKUP(1*LEFT(C81,7),DF!$A$1:$F$9446,2,FALSE),"")</f>
        <v>MOCHILA TACTICA  MZ-RJ-A33 25 LTS</v>
      </c>
      <c r="F81" s="7">
        <v>8708333</v>
      </c>
      <c r="G81" s="7" t="s">
        <v>13861</v>
      </c>
      <c r="H81" s="7">
        <v>3</v>
      </c>
      <c r="I81" s="11" t="s">
        <v>7027</v>
      </c>
      <c r="J81" s="11" t="s">
        <v>10866</v>
      </c>
      <c r="K81" s="11" t="s">
        <v>10869</v>
      </c>
    </row>
    <row r="82" spans="1:13" x14ac:dyDescent="0.25">
      <c r="A82">
        <v>20508</v>
      </c>
      <c r="B82" t="str">
        <f>CONCATENATE(F82,D82)</f>
        <v>870842603</v>
      </c>
      <c r="C82" t="str">
        <f>CONCATENATE(F82,"#",D82,"#")</f>
        <v>8708426#03#</v>
      </c>
      <c r="D82" s="24" t="s">
        <v>8374</v>
      </c>
      <c r="E82" t="str">
        <f>IFERROR(VLOOKUP(1*LEFT(C82,7),DF!$A$1:$F$9446,2,FALSE),"")</f>
        <v>MOCHILA TACTICA CORTE LASER  MZ-RJ-A26 25 LTS</v>
      </c>
      <c r="F82" s="7">
        <v>8708426</v>
      </c>
      <c r="G82" s="7" t="s">
        <v>13862</v>
      </c>
      <c r="H82" s="7">
        <v>3</v>
      </c>
      <c r="I82" s="11" t="s">
        <v>8377</v>
      </c>
      <c r="J82" s="11" t="s">
        <v>10865</v>
      </c>
      <c r="K82" s="11" t="s">
        <v>12140</v>
      </c>
    </row>
    <row r="83" spans="1:13" x14ac:dyDescent="0.25">
      <c r="A83">
        <v>20508</v>
      </c>
      <c r="B83" t="str">
        <f>CONCATENATE(F83,D83)</f>
        <v>870842606</v>
      </c>
      <c r="C83" t="str">
        <f>CONCATENATE(F83,"#",D83,"#")</f>
        <v>8708426#06#</v>
      </c>
      <c r="D83" s="24" t="s">
        <v>8375</v>
      </c>
      <c r="E83" t="str">
        <f>IFERROR(VLOOKUP(1*LEFT(C83,7),DF!$A$1:$F$9446,2,FALSE),"")</f>
        <v>MOCHILA TACTICA CORTE LASER  MZ-RJ-A26 25 LTS</v>
      </c>
      <c r="F83" s="7">
        <v>8708426</v>
      </c>
      <c r="G83" s="7" t="s">
        <v>13863</v>
      </c>
      <c r="H83" s="7">
        <v>3</v>
      </c>
      <c r="I83" s="11" t="s">
        <v>8376</v>
      </c>
      <c r="J83" s="11" t="s">
        <v>12131</v>
      </c>
      <c r="K83" s="11" t="s">
        <v>12148</v>
      </c>
    </row>
    <row r="84" spans="1:13" x14ac:dyDescent="0.25">
      <c r="A84">
        <v>20508</v>
      </c>
      <c r="B84" t="str">
        <f>CONCATENATE(F84,D84)</f>
        <v>870842609</v>
      </c>
      <c r="C84" t="str">
        <f>CONCATENATE(F84,"#",D84,"#")</f>
        <v>8708426#09#</v>
      </c>
      <c r="D84" s="24" t="s">
        <v>7026</v>
      </c>
      <c r="E84" t="str">
        <f>IFERROR(VLOOKUP(1*LEFT(C84,7),DF!$A$1:$F$9446,2,FALSE),"")</f>
        <v>MOCHILA TACTICA CORTE LASER  MZ-RJ-A26 25 LTS</v>
      </c>
      <c r="F84" s="7">
        <v>8708426</v>
      </c>
      <c r="G84" s="7" t="s">
        <v>13864</v>
      </c>
      <c r="H84" s="7">
        <v>3</v>
      </c>
      <c r="I84" s="11" t="s">
        <v>7027</v>
      </c>
      <c r="J84" s="11" t="s">
        <v>10866</v>
      </c>
      <c r="K84" s="11" t="s">
        <v>10869</v>
      </c>
    </row>
    <row r="85" spans="1:13" x14ac:dyDescent="0.25">
      <c r="A85">
        <v>20508</v>
      </c>
      <c r="B85" t="str">
        <f>CONCATENATE(F85,D85)</f>
        <v>870861101</v>
      </c>
      <c r="C85" t="str">
        <f>CONCATENATE(F85,"#",D85,"#")</f>
        <v>8708611#01#</v>
      </c>
      <c r="D85" s="24" t="s">
        <v>12294</v>
      </c>
      <c r="E85" t="str">
        <f>IFERROR(VLOOKUP(1*LEFT(C85,7),DF!$A$1:$F$9446,2,FALSE),"")</f>
        <v>MOCHILA 3D MEDIANA 35L FRONT C/PORTABOTELLA</v>
      </c>
      <c r="F85" s="7">
        <v>8708611</v>
      </c>
      <c r="G85" s="7" t="s">
        <v>13865</v>
      </c>
      <c r="H85" s="7">
        <v>4</v>
      </c>
      <c r="I85" s="11" t="s">
        <v>12295</v>
      </c>
      <c r="J85" s="11" t="s">
        <v>12296</v>
      </c>
      <c r="K85" s="11" t="s">
        <v>12297</v>
      </c>
      <c r="L85" s="11" t="s">
        <v>12432</v>
      </c>
    </row>
    <row r="86" spans="1:13" x14ac:dyDescent="0.25">
      <c r="A86">
        <v>20508</v>
      </c>
      <c r="B86" t="str">
        <f>CONCATENATE(F86,D86)</f>
        <v>870861104</v>
      </c>
      <c r="C86" t="str">
        <f>CONCATENATE(F86,"#",D86,"#")</f>
        <v>8708611#04#</v>
      </c>
      <c r="D86" s="24" t="s">
        <v>12169</v>
      </c>
      <c r="E86" t="str">
        <f>IFERROR(VLOOKUP(1*LEFT(C86,7),DF!$A$1:$F$9446,2,FALSE),"")</f>
        <v>MOCHILA 3D MEDIANA 35L FRONT C/PORTABOTELLA</v>
      </c>
      <c r="F86" s="7">
        <v>8708611</v>
      </c>
      <c r="G86" s="7" t="s">
        <v>13866</v>
      </c>
      <c r="H86" s="7">
        <v>5</v>
      </c>
      <c r="I86" s="11" t="s">
        <v>12170</v>
      </c>
      <c r="J86" s="11" t="s">
        <v>12171</v>
      </c>
      <c r="K86" s="11" t="s">
        <v>12172</v>
      </c>
      <c r="L86" s="11" t="s">
        <v>12173</v>
      </c>
      <c r="M86" s="11" t="s">
        <v>12174</v>
      </c>
    </row>
    <row r="87" spans="1:13" x14ac:dyDescent="0.25">
      <c r="A87">
        <v>20508</v>
      </c>
      <c r="B87" t="str">
        <f>CONCATENATE(F87,D87)</f>
        <v>870861107</v>
      </c>
      <c r="C87" t="str">
        <f>CONCATENATE(F87,"#",D87,"#")</f>
        <v>8708611#07#</v>
      </c>
      <c r="D87" s="24" t="s">
        <v>12163</v>
      </c>
      <c r="E87" t="str">
        <f>IFERROR(VLOOKUP(1*LEFT(C87,7),DF!$A$1:$F$9446,2,FALSE),"")</f>
        <v>MOCHILA 3D MEDIANA 35L FRONT C/PORTABOTELLA</v>
      </c>
      <c r="F87" s="7">
        <v>8708611</v>
      </c>
      <c r="G87" s="7" t="s">
        <v>13867</v>
      </c>
      <c r="H87" s="7">
        <v>5</v>
      </c>
      <c r="I87" s="11" t="s">
        <v>12164</v>
      </c>
      <c r="J87" s="11" t="s">
        <v>12165</v>
      </c>
      <c r="K87" s="11" t="s">
        <v>12166</v>
      </c>
      <c r="L87" s="11" t="s">
        <v>12167</v>
      </c>
      <c r="M87" s="11" t="s">
        <v>12284</v>
      </c>
    </row>
    <row r="88" spans="1:13" x14ac:dyDescent="0.25">
      <c r="A88">
        <v>20508</v>
      </c>
      <c r="B88" t="str">
        <f>CONCATENATE(F88,D88)</f>
        <v>870861109</v>
      </c>
      <c r="C88" t="str">
        <f>CONCATENATE(F88,"#",D88,"#")</f>
        <v>8708611#09#</v>
      </c>
      <c r="D88" s="24" t="s">
        <v>7026</v>
      </c>
      <c r="E88" t="str">
        <f>IFERROR(VLOOKUP(1*LEFT(C88,7),DF!$A$1:$F$9446,2,FALSE),"")</f>
        <v>MOCHILA 3D MEDIANA 35L FRONT C/PORTABOTELLA</v>
      </c>
      <c r="F88" s="7">
        <v>8708611</v>
      </c>
      <c r="G88" s="7" t="s">
        <v>13868</v>
      </c>
      <c r="H88" s="7">
        <v>4</v>
      </c>
      <c r="I88" s="11" t="s">
        <v>7027</v>
      </c>
      <c r="J88" s="11" t="s">
        <v>10866</v>
      </c>
      <c r="K88" s="11" t="s">
        <v>10869</v>
      </c>
      <c r="L88" s="11" t="s">
        <v>10870</v>
      </c>
    </row>
    <row r="89" spans="1:13" x14ac:dyDescent="0.25">
      <c r="A89">
        <v>20508</v>
      </c>
      <c r="B89" t="str">
        <f>CONCATENATE(F89,D89)</f>
        <v>870861111</v>
      </c>
      <c r="C89" t="str">
        <f>CONCATENATE(F89,"#",D89,"#")</f>
        <v>8708611#11#</v>
      </c>
      <c r="D89" s="24" t="s">
        <v>12198</v>
      </c>
      <c r="E89" t="str">
        <f>IFERROR(VLOOKUP(1*LEFT(C89,7),DF!$A$1:$F$9446,2,FALSE),"")</f>
        <v>MOCHILA 3D MEDIANA 35L FRONT C/PORTABOTELLA</v>
      </c>
      <c r="F89" s="7">
        <v>8708611</v>
      </c>
      <c r="G89" s="7" t="s">
        <v>13869</v>
      </c>
      <c r="H89" s="7">
        <v>4</v>
      </c>
      <c r="I89" s="11" t="s">
        <v>12199</v>
      </c>
      <c r="J89" s="11" t="s">
        <v>12200</v>
      </c>
      <c r="K89" s="11" t="s">
        <v>12201</v>
      </c>
      <c r="L89" s="11" t="s">
        <v>12202</v>
      </c>
    </row>
    <row r="90" spans="1:13" x14ac:dyDescent="0.25">
      <c r="A90">
        <v>20508</v>
      </c>
      <c r="B90" t="str">
        <f>CONCATENATE(F90,D90)</f>
        <v>870861136</v>
      </c>
      <c r="C90" t="str">
        <f>CONCATENATE(F90,"#",D90,"#")</f>
        <v>8708611#36#</v>
      </c>
      <c r="D90" s="24" t="s">
        <v>12428</v>
      </c>
      <c r="E90" t="str">
        <f>IFERROR(VLOOKUP(1*LEFT(C90,7),DF!$A$1:$F$9446,2,FALSE),"")</f>
        <v>MOCHILA 3D MEDIANA 35L FRONT C/PORTABOTELLA</v>
      </c>
      <c r="F90" s="7">
        <v>8708611</v>
      </c>
      <c r="G90" s="7" t="s">
        <v>13870</v>
      </c>
      <c r="H90" s="7">
        <v>4</v>
      </c>
      <c r="I90" s="11" t="s">
        <v>12433</v>
      </c>
      <c r="J90" s="11" t="s">
        <v>12434</v>
      </c>
      <c r="K90" s="11" t="s">
        <v>12435</v>
      </c>
      <c r="L90" s="11" t="s">
        <v>12436</v>
      </c>
    </row>
    <row r="91" spans="1:13" x14ac:dyDescent="0.25">
      <c r="A91">
        <v>20508</v>
      </c>
      <c r="B91" t="str">
        <f>CONCATENATE(F91,D91)</f>
        <v>870861137</v>
      </c>
      <c r="C91" t="str">
        <f>CONCATENATE(F91,"#",D91,"#")</f>
        <v>8708611#37#</v>
      </c>
      <c r="D91" s="24" t="s">
        <v>12429</v>
      </c>
      <c r="E91" t="str">
        <f>IFERROR(VLOOKUP(1*LEFT(C91,7),DF!$A$1:$F$9446,2,FALSE),"")</f>
        <v>MOCHILA 3D MEDIANA 35L FRONT C/PORTABOTELLA</v>
      </c>
      <c r="F91" s="7">
        <v>8708611</v>
      </c>
      <c r="G91" s="7" t="s">
        <v>13871</v>
      </c>
      <c r="H91" s="7">
        <v>4</v>
      </c>
      <c r="I91" s="11" t="s">
        <v>12437</v>
      </c>
      <c r="J91" s="11" t="s">
        <v>12438</v>
      </c>
      <c r="K91" s="11" t="s">
        <v>12439</v>
      </c>
      <c r="L91" s="11" t="s">
        <v>12440</v>
      </c>
    </row>
    <row r="92" spans="1:13" x14ac:dyDescent="0.25">
      <c r="A92">
        <v>20508</v>
      </c>
      <c r="B92" t="str">
        <f>CONCATENATE(F92,D92)</f>
        <v>870861138</v>
      </c>
      <c r="C92" t="str">
        <f>CONCATENATE(F92,"#",D92,"#")</f>
        <v>8708611#38#</v>
      </c>
      <c r="D92" s="24" t="s">
        <v>12430</v>
      </c>
      <c r="E92" t="str">
        <f>IFERROR(VLOOKUP(1*LEFT(C92,7),DF!$A$1:$F$9446,2,FALSE),"")</f>
        <v>MOCHILA 3D MEDIANA 35L FRONT C/PORTABOTELLA</v>
      </c>
      <c r="F92" s="7">
        <v>8708611</v>
      </c>
      <c r="G92" s="7" t="s">
        <v>13872</v>
      </c>
      <c r="H92" s="7">
        <v>3</v>
      </c>
      <c r="I92" s="11" t="s">
        <v>12441</v>
      </c>
      <c r="J92" s="11" t="s">
        <v>12442</v>
      </c>
      <c r="K92" s="11" t="s">
        <v>12443</v>
      </c>
    </row>
    <row r="93" spans="1:13" x14ac:dyDescent="0.25">
      <c r="A93">
        <v>20508</v>
      </c>
      <c r="B93" t="str">
        <f>CONCATENATE(F93,D93)</f>
        <v>870861139</v>
      </c>
      <c r="C93" t="str">
        <f>CONCATENATE(F93,"#",D93,"#")</f>
        <v>8708611#39#</v>
      </c>
      <c r="D93" s="24" t="s">
        <v>12431</v>
      </c>
      <c r="E93" t="str">
        <f>IFERROR(VLOOKUP(1*LEFT(C93,7),DF!$A$1:$F$9446,2,FALSE),"")</f>
        <v>MOCHILA 3D MEDIANA 35L FRONT C/PORTABOTELLA</v>
      </c>
      <c r="F93" s="7">
        <v>8708611</v>
      </c>
      <c r="G93" s="7" t="s">
        <v>13873</v>
      </c>
      <c r="H93" s="7">
        <v>4</v>
      </c>
      <c r="I93" s="11" t="s">
        <v>12444</v>
      </c>
      <c r="J93" s="11" t="s">
        <v>12445</v>
      </c>
      <c r="K93" s="11" t="s">
        <v>12446</v>
      </c>
      <c r="L93" s="11" t="s">
        <v>12447</v>
      </c>
    </row>
    <row r="94" spans="1:13" x14ac:dyDescent="0.25">
      <c r="A94">
        <v>20508</v>
      </c>
      <c r="B94" t="str">
        <f>CONCATENATE(F94,D94)</f>
        <v>820520005</v>
      </c>
      <c r="C94" t="str">
        <f>CONCATENATE(F94,"#",D94,"#")</f>
        <v>8205200#05#</v>
      </c>
      <c r="D94" s="24" t="s">
        <v>12203</v>
      </c>
      <c r="E94" t="str">
        <f>IFERROR(VLOOKUP(1*LEFT(C94,7),DF!$A$1:$F$9446,2,FALSE),"")</f>
        <v>BORCEGUI TACTICO TREKKING ART65;66;67 CIERRE CAR</v>
      </c>
      <c r="F94" s="7">
        <v>8205200</v>
      </c>
      <c r="G94" s="7" t="s">
        <v>13874</v>
      </c>
      <c r="H94" s="7">
        <v>4</v>
      </c>
      <c r="I94" s="11" t="s">
        <v>12283</v>
      </c>
      <c r="J94" s="11" t="s">
        <v>12301</v>
      </c>
      <c r="K94" s="11" t="s">
        <v>12302</v>
      </c>
      <c r="L94" s="11" t="s">
        <v>12303</v>
      </c>
    </row>
    <row r="95" spans="1:13" x14ac:dyDescent="0.25">
      <c r="A95">
        <v>20508</v>
      </c>
      <c r="B95" t="str">
        <f>CONCATENATE(F95,D95)</f>
        <v>820520036</v>
      </c>
      <c r="C95" t="str">
        <f>CONCATENATE(F95,"#",D95,"#")</f>
        <v>8205200#36#</v>
      </c>
      <c r="D95" s="24" t="s">
        <v>12428</v>
      </c>
      <c r="E95" t="str">
        <f>IFERROR(VLOOKUP(1*LEFT(C95,7),DF!$A$1:$F$9446,2,FALSE),"")</f>
        <v>BORCEGUI TACTICO TREKKING ART65;66;67 CIERRE CAR</v>
      </c>
      <c r="F95" s="7">
        <v>8205200</v>
      </c>
      <c r="G95" s="7" t="s">
        <v>13875</v>
      </c>
      <c r="H95" s="7">
        <v>4</v>
      </c>
      <c r="I95" s="11" t="s">
        <v>12433</v>
      </c>
      <c r="J95" s="11" t="s">
        <v>12434</v>
      </c>
      <c r="K95" s="11" t="s">
        <v>12435</v>
      </c>
      <c r="L95" s="11" t="s">
        <v>12436</v>
      </c>
    </row>
    <row r="96" spans="1:13" x14ac:dyDescent="0.25">
      <c r="A96">
        <v>20508</v>
      </c>
      <c r="B96" t="str">
        <f>CONCATENATE(F96,D96)</f>
        <v>820520037</v>
      </c>
      <c r="C96" t="str">
        <f>CONCATENATE(F96,"#",D96,"#")</f>
        <v>8205200#37#</v>
      </c>
      <c r="D96" s="24" t="s">
        <v>12429</v>
      </c>
      <c r="E96" t="str">
        <f>IFERROR(VLOOKUP(1*LEFT(C96,7),DF!$A$1:$F$9446,2,FALSE),"")</f>
        <v>BORCEGUI TACTICO TREKKING ART65;66;67 CIERRE CAR</v>
      </c>
      <c r="F96" s="7">
        <v>8205200</v>
      </c>
      <c r="G96" s="7" t="s">
        <v>13876</v>
      </c>
      <c r="H96" s="7">
        <v>4</v>
      </c>
      <c r="I96" s="11" t="s">
        <v>12437</v>
      </c>
      <c r="J96" s="11" t="s">
        <v>12438</v>
      </c>
      <c r="K96" s="11" t="s">
        <v>12439</v>
      </c>
      <c r="L96" s="11" t="s">
        <v>12440</v>
      </c>
    </row>
    <row r="97" spans="1:11" x14ac:dyDescent="0.25">
      <c r="A97">
        <v>20508</v>
      </c>
      <c r="B97" t="str">
        <f>CONCATENATE(F97,D97)</f>
        <v>861208009</v>
      </c>
      <c r="C97" t="str">
        <f>CONCATENATE(F97,"#",D97,"#")</f>
        <v>8612080#09#</v>
      </c>
      <c r="D97" s="24" t="s">
        <v>7026</v>
      </c>
      <c r="E97" t="str">
        <f>IFERROR(VLOOKUP(1*LEFT(C97,7),DF!$A$1:$F$9446,2,FALSE),"")</f>
        <v>BOLSA DE DORMIR SPINIT CLASSIC</v>
      </c>
      <c r="F97" s="7">
        <v>8612080</v>
      </c>
      <c r="G97" s="7" t="s">
        <v>13877</v>
      </c>
      <c r="H97" s="7">
        <v>2</v>
      </c>
      <c r="I97" s="11" t="s">
        <v>7027</v>
      </c>
      <c r="J97" s="11" t="s">
        <v>10866</v>
      </c>
    </row>
    <row r="98" spans="1:11" x14ac:dyDescent="0.25">
      <c r="A98">
        <v>20508</v>
      </c>
      <c r="B98" t="str">
        <f>CONCATENATE(F98,D98)</f>
        <v>861208022</v>
      </c>
      <c r="C98" t="str">
        <f>CONCATENATE(F98,"#",D98,"#")</f>
        <v>8612080#22#</v>
      </c>
      <c r="D98" s="24" t="s">
        <v>12147</v>
      </c>
      <c r="E98" t="str">
        <f>IFERROR(VLOOKUP(1*LEFT(C98,7),DF!$A$1:$F$9446,2,FALSE),"")</f>
        <v>BOLSA DE DORMIR SPINIT CLASSIC</v>
      </c>
      <c r="F98" s="7">
        <v>8612080</v>
      </c>
      <c r="G98" s="7" t="s">
        <v>13878</v>
      </c>
      <c r="H98" s="7">
        <v>2</v>
      </c>
      <c r="I98" s="11" t="s">
        <v>12155</v>
      </c>
      <c r="J98" s="11" t="s">
        <v>12156</v>
      </c>
    </row>
    <row r="99" spans="1:11" x14ac:dyDescent="0.25">
      <c r="A99">
        <v>20508</v>
      </c>
      <c r="B99" t="str">
        <f>CONCATENATE(F99,D99)</f>
        <v>870860405</v>
      </c>
      <c r="C99" t="str">
        <f>CONCATENATE(F99,"#",D99,"#")</f>
        <v>8708604#05#</v>
      </c>
      <c r="D99" s="24" t="s">
        <v>12203</v>
      </c>
      <c r="E99" t="str">
        <f>IFERROR(VLOOKUP(1*LEFT(C99,7),DF!$A$1:$F$9446,2,FALSE),"")</f>
        <v>RIÑONERA MZ-RJ-B04 8.5L FRONT-3</v>
      </c>
      <c r="F99" s="7">
        <v>8708604</v>
      </c>
      <c r="G99" s="7" t="s">
        <v>14101</v>
      </c>
      <c r="H99" s="7">
        <v>1</v>
      </c>
      <c r="I99" s="11" t="s">
        <v>12283</v>
      </c>
    </row>
    <row r="100" spans="1:11" x14ac:dyDescent="0.25">
      <c r="A100">
        <v>20508</v>
      </c>
      <c r="B100" t="str">
        <f>CONCATENATE(F100,D100)</f>
        <v>870860402</v>
      </c>
      <c r="C100" t="str">
        <f>CONCATENATE(F100,"#",D100,"#")</f>
        <v>8708604#02#</v>
      </c>
      <c r="D100" s="24" t="s">
        <v>14062</v>
      </c>
      <c r="E100" t="str">
        <f>IFERROR(VLOOKUP(1*LEFT(C100,7),DF!$A$1:$F$9446,2,FALSE),"")</f>
        <v>RIÑONERA MZ-RJ-B04 8.5L FRONT-3</v>
      </c>
      <c r="F100" s="7">
        <v>8708604</v>
      </c>
      <c r="G100" s="7" t="s">
        <v>14102</v>
      </c>
      <c r="H100" s="7">
        <v>1</v>
      </c>
      <c r="I100" s="11" t="s">
        <v>14100</v>
      </c>
    </row>
    <row r="101" spans="1:11" x14ac:dyDescent="0.25">
      <c r="A101">
        <v>20508</v>
      </c>
      <c r="B101" t="str">
        <f>CONCATENATE(F101,D101)</f>
        <v>870860406</v>
      </c>
      <c r="C101" t="str">
        <f>CONCATENATE(F101,"#",D101,"#")</f>
        <v>8708604#06#</v>
      </c>
      <c r="D101" s="24" t="s">
        <v>8375</v>
      </c>
      <c r="E101" t="str">
        <f>IFERROR(VLOOKUP(1*LEFT(C101,7),DF!$A$1:$F$9446,2,FALSE),"")</f>
        <v>RIÑONERA MZ-RJ-B04 8.5L FRONT-3</v>
      </c>
      <c r="F101" s="7">
        <v>8708604</v>
      </c>
      <c r="G101" s="7" t="s">
        <v>14103</v>
      </c>
      <c r="H101" s="7">
        <v>1</v>
      </c>
      <c r="I101" s="11" t="s">
        <v>8376</v>
      </c>
    </row>
    <row r="102" spans="1:11" x14ac:dyDescent="0.25">
      <c r="A102">
        <v>20508</v>
      </c>
      <c r="B102" t="str">
        <f>CONCATENATE(F102,D102)</f>
        <v>870860404</v>
      </c>
      <c r="C102" t="str">
        <f>CONCATENATE(F102,"#",D102,"#")</f>
        <v>8708604#04#</v>
      </c>
      <c r="D102" s="24" t="s">
        <v>12169</v>
      </c>
      <c r="E102" t="str">
        <f>IFERROR(VLOOKUP(1*LEFT(C102,7),DF!$A$1:$F$9446,2,FALSE),"")</f>
        <v>RIÑONERA MZ-RJ-B04 8.5L FRONT-3</v>
      </c>
      <c r="F102" s="7">
        <v>8708604</v>
      </c>
      <c r="G102" s="7" t="s">
        <v>14104</v>
      </c>
      <c r="H102" s="7">
        <v>1</v>
      </c>
      <c r="I102" s="11" t="s">
        <v>12170</v>
      </c>
    </row>
    <row r="103" spans="1:11" x14ac:dyDescent="0.25">
      <c r="A103">
        <v>20508</v>
      </c>
      <c r="B103" t="str">
        <f>CONCATENATE(F103,D103)</f>
        <v>870860401</v>
      </c>
      <c r="C103" t="str">
        <f>CONCATENATE(F103,"#",D103,"#")</f>
        <v>8708604#01#</v>
      </c>
      <c r="D103" s="24" t="s">
        <v>12294</v>
      </c>
      <c r="E103" t="str">
        <f>IFERROR(VLOOKUP(1*LEFT(C103,7),DF!$A$1:$F$9446,2,FALSE),"")</f>
        <v>RIÑONERA MZ-RJ-B04 8.5L FRONT-3</v>
      </c>
      <c r="F103" s="7">
        <v>8708604</v>
      </c>
      <c r="G103" s="7" t="s">
        <v>14105</v>
      </c>
      <c r="H103" s="7">
        <v>1</v>
      </c>
      <c r="I103" s="11" t="s">
        <v>12295</v>
      </c>
    </row>
    <row r="104" spans="1:11" x14ac:dyDescent="0.25">
      <c r="A104">
        <v>20508</v>
      </c>
      <c r="B104" t="str">
        <f>CONCATENATE(F104,D104)</f>
        <v>870860403</v>
      </c>
      <c r="C104" t="str">
        <f>CONCATENATE(F104,"#",D104,"#")</f>
        <v>8708604#03#</v>
      </c>
      <c r="D104" s="24" t="s">
        <v>8374</v>
      </c>
      <c r="E104" t="str">
        <f>IFERROR(VLOOKUP(1*LEFT(C104,7),DF!$A$1:$F$9446,2,FALSE),"")</f>
        <v>RIÑONERA MZ-RJ-B04 8.5L FRONT-3</v>
      </c>
      <c r="F104" s="7">
        <v>8708604</v>
      </c>
      <c r="G104" s="7" t="s">
        <v>14106</v>
      </c>
      <c r="H104" s="7">
        <v>2</v>
      </c>
      <c r="I104" s="11" t="s">
        <v>8377</v>
      </c>
      <c r="J104" s="11" t="s">
        <v>10865</v>
      </c>
    </row>
    <row r="105" spans="1:11" x14ac:dyDescent="0.25">
      <c r="A105">
        <v>20508</v>
      </c>
      <c r="B105" t="str">
        <f>CONCATENATE(F105,D105)</f>
        <v>870860407</v>
      </c>
      <c r="C105" t="str">
        <f>CONCATENATE(F105,"#",D105,"#")</f>
        <v>8708604#07#</v>
      </c>
      <c r="D105" s="24" t="s">
        <v>12163</v>
      </c>
      <c r="E105" t="str">
        <f>IFERROR(VLOOKUP(1*LEFT(C105,7),DF!$A$1:$F$9446,2,FALSE),"")</f>
        <v>RIÑONERA MZ-RJ-B04 8.5L FRONT-3</v>
      </c>
      <c r="F105" s="7">
        <v>8708604</v>
      </c>
      <c r="G105" s="7" t="s">
        <v>14107</v>
      </c>
      <c r="H105" s="7">
        <v>1</v>
      </c>
      <c r="I105" s="11" t="s">
        <v>12164</v>
      </c>
    </row>
    <row r="106" spans="1:11" x14ac:dyDescent="0.25">
      <c r="A106">
        <v>20508</v>
      </c>
      <c r="B106" t="str">
        <f>CONCATENATE(F106,D106)</f>
        <v>870860408</v>
      </c>
      <c r="C106" t="str">
        <f>CONCATENATE(F106,"#",D106,"#")</f>
        <v>8708604#08#</v>
      </c>
      <c r="D106" s="24" t="s">
        <v>12146</v>
      </c>
      <c r="E106" t="str">
        <f>IFERROR(VLOOKUP(1*LEFT(C106,7),DF!$A$1:$F$9446,2,FALSE),"")</f>
        <v>RIÑONERA MZ-RJ-B04 8.5L FRONT-3</v>
      </c>
      <c r="F106" s="7">
        <v>8708604</v>
      </c>
      <c r="G106" s="7" t="s">
        <v>14108</v>
      </c>
      <c r="H106" s="7">
        <v>1</v>
      </c>
      <c r="I106" s="11" t="s">
        <v>12150</v>
      </c>
    </row>
    <row r="107" spans="1:11" x14ac:dyDescent="0.25">
      <c r="A107">
        <v>20508</v>
      </c>
      <c r="B107" t="str">
        <f>CONCATENATE(F107,D107)</f>
        <v>870860409</v>
      </c>
      <c r="C107" t="str">
        <f>CONCATENATE(F107,"#",D107,"#")</f>
        <v>8708604#09#</v>
      </c>
      <c r="D107" s="24" t="s">
        <v>7026</v>
      </c>
      <c r="E107" t="str">
        <f>IFERROR(VLOOKUP(1*LEFT(C107,7),DF!$A$1:$F$9446,2,FALSE),"")</f>
        <v>RIÑONERA MZ-RJ-B04 8.5L FRONT-3</v>
      </c>
      <c r="F107" s="7">
        <v>8708604</v>
      </c>
      <c r="G107" s="7" t="s">
        <v>14109</v>
      </c>
      <c r="H107" s="7">
        <v>1</v>
      </c>
      <c r="I107" s="11" t="s">
        <v>7027</v>
      </c>
    </row>
    <row r="108" spans="1:11" x14ac:dyDescent="0.25">
      <c r="A108">
        <v>20508</v>
      </c>
      <c r="B108" t="str">
        <f>CONCATENATE(F108,D108)</f>
        <v>870860411</v>
      </c>
      <c r="C108" t="str">
        <f>CONCATENATE(F108,"#",D108,"#")</f>
        <v>8708604#11#</v>
      </c>
      <c r="D108" s="24" t="s">
        <v>12198</v>
      </c>
      <c r="E108" t="str">
        <f>IFERROR(VLOOKUP(1*LEFT(C108,7),DF!$A$1:$F$9446,2,FALSE),"")</f>
        <v>RIÑONERA MZ-RJ-B04 8.5L FRONT-3</v>
      </c>
      <c r="F108" s="7">
        <v>8708604</v>
      </c>
      <c r="G108" s="7" t="s">
        <v>14110</v>
      </c>
      <c r="H108" s="7">
        <v>1</v>
      </c>
      <c r="I108" s="11" t="s">
        <v>12199</v>
      </c>
    </row>
    <row r="109" spans="1:11" x14ac:dyDescent="0.25">
      <c r="A109">
        <v>20508</v>
      </c>
      <c r="B109" t="str">
        <f>CONCATENATE(F109,D109)</f>
        <v>870881504</v>
      </c>
      <c r="C109" t="str">
        <f>CONCATENATE(F109,"#",D109,"#")</f>
        <v>8708815#04#</v>
      </c>
      <c r="D109" s="24" t="s">
        <v>12169</v>
      </c>
      <c r="E109" t="str">
        <f>IFERROR(VLOOKUP(1*LEFT(C109,7),DF!$A$1:$F$9446,2,FALSE),"")</f>
        <v>POUCH TACTICO C/PORTA CEL MOLLE 8150-18/</v>
      </c>
      <c r="F109">
        <v>8708815</v>
      </c>
      <c r="G109" s="7" t="s">
        <v>14124</v>
      </c>
      <c r="H109" s="7">
        <v>2</v>
      </c>
      <c r="I109" s="11" t="s">
        <v>12170</v>
      </c>
      <c r="J109" s="11" t="s">
        <v>12171</v>
      </c>
    </row>
    <row r="110" spans="1:11" x14ac:dyDescent="0.25">
      <c r="A110">
        <v>20508</v>
      </c>
      <c r="B110" t="str">
        <f>CONCATENATE(F110,D110)</f>
        <v>870881503</v>
      </c>
      <c r="C110" t="str">
        <f>CONCATENATE(F110,"#",D110,"#")</f>
        <v>8708815#03#</v>
      </c>
      <c r="D110" s="24" t="s">
        <v>8374</v>
      </c>
      <c r="E110" t="str">
        <f>IFERROR(VLOOKUP(1*LEFT(C110,7),DF!$A$1:$F$9446,2,FALSE),"")</f>
        <v>POUCH TACTICO C/PORTA CEL MOLLE 8150-18/</v>
      </c>
      <c r="F110">
        <v>8708815</v>
      </c>
      <c r="G110" s="7" t="s">
        <v>14125</v>
      </c>
      <c r="H110" s="7">
        <v>2</v>
      </c>
      <c r="I110" s="11" t="s">
        <v>8377</v>
      </c>
      <c r="J110" s="11" t="s">
        <v>10865</v>
      </c>
    </row>
    <row r="111" spans="1:11" x14ac:dyDescent="0.25">
      <c r="A111">
        <v>20508</v>
      </c>
      <c r="B111" t="str">
        <f>CONCATENATE(F111,D111)</f>
        <v>870881506</v>
      </c>
      <c r="C111" t="str">
        <f>CONCATENATE(F111,"#",D111,"#")</f>
        <v>8708815#06#</v>
      </c>
      <c r="D111" s="24" t="s">
        <v>8375</v>
      </c>
      <c r="E111" t="str">
        <f>IFERROR(VLOOKUP(1*LEFT(C111,7),DF!$A$1:$F$9446,2,FALSE),"")</f>
        <v>POUCH TACTICO C/PORTA CEL MOLLE 8150-18/</v>
      </c>
      <c r="F111">
        <v>8708815</v>
      </c>
      <c r="G111" s="7" t="s">
        <v>14126</v>
      </c>
      <c r="H111" s="7">
        <v>3</v>
      </c>
      <c r="I111" s="11" t="s">
        <v>8376</v>
      </c>
      <c r="J111" s="11" t="s">
        <v>12131</v>
      </c>
      <c r="K111" s="11" t="s">
        <v>12148</v>
      </c>
    </row>
    <row r="112" spans="1:11" x14ac:dyDescent="0.25">
      <c r="A112">
        <v>20508</v>
      </c>
      <c r="B112" t="str">
        <f>CONCATENATE(F112,D112)</f>
        <v>870881508</v>
      </c>
      <c r="C112" t="str">
        <f>CONCATENATE(F112,"#",D112,"#")</f>
        <v>8708815#08#</v>
      </c>
      <c r="D112" s="24" t="s">
        <v>12146</v>
      </c>
      <c r="E112" t="str">
        <f>IFERROR(VLOOKUP(1*LEFT(C112,7),DF!$A$1:$F$9446,2,FALSE),"")</f>
        <v>POUCH TACTICO C/PORTA CEL MOLLE 8150-18/</v>
      </c>
      <c r="F112">
        <v>8708815</v>
      </c>
      <c r="G112" s="7" t="s">
        <v>14127</v>
      </c>
      <c r="H112" s="7">
        <v>1</v>
      </c>
      <c r="I112" s="11" t="s">
        <v>12150</v>
      </c>
    </row>
    <row r="113" spans="1:13" x14ac:dyDescent="0.25">
      <c r="A113">
        <v>20508</v>
      </c>
      <c r="B113" t="str">
        <f>CONCATENATE(F113,D113)</f>
        <v>870881509</v>
      </c>
      <c r="C113" t="str">
        <f>CONCATENATE(F113,"#",D113,"#")</f>
        <v>8708815#09#</v>
      </c>
      <c r="D113" s="24" t="s">
        <v>7026</v>
      </c>
      <c r="E113" t="str">
        <f>IFERROR(VLOOKUP(1*LEFT(C113,7),DF!$A$1:$F$9446,2,FALSE),"")</f>
        <v>POUCH TACTICO C/PORTA CEL MOLLE 8150-18/</v>
      </c>
      <c r="F113">
        <v>8708815</v>
      </c>
      <c r="G113" s="7" t="s">
        <v>14128</v>
      </c>
      <c r="H113" s="7">
        <v>2</v>
      </c>
      <c r="I113" s="11" t="s">
        <v>7027</v>
      </c>
      <c r="J113" s="11" t="s">
        <v>10866</v>
      </c>
    </row>
    <row r="114" spans="1:13" x14ac:dyDescent="0.25">
      <c r="A114">
        <v>20508</v>
      </c>
      <c r="B114" t="str">
        <f>CONCATENATE(F114,D114)</f>
        <v>870881510</v>
      </c>
      <c r="C114" t="str">
        <f>CONCATENATE(F114,"#",D114,"#")</f>
        <v>8708815#10#</v>
      </c>
      <c r="D114" s="24" t="s">
        <v>14122</v>
      </c>
      <c r="E114" t="str">
        <f>IFERROR(VLOOKUP(1*LEFT(C114,7),DF!$A$1:$F$9446,2,FALSE),"")</f>
        <v>POUCH TACTICO C/PORTA CEL MOLLE 8150-18/</v>
      </c>
      <c r="F114">
        <v>8708815</v>
      </c>
      <c r="G114" s="7" t="s">
        <v>14129</v>
      </c>
      <c r="H114" s="7">
        <v>1</v>
      </c>
      <c r="I114" s="11" t="s">
        <v>14123</v>
      </c>
    </row>
    <row r="115" spans="1:13" x14ac:dyDescent="0.25">
      <c r="A115">
        <v>20508</v>
      </c>
      <c r="B115" t="str">
        <f>CONCATENATE(F115,D115)</f>
        <v>870881511</v>
      </c>
      <c r="C115" t="str">
        <f>CONCATENATE(F115,"#",D115,"#")</f>
        <v>8708815#11#</v>
      </c>
      <c r="D115" s="24" t="s">
        <v>12198</v>
      </c>
      <c r="E115" t="str">
        <f>IFERROR(VLOOKUP(1*LEFT(C115,7),DF!$A$1:$F$9446,2,FALSE),"")</f>
        <v>POUCH TACTICO C/PORTA CEL MOLLE 8150-18/</v>
      </c>
      <c r="F115">
        <v>8708815</v>
      </c>
      <c r="G115" s="7" t="s">
        <v>14130</v>
      </c>
      <c r="H115" s="7">
        <v>4</v>
      </c>
      <c r="I115" s="11" t="s">
        <v>12199</v>
      </c>
      <c r="J115" s="11" t="s">
        <v>12200</v>
      </c>
      <c r="K115" s="11" t="s">
        <v>12201</v>
      </c>
      <c r="L115" s="11" t="s">
        <v>12202</v>
      </c>
    </row>
    <row r="116" spans="1:13" x14ac:dyDescent="0.25">
      <c r="A116">
        <v>20508</v>
      </c>
      <c r="B116" t="str">
        <f>CONCATENATE(F116,D116)</f>
        <v>852000709</v>
      </c>
      <c r="C116" t="str">
        <f>CONCATENATE(F116,"#",D116,"#")</f>
        <v>8520007#09#</v>
      </c>
      <c r="D116" s="24" t="s">
        <v>7026</v>
      </c>
      <c r="E116" t="str">
        <f>IFERROR(VLOOKUP(1*LEFT(C116,7),DF!$A$1:$F$9446,2,FALSE),"")</f>
        <v>LAPICERA TACTICA KUBOTAN 5553  4236</v>
      </c>
      <c r="F116">
        <v>8520007</v>
      </c>
      <c r="G116" s="7" t="s">
        <v>14140</v>
      </c>
      <c r="H116" s="7">
        <v>4</v>
      </c>
      <c r="I116" s="11" t="s">
        <v>7027</v>
      </c>
      <c r="J116" s="11" t="s">
        <v>10866</v>
      </c>
      <c r="K116" s="11" t="s">
        <v>10869</v>
      </c>
      <c r="L116" s="11" t="s">
        <v>10870</v>
      </c>
    </row>
    <row r="117" spans="1:13" x14ac:dyDescent="0.25">
      <c r="A117">
        <v>20508</v>
      </c>
      <c r="B117" t="str">
        <f>CONCATENATE(F117,D117)</f>
        <v>852000713</v>
      </c>
      <c r="C117" t="str">
        <f>CONCATENATE(F117,"#",D117,"#")</f>
        <v>8520007#13#</v>
      </c>
      <c r="D117" s="24" t="s">
        <v>12286</v>
      </c>
      <c r="E117" t="str">
        <f>IFERROR(VLOOKUP(1*LEFT(C117,7),DF!$A$1:$F$9446,2,FALSE),"")</f>
        <v>LAPICERA TACTICA KUBOTAN 5553  4236</v>
      </c>
      <c r="F117">
        <v>8520007</v>
      </c>
      <c r="G117" s="7" t="s">
        <v>14141</v>
      </c>
      <c r="H117" s="7">
        <v>4</v>
      </c>
      <c r="I117" s="11" t="s">
        <v>12292</v>
      </c>
      <c r="J117" s="11" t="s">
        <v>12293</v>
      </c>
      <c r="K117" s="11" t="s">
        <v>14138</v>
      </c>
      <c r="L117" s="11" t="s">
        <v>14139</v>
      </c>
    </row>
    <row r="118" spans="1:13" x14ac:dyDescent="0.25">
      <c r="A118">
        <v>20508</v>
      </c>
      <c r="B118" t="str">
        <f>CONCATENATE(F118,D118)</f>
        <v>870862506</v>
      </c>
      <c r="C118" t="str">
        <f>CONCATENATE(F118,"#",D118,"#")</f>
        <v>8708625#06#</v>
      </c>
      <c r="D118" s="24" t="s">
        <v>8375</v>
      </c>
      <c r="E118" t="str">
        <f>IFERROR(VLOOKUP(1*LEFT(C118,7),DF!$A$1:$F$9446,2,FALSE),"")</f>
        <v>MOCHILA BOLSO CRAZY ANTS 8124-25 30L YW-</v>
      </c>
      <c r="F118" s="7">
        <v>8708625</v>
      </c>
      <c r="G118" s="7" t="s">
        <v>14142</v>
      </c>
      <c r="H118" s="7">
        <v>1</v>
      </c>
      <c r="I118" s="11" t="s">
        <v>8376</v>
      </c>
    </row>
    <row r="119" spans="1:13" x14ac:dyDescent="0.25">
      <c r="A119">
        <v>20508</v>
      </c>
      <c r="B119" t="str">
        <f>CONCATENATE(F119,D119)</f>
        <v>870862508</v>
      </c>
      <c r="C119" t="str">
        <f>CONCATENATE(F119,"#",D119,"#")</f>
        <v>8708625#08#</v>
      </c>
      <c r="D119" s="24" t="s">
        <v>12146</v>
      </c>
      <c r="E119" t="str">
        <f>IFERROR(VLOOKUP(1*LEFT(C119,7),DF!$A$1:$F$9446,2,FALSE),"")</f>
        <v>MOCHILA BOLSO CRAZY ANTS 8124-25 30L YW-</v>
      </c>
      <c r="F119" s="7">
        <v>8708625</v>
      </c>
      <c r="G119" s="7" t="s">
        <v>14143</v>
      </c>
      <c r="H119" s="7">
        <v>5</v>
      </c>
      <c r="I119" s="11" t="s">
        <v>12150</v>
      </c>
      <c r="J119" s="11" t="s">
        <v>12151</v>
      </c>
      <c r="K119" s="11" t="s">
        <v>12152</v>
      </c>
      <c r="L119" s="11" t="s">
        <v>12153</v>
      </c>
      <c r="M119" s="11" t="s">
        <v>12154</v>
      </c>
    </row>
    <row r="120" spans="1:13" x14ac:dyDescent="0.25">
      <c r="A120">
        <v>20508</v>
      </c>
      <c r="B120" t="str">
        <f>CONCATENATE(F120,D120)</f>
        <v>870862507</v>
      </c>
      <c r="C120" t="str">
        <f>CONCATENATE(F120,"#",D120,"#")</f>
        <v>8708625#07#</v>
      </c>
      <c r="D120" s="24" t="s">
        <v>12163</v>
      </c>
      <c r="E120" t="str">
        <f>IFERROR(VLOOKUP(1*LEFT(C120,7),DF!$A$1:$F$9446,2,FALSE),"")</f>
        <v>MOCHILA BOLSO CRAZY ANTS 8124-25 30L YW-</v>
      </c>
      <c r="F120" s="7">
        <v>8708625</v>
      </c>
      <c r="G120" s="7" t="s">
        <v>14144</v>
      </c>
      <c r="H120" s="7">
        <v>1</v>
      </c>
      <c r="I120" s="11" t="s">
        <v>12164</v>
      </c>
    </row>
    <row r="121" spans="1:13" x14ac:dyDescent="0.25">
      <c r="A121">
        <v>20508</v>
      </c>
      <c r="B121" t="str">
        <f>CONCATENATE(F121,D121)</f>
        <v>870862509</v>
      </c>
      <c r="C121" t="str">
        <f>CONCATENATE(F121,"#",D121,"#")</f>
        <v>8708625#09#</v>
      </c>
      <c r="D121" s="24" t="s">
        <v>7026</v>
      </c>
      <c r="E121" t="str">
        <f>IFERROR(VLOOKUP(1*LEFT(C121,7),DF!$A$1:$F$9446,2,FALSE),"")</f>
        <v>MOCHILA BOLSO CRAZY ANTS 8124-25 30L YW-</v>
      </c>
      <c r="F121" s="7">
        <v>8708625</v>
      </c>
      <c r="G121" s="7" t="s">
        <v>14145</v>
      </c>
      <c r="H121" s="7">
        <v>1</v>
      </c>
      <c r="I121" s="11" t="s">
        <v>7027</v>
      </c>
    </row>
    <row r="122" spans="1:13" x14ac:dyDescent="0.25">
      <c r="A122">
        <v>20508</v>
      </c>
      <c r="B122" t="str">
        <f>CONCATENATE(F122,D122)</f>
        <v>870862503</v>
      </c>
      <c r="C122" t="str">
        <f>CONCATENATE(F122,"#",D122,"#")</f>
        <v>8708625#03#</v>
      </c>
      <c r="D122" s="24" t="s">
        <v>8374</v>
      </c>
      <c r="E122" t="str">
        <f>IFERROR(VLOOKUP(1*LEFT(C122,7),DF!$A$1:$F$9446,2,FALSE),"")</f>
        <v>MOCHILA BOLSO CRAZY ANTS 8124-25 30L YW-</v>
      </c>
      <c r="F122" s="7">
        <v>8708625</v>
      </c>
      <c r="G122" s="7" t="s">
        <v>14146</v>
      </c>
      <c r="H122" s="7">
        <v>1</v>
      </c>
      <c r="I122" s="11" t="s">
        <v>8377</v>
      </c>
    </row>
    <row r="123" spans="1:13" x14ac:dyDescent="0.25">
      <c r="A123">
        <v>20508</v>
      </c>
      <c r="B123" t="str">
        <f>CONCATENATE(F123,D123)</f>
        <v>870861811</v>
      </c>
      <c r="C123" t="str">
        <f>CONCATENATE(F123,"#",D123,"#")</f>
        <v>8708618#11#</v>
      </c>
      <c r="D123" s="24" t="s">
        <v>12198</v>
      </c>
      <c r="E123" t="str">
        <f>IFERROR(VLOOKUP(1*LEFT(C123,7),DF!$A$1:$F$9446,2,FALSE),"")</f>
        <v>MOCHILA CAMELBACK MZ-RJ-B10 18.5L FRONT-</v>
      </c>
      <c r="F123" s="7">
        <v>8708618</v>
      </c>
      <c r="G123" s="7" t="s">
        <v>14147</v>
      </c>
      <c r="H123" s="7">
        <v>2</v>
      </c>
      <c r="I123" s="11" t="s">
        <v>12199</v>
      </c>
      <c r="J123" s="11" t="s">
        <v>12200</v>
      </c>
    </row>
    <row r="124" spans="1:13" x14ac:dyDescent="0.25">
      <c r="A124">
        <v>20508</v>
      </c>
      <c r="B124" t="str">
        <f>CONCATENATE(F124,D124)</f>
        <v>870861804</v>
      </c>
      <c r="C124" t="str">
        <f>CONCATENATE(F124,"#",D124,"#")</f>
        <v>8708618#04#</v>
      </c>
      <c r="D124" s="24" t="s">
        <v>12169</v>
      </c>
      <c r="E124" t="str">
        <f>IFERROR(VLOOKUP(1*LEFT(C124,7),DF!$A$1:$F$9446,2,FALSE),"")</f>
        <v>MOCHILA CAMELBACK MZ-RJ-B10 18.5L FRONT-</v>
      </c>
      <c r="F124" s="7">
        <v>8708618</v>
      </c>
      <c r="G124" s="7" t="s">
        <v>14148</v>
      </c>
      <c r="H124" s="7">
        <v>1</v>
      </c>
      <c r="I124" s="11" t="s">
        <v>12170</v>
      </c>
    </row>
    <row r="125" spans="1:13" x14ac:dyDescent="0.25">
      <c r="A125">
        <v>20508</v>
      </c>
      <c r="B125" t="str">
        <f>CONCATENATE(F125,D125)</f>
        <v>870861805</v>
      </c>
      <c r="C125" t="str">
        <f>CONCATENATE(F125,"#",D125,"#")</f>
        <v>8708618#05#</v>
      </c>
      <c r="D125" s="24" t="s">
        <v>12203</v>
      </c>
      <c r="E125" t="str">
        <f>IFERROR(VLOOKUP(1*LEFT(C125,7),DF!$A$1:$F$9446,2,FALSE),"")</f>
        <v>MOCHILA CAMELBACK MZ-RJ-B10 18.5L FRONT-</v>
      </c>
      <c r="F125" s="7">
        <v>8708618</v>
      </c>
      <c r="G125" s="7" t="s">
        <v>14149</v>
      </c>
      <c r="H125" s="7">
        <v>1</v>
      </c>
      <c r="I125" s="11" t="s">
        <v>12283</v>
      </c>
    </row>
    <row r="126" spans="1:13" x14ac:dyDescent="0.25">
      <c r="A126">
        <v>20508</v>
      </c>
      <c r="B126" t="str">
        <f>CONCATENATE(F126,D126)</f>
        <v>870861806</v>
      </c>
      <c r="C126" t="str">
        <f>CONCATENATE(F126,"#",D126,"#")</f>
        <v>8708618#06#</v>
      </c>
      <c r="D126" s="24" t="s">
        <v>8375</v>
      </c>
      <c r="E126" t="str">
        <f>IFERROR(VLOOKUP(1*LEFT(C126,7),DF!$A$1:$F$9446,2,FALSE),"")</f>
        <v>MOCHILA CAMELBACK MZ-RJ-B10 18.5L FRONT-</v>
      </c>
      <c r="F126" s="7">
        <v>8708618</v>
      </c>
      <c r="G126" s="7" t="s">
        <v>14150</v>
      </c>
      <c r="H126" s="7">
        <v>1</v>
      </c>
      <c r="I126" s="11" t="s">
        <v>8376</v>
      </c>
    </row>
    <row r="127" spans="1:13" x14ac:dyDescent="0.25">
      <c r="A127">
        <v>20508</v>
      </c>
      <c r="B127" t="str">
        <f>CONCATENATE(F127,D127)</f>
        <v>870861807</v>
      </c>
      <c r="C127" t="str">
        <f>CONCATENATE(F127,"#",D127,"#")</f>
        <v>8708618#07#</v>
      </c>
      <c r="D127" s="24" t="s">
        <v>12163</v>
      </c>
      <c r="E127" t="str">
        <f>IFERROR(VLOOKUP(1*LEFT(C127,7),DF!$A$1:$F$9446,2,FALSE),"")</f>
        <v>MOCHILA CAMELBACK MZ-RJ-B10 18.5L FRONT-</v>
      </c>
      <c r="F127" s="7">
        <v>8708618</v>
      </c>
      <c r="G127" s="7" t="s">
        <v>14151</v>
      </c>
      <c r="H127" s="7">
        <v>1</v>
      </c>
      <c r="I127" s="11" t="s">
        <v>12164</v>
      </c>
    </row>
    <row r="128" spans="1:13" x14ac:dyDescent="0.25">
      <c r="A128">
        <v>20508</v>
      </c>
      <c r="B128" t="str">
        <f>CONCATENATE(F128,D128)</f>
        <v>870861808</v>
      </c>
      <c r="C128" t="str">
        <f>CONCATENATE(F128,"#",D128,"#")</f>
        <v>8708618#08#</v>
      </c>
      <c r="D128" s="24" t="s">
        <v>12146</v>
      </c>
      <c r="E128" t="str">
        <f>IFERROR(VLOOKUP(1*LEFT(C128,7),DF!$A$1:$F$9446,2,FALSE),"")</f>
        <v>MOCHILA CAMELBACK MZ-RJ-B10 18.5L FRONT-</v>
      </c>
      <c r="F128" s="7">
        <v>8708618</v>
      </c>
      <c r="G128" s="7" t="s">
        <v>14152</v>
      </c>
      <c r="H128" s="7">
        <v>1</v>
      </c>
      <c r="I128" s="11" t="s">
        <v>12150</v>
      </c>
    </row>
    <row r="129" spans="1:13" x14ac:dyDescent="0.25">
      <c r="A129">
        <v>20508</v>
      </c>
      <c r="B129" t="str">
        <f>CONCATENATE(F129,D129)</f>
        <v>870861809</v>
      </c>
      <c r="C129" t="str">
        <f>CONCATENATE(F129,"#",D129,"#")</f>
        <v>8708618#09#</v>
      </c>
      <c r="D129" s="24" t="s">
        <v>7026</v>
      </c>
      <c r="E129" t="str">
        <f>IFERROR(VLOOKUP(1*LEFT(C129,7),DF!$A$1:$F$9446,2,FALSE),"")</f>
        <v>MOCHILA CAMELBACK MZ-RJ-B10 18.5L FRONT-</v>
      </c>
      <c r="F129" s="7">
        <v>8708618</v>
      </c>
      <c r="G129" s="7" t="s">
        <v>14153</v>
      </c>
      <c r="H129" s="7">
        <v>1</v>
      </c>
      <c r="I129" s="11" t="s">
        <v>7027</v>
      </c>
    </row>
    <row r="130" spans="1:13" x14ac:dyDescent="0.25">
      <c r="A130">
        <v>20508</v>
      </c>
      <c r="B130" t="str">
        <f>CONCATENATE(F130,D130)</f>
        <v>870861803</v>
      </c>
      <c r="C130" t="str">
        <f>CONCATENATE(F130,"#",D130,"#")</f>
        <v>8708618#03#</v>
      </c>
      <c r="D130" s="24" t="s">
        <v>8374</v>
      </c>
      <c r="E130" t="str">
        <f>IFERROR(VLOOKUP(1*LEFT(C130,7),DF!$A$1:$F$9446,2,FALSE),"")</f>
        <v>MOCHILA CAMELBACK MZ-RJ-B10 18.5L FRONT-</v>
      </c>
      <c r="F130" s="7">
        <v>8708618</v>
      </c>
      <c r="G130" s="7" t="s">
        <v>14154</v>
      </c>
      <c r="H130" s="7">
        <v>1</v>
      </c>
      <c r="I130" s="11" t="s">
        <v>8377</v>
      </c>
    </row>
    <row r="131" spans="1:13" x14ac:dyDescent="0.25">
      <c r="A131">
        <v>20508</v>
      </c>
      <c r="B131" t="str">
        <f>CONCATENATE(F131,D131)</f>
        <v>870861810</v>
      </c>
      <c r="C131" t="str">
        <f>CONCATENATE(F131,"#",D131,"#")</f>
        <v>8708618#10#</v>
      </c>
      <c r="D131" s="24" t="s">
        <v>14122</v>
      </c>
      <c r="E131" t="str">
        <f>IFERROR(VLOOKUP(1*LEFT(C131,7),DF!$A$1:$F$9446,2,FALSE),"")</f>
        <v>MOCHILA CAMELBACK MZ-RJ-B10 18.5L FRONT-</v>
      </c>
      <c r="F131" s="7">
        <v>8708618</v>
      </c>
      <c r="G131" s="7" t="s">
        <v>14155</v>
      </c>
      <c r="H131" s="7">
        <v>1</v>
      </c>
      <c r="I131" s="11" t="s">
        <v>14123</v>
      </c>
    </row>
    <row r="132" spans="1:13" x14ac:dyDescent="0.25">
      <c r="A132">
        <v>20508</v>
      </c>
      <c r="B132" t="str">
        <f>CONCATENATE(F132,D132)</f>
        <v>870860115</v>
      </c>
      <c r="C132" t="str">
        <f>CONCATENATE(F132,"#",D132,"#")</f>
        <v>8708601#15#</v>
      </c>
      <c r="D132" s="7" t="s">
        <v>14159</v>
      </c>
      <c r="E132" t="str">
        <f>IFERROR(VLOOKUP(1*LEFT(C132,7),DF!$A$1:$F$9446,2,FALSE),"")</f>
        <v>MOCHILA PUBG LEVEL 3 MZ-RJ-B01 30L FRONT</v>
      </c>
      <c r="F132" s="7">
        <v>8708601</v>
      </c>
      <c r="G132" s="7" t="s">
        <v>14187</v>
      </c>
      <c r="H132" s="7">
        <v>1</v>
      </c>
      <c r="I132" s="11" t="s">
        <v>14164</v>
      </c>
    </row>
    <row r="133" spans="1:13" x14ac:dyDescent="0.25">
      <c r="A133">
        <v>20508</v>
      </c>
      <c r="B133" t="str">
        <f>CONCATENATE(F133,D133)</f>
        <v>870860102</v>
      </c>
      <c r="C133" t="str">
        <f>CONCATENATE(F133,"#",D133,"#")</f>
        <v>8708601#02#</v>
      </c>
      <c r="D133" s="7" t="s">
        <v>14062</v>
      </c>
      <c r="E133" t="str">
        <f>IFERROR(VLOOKUP(1*LEFT(C133,7),DF!$A$1:$F$9446,2,FALSE),"")</f>
        <v>MOCHILA PUBG LEVEL 3 MZ-RJ-B01 30L FRONT</v>
      </c>
      <c r="F133" s="7">
        <v>8708601</v>
      </c>
      <c r="G133" s="7" t="s">
        <v>14188</v>
      </c>
      <c r="H133" s="7">
        <v>1</v>
      </c>
      <c r="I133" s="11" t="s">
        <v>14100</v>
      </c>
    </row>
    <row r="134" spans="1:13" x14ac:dyDescent="0.25">
      <c r="A134">
        <v>20508</v>
      </c>
      <c r="B134" t="str">
        <f>CONCATENATE(F134,D134)</f>
        <v>870860101</v>
      </c>
      <c r="C134" t="str">
        <f>CONCATENATE(F134,"#",D134,"#")</f>
        <v>8708601#01#</v>
      </c>
      <c r="D134" s="7" t="s">
        <v>12294</v>
      </c>
      <c r="E134" t="str">
        <f>IFERROR(VLOOKUP(1*LEFT(C134,7),DF!$A$1:$F$9446,2,FALSE),"")</f>
        <v>MOCHILA PUBG LEVEL 3 MZ-RJ-B01 30L FRONT</v>
      </c>
      <c r="F134" s="7">
        <v>8708601</v>
      </c>
      <c r="G134" s="7" t="s">
        <v>14189</v>
      </c>
      <c r="H134" s="7">
        <v>1</v>
      </c>
      <c r="I134" s="11" t="s">
        <v>12295</v>
      </c>
    </row>
    <row r="135" spans="1:13" x14ac:dyDescent="0.25">
      <c r="A135">
        <v>20508</v>
      </c>
      <c r="B135" t="str">
        <f>CONCATENATE(F135,D135)</f>
        <v>870860103</v>
      </c>
      <c r="C135" t="str">
        <f>CONCATENATE(F135,"#",D135,"#")</f>
        <v>8708601#03#</v>
      </c>
      <c r="D135" s="7" t="s">
        <v>8374</v>
      </c>
      <c r="E135" t="str">
        <f>IFERROR(VLOOKUP(1*LEFT(C135,7),DF!$A$1:$F$9446,2,FALSE),"")</f>
        <v>MOCHILA PUBG LEVEL 3 MZ-RJ-B01 30L FRONT</v>
      </c>
      <c r="F135" s="7">
        <v>8708601</v>
      </c>
      <c r="G135" s="7" t="s">
        <v>14190</v>
      </c>
      <c r="H135" s="7">
        <v>4</v>
      </c>
      <c r="I135" s="11" t="s">
        <v>8377</v>
      </c>
      <c r="J135" s="11" t="s">
        <v>10865</v>
      </c>
      <c r="K135" s="11" t="s">
        <v>12140</v>
      </c>
      <c r="L135" s="11" t="s">
        <v>12168</v>
      </c>
    </row>
    <row r="136" spans="1:13" x14ac:dyDescent="0.25">
      <c r="A136">
        <v>20508</v>
      </c>
      <c r="B136" t="str">
        <f>CONCATENATE(F136,D136)</f>
        <v>870860104</v>
      </c>
      <c r="C136" t="str">
        <f>CONCATENATE(F136,"#",D136,"#")</f>
        <v>8708601#04#</v>
      </c>
      <c r="D136" s="7" t="s">
        <v>12169</v>
      </c>
      <c r="E136" t="str">
        <f>IFERROR(VLOOKUP(1*LEFT(C136,7),DF!$A$1:$F$9446,2,FALSE),"")</f>
        <v>MOCHILA PUBG LEVEL 3 MZ-RJ-B01 30L FRONT</v>
      </c>
      <c r="F136" s="7">
        <v>8708601</v>
      </c>
      <c r="G136" s="7" t="s">
        <v>14191</v>
      </c>
      <c r="H136" s="7">
        <v>3</v>
      </c>
      <c r="I136" s="11" t="s">
        <v>12170</v>
      </c>
      <c r="J136" s="11" t="s">
        <v>12171</v>
      </c>
      <c r="K136" s="11" t="s">
        <v>12172</v>
      </c>
    </row>
    <row r="137" spans="1:13" x14ac:dyDescent="0.25">
      <c r="A137">
        <v>20508</v>
      </c>
      <c r="B137" t="str">
        <f>CONCATENATE(F137,D137)</f>
        <v>870860105</v>
      </c>
      <c r="C137" t="str">
        <f>CONCATENATE(F137,"#",D137,"#")</f>
        <v>8708601#05#</v>
      </c>
      <c r="D137" s="7" t="s">
        <v>12203</v>
      </c>
      <c r="E137" t="str">
        <f>IFERROR(VLOOKUP(1*LEFT(C137,7),DF!$A$1:$F$9446,2,FALSE),"")</f>
        <v>MOCHILA PUBG LEVEL 3 MZ-RJ-B01 30L FRONT</v>
      </c>
      <c r="F137" s="7">
        <v>8708601</v>
      </c>
      <c r="G137" s="7" t="s">
        <v>14192</v>
      </c>
      <c r="H137" s="7">
        <v>1</v>
      </c>
      <c r="I137" s="11" t="s">
        <v>12283</v>
      </c>
    </row>
    <row r="138" spans="1:13" x14ac:dyDescent="0.25">
      <c r="A138">
        <v>20508</v>
      </c>
      <c r="B138" t="str">
        <f>CONCATENATE(F138,D138)</f>
        <v>870860106</v>
      </c>
      <c r="C138" t="str">
        <f>CONCATENATE(F138,"#",D138,"#")</f>
        <v>8708601#06#</v>
      </c>
      <c r="D138" s="7" t="s">
        <v>8375</v>
      </c>
      <c r="E138" t="str">
        <f>IFERROR(VLOOKUP(1*LEFT(C138,7),DF!$A$1:$F$9446,2,FALSE),"")</f>
        <v>MOCHILA PUBG LEVEL 3 MZ-RJ-B01 30L FRONT</v>
      </c>
      <c r="F138" s="7">
        <v>8708601</v>
      </c>
      <c r="G138" s="7" t="s">
        <v>14193</v>
      </c>
      <c r="H138" s="7">
        <v>2</v>
      </c>
      <c r="I138" s="11" t="s">
        <v>8376</v>
      </c>
      <c r="J138" s="11" t="s">
        <v>12131</v>
      </c>
    </row>
    <row r="139" spans="1:13" x14ac:dyDescent="0.25">
      <c r="A139">
        <v>20508</v>
      </c>
      <c r="B139" t="str">
        <f>CONCATENATE(F139,D139)</f>
        <v>870860107</v>
      </c>
      <c r="C139" t="str">
        <f>CONCATENATE(F139,"#",D139,"#")</f>
        <v>8708601#07#</v>
      </c>
      <c r="D139" s="7" t="s">
        <v>12163</v>
      </c>
      <c r="E139" t="str">
        <f>IFERROR(VLOOKUP(1*LEFT(C139,7),DF!$A$1:$F$9446,2,FALSE),"")</f>
        <v>MOCHILA PUBG LEVEL 3 MZ-RJ-B01 30L FRONT</v>
      </c>
      <c r="F139" s="7">
        <v>8708601</v>
      </c>
      <c r="G139" s="7" t="s">
        <v>14194</v>
      </c>
      <c r="H139" s="7">
        <v>1</v>
      </c>
      <c r="I139" s="11" t="s">
        <v>12164</v>
      </c>
    </row>
    <row r="140" spans="1:13" x14ac:dyDescent="0.25">
      <c r="A140">
        <v>20508</v>
      </c>
      <c r="B140" t="str">
        <f>CONCATENATE(F140,D140)</f>
        <v>870860108</v>
      </c>
      <c r="C140" t="str">
        <f>CONCATENATE(F140,"#",D140,"#")</f>
        <v>8708601#08#</v>
      </c>
      <c r="D140" s="7" t="s">
        <v>12146</v>
      </c>
      <c r="E140" t="str">
        <f>IFERROR(VLOOKUP(1*LEFT(C140,7),DF!$A$1:$F$9446,2,FALSE),"")</f>
        <v>MOCHILA PUBG LEVEL 3 MZ-RJ-B01 30L FRONT</v>
      </c>
      <c r="F140" s="7">
        <v>8708601</v>
      </c>
      <c r="G140" s="7" t="s">
        <v>14195</v>
      </c>
      <c r="H140" s="7">
        <v>1</v>
      </c>
      <c r="I140" s="11" t="s">
        <v>12150</v>
      </c>
    </row>
    <row r="141" spans="1:13" x14ac:dyDescent="0.25">
      <c r="A141">
        <v>20508</v>
      </c>
      <c r="B141" t="str">
        <f>CONCATENATE(F141,D141)</f>
        <v>870860109</v>
      </c>
      <c r="C141" t="str">
        <f>CONCATENATE(F141,"#",D141,"#")</f>
        <v>8708601#09#</v>
      </c>
      <c r="D141" s="7" t="s">
        <v>7026</v>
      </c>
      <c r="E141" t="str">
        <f>IFERROR(VLOOKUP(1*LEFT(C141,7),DF!$A$1:$F$9446,2,FALSE),"")</f>
        <v>MOCHILA PUBG LEVEL 3 MZ-RJ-B01 30L FRONT</v>
      </c>
      <c r="F141" s="7">
        <v>8708601</v>
      </c>
      <c r="G141" s="7" t="s">
        <v>14196</v>
      </c>
      <c r="H141" s="7">
        <v>5</v>
      </c>
      <c r="I141" s="11" t="s">
        <v>7027</v>
      </c>
      <c r="J141" s="11" t="s">
        <v>10866</v>
      </c>
      <c r="K141" s="11" t="s">
        <v>10869</v>
      </c>
      <c r="L141" s="11" t="s">
        <v>10870</v>
      </c>
      <c r="M141" s="11" t="s">
        <v>10871</v>
      </c>
    </row>
    <row r="142" spans="1:13" x14ac:dyDescent="0.25">
      <c r="A142">
        <v>20508</v>
      </c>
      <c r="B142" t="str">
        <f>CONCATENATE(F142,D142)</f>
        <v>870860110</v>
      </c>
      <c r="C142" t="str">
        <f>CONCATENATE(F142,"#",D142,"#")</f>
        <v>8708601#10#</v>
      </c>
      <c r="D142" s="7" t="s">
        <v>14122</v>
      </c>
      <c r="E142" t="str">
        <f>IFERROR(VLOOKUP(1*LEFT(C142,7),DF!$A$1:$F$9446,2,FALSE),"")</f>
        <v>MOCHILA PUBG LEVEL 3 MZ-RJ-B01 30L FRONT</v>
      </c>
      <c r="F142" s="7">
        <v>8708601</v>
      </c>
      <c r="G142" s="7" t="s">
        <v>14197</v>
      </c>
      <c r="H142" s="7">
        <v>1</v>
      </c>
      <c r="I142" s="11" t="s">
        <v>14123</v>
      </c>
    </row>
    <row r="143" spans="1:13" x14ac:dyDescent="0.25">
      <c r="A143">
        <v>20508</v>
      </c>
      <c r="B143" t="str">
        <f>CONCATENATE(F143,D143)</f>
        <v>870860111</v>
      </c>
      <c r="C143" t="str">
        <f>CONCATENATE(F143,"#",D143,"#")</f>
        <v>8708601#11#</v>
      </c>
      <c r="D143" s="7" t="s">
        <v>12198</v>
      </c>
      <c r="E143" t="str">
        <f>IFERROR(VLOOKUP(1*LEFT(C143,7),DF!$A$1:$F$9446,2,FALSE),"")</f>
        <v>MOCHILA PUBG LEVEL 3 MZ-RJ-B01 30L FRONT</v>
      </c>
      <c r="F143" s="7">
        <v>8708601</v>
      </c>
      <c r="G143" s="7" t="s">
        <v>14198</v>
      </c>
      <c r="H143" s="7">
        <v>2</v>
      </c>
      <c r="I143" s="11" t="s">
        <v>12199</v>
      </c>
      <c r="J143" s="11" t="s">
        <v>12200</v>
      </c>
    </row>
    <row r="144" spans="1:13" x14ac:dyDescent="0.25">
      <c r="A144">
        <v>20508</v>
      </c>
      <c r="B144" t="str">
        <f>CONCATENATE(F144,D144)</f>
        <v>870860112</v>
      </c>
      <c r="C144" t="str">
        <f>CONCATENATE(F144,"#",D144,"#")</f>
        <v>8708601#12#</v>
      </c>
      <c r="D144" s="7" t="s">
        <v>14160</v>
      </c>
      <c r="E144" t="str">
        <f>IFERROR(VLOOKUP(1*LEFT(C144,7),DF!$A$1:$F$9446,2,FALSE),"")</f>
        <v>MOCHILA PUBG LEVEL 3 MZ-RJ-B01 30L FRONT</v>
      </c>
      <c r="F144" s="7">
        <v>8708601</v>
      </c>
      <c r="G144" s="7" t="s">
        <v>14199</v>
      </c>
      <c r="H144" s="7">
        <v>1</v>
      </c>
      <c r="I144" s="11" t="s">
        <v>14165</v>
      </c>
    </row>
    <row r="145" spans="1:17" x14ac:dyDescent="0.25">
      <c r="A145">
        <v>20508</v>
      </c>
      <c r="B145" t="str">
        <f>CONCATENATE(F145,D145)</f>
        <v>870860113</v>
      </c>
      <c r="C145" t="str">
        <f>CONCATENATE(F145,"#",D145,"#")</f>
        <v>8708601#13#</v>
      </c>
      <c r="D145" s="7" t="s">
        <v>12286</v>
      </c>
      <c r="E145" t="str">
        <f>IFERROR(VLOOKUP(1*LEFT(C145,7),DF!$A$1:$F$9446,2,FALSE),"")</f>
        <v>MOCHILA PUBG LEVEL 3 MZ-RJ-B01 30L FRONT</v>
      </c>
      <c r="F145" s="7">
        <v>8708601</v>
      </c>
      <c r="G145" s="7" t="s">
        <v>14200</v>
      </c>
      <c r="H145" s="7">
        <v>2</v>
      </c>
      <c r="I145" s="11" t="s">
        <v>12292</v>
      </c>
      <c r="J145" s="11" t="s">
        <v>12293</v>
      </c>
    </row>
    <row r="146" spans="1:17" x14ac:dyDescent="0.25">
      <c r="A146">
        <v>20508</v>
      </c>
      <c r="B146" t="str">
        <f>CONCATENATE(F146,D146)</f>
        <v>870860114</v>
      </c>
      <c r="C146" t="str">
        <f>CONCATENATE(F146,"#",D146,"#")</f>
        <v>8708601#14#</v>
      </c>
      <c r="D146" s="7" t="s">
        <v>14161</v>
      </c>
      <c r="E146" t="str">
        <f>IFERROR(VLOOKUP(1*LEFT(C146,7),DF!$A$1:$F$9446,2,FALSE),"")</f>
        <v>MOCHILA PUBG LEVEL 3 MZ-RJ-B01 30L FRONT</v>
      </c>
      <c r="F146" s="7">
        <v>8708601</v>
      </c>
      <c r="G146" s="7" t="s">
        <v>14201</v>
      </c>
      <c r="H146" s="7">
        <v>2</v>
      </c>
      <c r="I146" s="11" t="s">
        <v>14166</v>
      </c>
      <c r="J146" s="11" t="s">
        <v>14167</v>
      </c>
    </row>
    <row r="147" spans="1:17" x14ac:dyDescent="0.25">
      <c r="A147">
        <v>20508</v>
      </c>
      <c r="B147" t="str">
        <f>CONCATENATE(F147,D147)</f>
        <v>870860116</v>
      </c>
      <c r="C147" t="str">
        <f>CONCATENATE(F147,"#",D147,"#")</f>
        <v>8708601#16#</v>
      </c>
      <c r="D147" s="7" t="s">
        <v>14162</v>
      </c>
      <c r="E147" t="str">
        <f>IFERROR(VLOOKUP(1*LEFT(C147,7),DF!$A$1:$F$9446,2,FALSE),"")</f>
        <v>MOCHILA PUBG LEVEL 3 MZ-RJ-B01 30L FRONT</v>
      </c>
      <c r="F147" s="7">
        <v>8708601</v>
      </c>
      <c r="G147" s="7" t="s">
        <v>14202</v>
      </c>
      <c r="H147" s="7">
        <v>1</v>
      </c>
      <c r="I147" s="11" t="s">
        <v>14168</v>
      </c>
    </row>
    <row r="148" spans="1:17" x14ac:dyDescent="0.25">
      <c r="A148">
        <v>20508</v>
      </c>
      <c r="B148" t="str">
        <f>CONCATENATE(F148,D148)</f>
        <v>870860117</v>
      </c>
      <c r="C148" t="str">
        <f>CONCATENATE(F148,"#",D148,"#")</f>
        <v>8708601#17#</v>
      </c>
      <c r="D148" s="7" t="s">
        <v>14163</v>
      </c>
      <c r="E148" t="str">
        <f>IFERROR(VLOOKUP(1*LEFT(C148,7),DF!$A$1:$F$9446,2,FALSE),"")</f>
        <v>MOCHILA PUBG LEVEL 3 MZ-RJ-B01 30L FRONT</v>
      </c>
      <c r="F148" s="7">
        <v>8708601</v>
      </c>
      <c r="G148" s="7" t="s">
        <v>14203</v>
      </c>
      <c r="H148" s="7">
        <v>1</v>
      </c>
      <c r="I148" s="11" t="s">
        <v>14169</v>
      </c>
    </row>
    <row r="149" spans="1:17" x14ac:dyDescent="0.25">
      <c r="A149">
        <v>20508</v>
      </c>
      <c r="B149" t="str">
        <f>CONCATENATE(F149,D149)</f>
        <v>870864303</v>
      </c>
      <c r="C149" t="str">
        <f>CONCATENATE(F149,"#",D149,"#")</f>
        <v>8708643#03#</v>
      </c>
      <c r="D149" s="7" t="s">
        <v>8374</v>
      </c>
      <c r="E149" t="str">
        <f>IFERROR(VLOOKUP(1*LEFT(C149,7),DF!$A$1:$F$9446,2,FALSE),"")</f>
        <v>MOCHILA 8141-43 20.5L YW-48/3</v>
      </c>
      <c r="F149" s="7">
        <v>8708643</v>
      </c>
      <c r="G149" s="7" t="s">
        <v>14204</v>
      </c>
      <c r="H149" s="7">
        <v>7</v>
      </c>
      <c r="I149" s="11" t="s">
        <v>8377</v>
      </c>
      <c r="J149" s="11" t="s">
        <v>10865</v>
      </c>
      <c r="K149" s="11" t="s">
        <v>12140</v>
      </c>
      <c r="L149" s="11" t="s">
        <v>12168</v>
      </c>
      <c r="M149" s="11" t="s">
        <v>14170</v>
      </c>
      <c r="N149" s="11" t="s">
        <v>14171</v>
      </c>
      <c r="O149" s="11" t="s">
        <v>14172</v>
      </c>
    </row>
    <row r="150" spans="1:17" x14ac:dyDescent="0.25">
      <c r="A150">
        <v>20508</v>
      </c>
      <c r="B150" t="str">
        <f>CONCATENATE(F150,D150)</f>
        <v>870864306</v>
      </c>
      <c r="C150" t="str">
        <f>CONCATENATE(F150,"#",D150,"#")</f>
        <v>8708643#06#</v>
      </c>
      <c r="D150" s="7" t="s">
        <v>8375</v>
      </c>
      <c r="E150" t="str">
        <f>IFERROR(VLOOKUP(1*LEFT(C150,7),DF!$A$1:$F$9446,2,FALSE),"")</f>
        <v>MOCHILA 8141-43 20.5L YW-48/3</v>
      </c>
      <c r="F150" s="7">
        <v>8708643</v>
      </c>
      <c r="G150" s="7" t="s">
        <v>14205</v>
      </c>
      <c r="H150" s="7">
        <v>8</v>
      </c>
      <c r="I150" s="11" t="s">
        <v>8376</v>
      </c>
      <c r="J150" s="11" t="s">
        <v>12131</v>
      </c>
      <c r="K150" s="11" t="s">
        <v>12148</v>
      </c>
      <c r="L150" s="11" t="s">
        <v>12149</v>
      </c>
      <c r="M150" s="11" t="s">
        <v>14173</v>
      </c>
      <c r="N150" s="11" t="s">
        <v>14174</v>
      </c>
      <c r="O150" s="11" t="s">
        <v>14175</v>
      </c>
      <c r="P150" s="11" t="s">
        <v>14176</v>
      </c>
    </row>
    <row r="151" spans="1:17" x14ac:dyDescent="0.25">
      <c r="A151">
        <v>20508</v>
      </c>
      <c r="B151" t="str">
        <f>CONCATENATE(F151,D151)</f>
        <v>870864307</v>
      </c>
      <c r="C151" t="str">
        <f>CONCATENATE(F151,"#",D151,"#")</f>
        <v>8708643#07#</v>
      </c>
      <c r="D151" s="7" t="s">
        <v>12163</v>
      </c>
      <c r="E151" t="str">
        <f>IFERROR(VLOOKUP(1*LEFT(C151,7),DF!$A$1:$F$9446,2,FALSE),"")</f>
        <v>MOCHILA 8141-43 20.5L YW-48/3</v>
      </c>
      <c r="F151" s="7">
        <v>8708643</v>
      </c>
      <c r="G151" s="7" t="s">
        <v>14206</v>
      </c>
      <c r="H151" s="7">
        <v>7</v>
      </c>
      <c r="I151" s="11" t="s">
        <v>12164</v>
      </c>
      <c r="J151" s="11" t="s">
        <v>12165</v>
      </c>
      <c r="K151" s="11" t="s">
        <v>12166</v>
      </c>
      <c r="L151" s="11" t="s">
        <v>12167</v>
      </c>
      <c r="M151" s="11" t="s">
        <v>12284</v>
      </c>
      <c r="N151" s="11" t="s">
        <v>14177</v>
      </c>
      <c r="O151" s="11" t="s">
        <v>14178</v>
      </c>
    </row>
    <row r="152" spans="1:17" x14ac:dyDescent="0.25">
      <c r="A152">
        <v>20508</v>
      </c>
      <c r="B152" t="str">
        <f>CONCATENATE(F152,D152)</f>
        <v>870864309</v>
      </c>
      <c r="C152" t="str">
        <f>CONCATENATE(F152,"#",D152,"#")</f>
        <v>8708643#09#</v>
      </c>
      <c r="D152" s="7" t="s">
        <v>7026</v>
      </c>
      <c r="E152" t="str">
        <f>IFERROR(VLOOKUP(1*LEFT(C152,7),DF!$A$1:$F$9446,2,FALSE),"")</f>
        <v>MOCHILA 8141-43 20.5L YW-48/3</v>
      </c>
      <c r="F152" s="7">
        <v>8708643</v>
      </c>
      <c r="G152" s="7" t="s">
        <v>14207</v>
      </c>
      <c r="H152" s="7">
        <v>6</v>
      </c>
      <c r="I152" s="11" t="s">
        <v>7027</v>
      </c>
      <c r="J152" s="11" t="s">
        <v>10866</v>
      </c>
      <c r="K152" s="11" t="s">
        <v>10869</v>
      </c>
      <c r="L152" s="11" t="s">
        <v>10870</v>
      </c>
      <c r="M152" s="11" t="s">
        <v>10871</v>
      </c>
      <c r="N152" s="11" t="s">
        <v>10877</v>
      </c>
    </row>
    <row r="153" spans="1:17" x14ac:dyDescent="0.25">
      <c r="A153">
        <v>20508</v>
      </c>
      <c r="B153" t="str">
        <f>CONCATENATE(F153,D153)</f>
        <v>870889903</v>
      </c>
      <c r="C153" t="str">
        <f>CONCATENATE(F153,"#",D153,"#")</f>
        <v>8708899#03#</v>
      </c>
      <c r="D153" s="7" t="s">
        <v>8374</v>
      </c>
      <c r="E153" t="str">
        <f>IFERROR(VLOOKUP(1*LEFT(C153,7),DF!$A$1:$F$9446,2,FALSE),"")</f>
        <v>MOCHILA MZ-RJ-A99 25 L FRONT</v>
      </c>
      <c r="F153" s="7">
        <v>8708899</v>
      </c>
      <c r="G153" s="7" t="s">
        <v>14208</v>
      </c>
      <c r="H153" s="7">
        <v>4</v>
      </c>
      <c r="I153" s="11" t="s">
        <v>8377</v>
      </c>
      <c r="J153" s="11" t="s">
        <v>10865</v>
      </c>
      <c r="K153" s="11" t="s">
        <v>12140</v>
      </c>
      <c r="L153" s="11" t="s">
        <v>12168</v>
      </c>
    </row>
    <row r="154" spans="1:17" x14ac:dyDescent="0.25">
      <c r="A154">
        <v>20508</v>
      </c>
      <c r="B154" t="str">
        <f>CONCATENATE(F154,D154)</f>
        <v>870889906</v>
      </c>
      <c r="C154" t="str">
        <f>CONCATENATE(F154,"#",D154,"#")</f>
        <v>8708899#06#</v>
      </c>
      <c r="D154" s="7" t="s">
        <v>8375</v>
      </c>
      <c r="E154" t="str">
        <f>IFERROR(VLOOKUP(1*LEFT(C154,7),DF!$A$1:$F$9446,2,FALSE),"")</f>
        <v>MOCHILA MZ-RJ-A99 25 L FRONT</v>
      </c>
      <c r="F154" s="7">
        <v>8708899</v>
      </c>
      <c r="G154" s="7" t="s">
        <v>14209</v>
      </c>
      <c r="H154" s="7">
        <v>1</v>
      </c>
      <c r="I154" s="11" t="s">
        <v>8376</v>
      </c>
    </row>
    <row r="155" spans="1:17" x14ac:dyDescent="0.25">
      <c r="A155">
        <v>20508</v>
      </c>
      <c r="B155" t="str">
        <f>CONCATENATE(F155,D155)</f>
        <v>870889907</v>
      </c>
      <c r="C155" t="str">
        <f>CONCATENATE(F155,"#",D155,"#")</f>
        <v>8708899#07#</v>
      </c>
      <c r="D155" s="7" t="s">
        <v>12163</v>
      </c>
      <c r="E155" t="str">
        <f>IFERROR(VLOOKUP(1*LEFT(C155,7),DF!$A$1:$F$9446,2,FALSE),"")</f>
        <v>MOCHILA MZ-RJ-A99 25 L FRONT</v>
      </c>
      <c r="F155" s="7">
        <v>8708899</v>
      </c>
      <c r="G155" s="7" t="s">
        <v>14210</v>
      </c>
      <c r="H155" s="7">
        <v>1</v>
      </c>
      <c r="I155" s="11" t="s">
        <v>12164</v>
      </c>
    </row>
    <row r="156" spans="1:17" x14ac:dyDescent="0.25">
      <c r="A156">
        <v>20508</v>
      </c>
      <c r="B156" t="str">
        <f>CONCATENATE(F156,D156)</f>
        <v>870889909</v>
      </c>
      <c r="C156" t="str">
        <f>CONCATENATE(F156,"#",D156,"#")</f>
        <v>8708899#09#</v>
      </c>
      <c r="D156" s="7" t="s">
        <v>7026</v>
      </c>
      <c r="E156" t="str">
        <f>IFERROR(VLOOKUP(1*LEFT(C156,7),DF!$A$1:$F$9446,2,FALSE),"")</f>
        <v>MOCHILA MZ-RJ-A99 25 L FRONT</v>
      </c>
      <c r="F156" s="7">
        <v>8708899</v>
      </c>
      <c r="G156" s="7" t="s">
        <v>14211</v>
      </c>
      <c r="H156" s="7">
        <v>1</v>
      </c>
      <c r="I156" s="11" t="s">
        <v>7027</v>
      </c>
    </row>
    <row r="157" spans="1:17" x14ac:dyDescent="0.25">
      <c r="A157">
        <v>20508</v>
      </c>
      <c r="B157" t="str">
        <f>CONCATENATE(F157,D157)</f>
        <v>870810004</v>
      </c>
      <c r="C157" t="str">
        <f>CONCATENATE(F157,"#",D157,"#")</f>
        <v>8708100#04#</v>
      </c>
      <c r="D157" s="7" t="s">
        <v>12169</v>
      </c>
      <c r="E157" t="str">
        <f>IFERROR(VLOOKUP(1*LEFT(C157,7),DF!$A$1:$F$9446,2,FALSE),"")</f>
        <v>MOCHILA PATRULLA RRD29 BLK</v>
      </c>
      <c r="F157" s="7">
        <v>8708100</v>
      </c>
      <c r="G157" s="7" t="s">
        <v>14212</v>
      </c>
      <c r="H157" s="7">
        <v>9</v>
      </c>
      <c r="I157" s="11" t="s">
        <v>12170</v>
      </c>
      <c r="J157" s="11" t="s">
        <v>12171</v>
      </c>
      <c r="K157" s="11" t="s">
        <v>12172</v>
      </c>
      <c r="L157" s="11" t="s">
        <v>12173</v>
      </c>
      <c r="M157" s="11" t="s">
        <v>12174</v>
      </c>
      <c r="N157" s="11" t="s">
        <v>12175</v>
      </c>
      <c r="O157" s="11" t="s">
        <v>12176</v>
      </c>
      <c r="P157" s="11" t="s">
        <v>12177</v>
      </c>
      <c r="Q157" s="11" t="s">
        <v>12178</v>
      </c>
    </row>
    <row r="158" spans="1:17" x14ac:dyDescent="0.25">
      <c r="A158">
        <v>20508</v>
      </c>
      <c r="B158" t="str">
        <f>CONCATENATE(F158,D158)</f>
        <v>870810006</v>
      </c>
      <c r="C158" t="str">
        <f>CONCATENATE(F158,"#",D158,"#")</f>
        <v>8708100#06#</v>
      </c>
      <c r="D158" s="7" t="s">
        <v>8375</v>
      </c>
      <c r="E158" t="str">
        <f>IFERROR(VLOOKUP(1*LEFT(C158,7),DF!$A$1:$F$9446,2,FALSE),"")</f>
        <v>MOCHILA PATRULLA RRD29 BLK</v>
      </c>
      <c r="F158" s="7">
        <v>8708100</v>
      </c>
      <c r="G158" s="7" t="s">
        <v>14213</v>
      </c>
      <c r="H158" s="7">
        <v>8</v>
      </c>
      <c r="I158" s="11" t="s">
        <v>8376</v>
      </c>
      <c r="J158" s="11" t="s">
        <v>12131</v>
      </c>
      <c r="K158" s="11" t="s">
        <v>12148</v>
      </c>
      <c r="L158" s="11" t="s">
        <v>12149</v>
      </c>
      <c r="M158" s="11" t="s">
        <v>14173</v>
      </c>
      <c r="N158" s="11" t="s">
        <v>14174</v>
      </c>
      <c r="O158" s="11" t="s">
        <v>14175</v>
      </c>
      <c r="P158" s="11" t="s">
        <v>14176</v>
      </c>
    </row>
    <row r="159" spans="1:17" x14ac:dyDescent="0.25">
      <c r="A159">
        <v>20508</v>
      </c>
      <c r="B159" t="str">
        <f>CONCATENATE(F159,D159)</f>
        <v>870810009</v>
      </c>
      <c r="C159" t="str">
        <f>CONCATENATE(F159,"#",D159,"#")</f>
        <v>8708100#09#</v>
      </c>
      <c r="D159" s="7" t="s">
        <v>7026</v>
      </c>
      <c r="E159" t="str">
        <f>IFERROR(VLOOKUP(1*LEFT(C159,7),DF!$A$1:$F$9446,2,FALSE),"")</f>
        <v>MOCHILA PATRULLA RRD29 BLK</v>
      </c>
      <c r="F159" s="7">
        <v>8708100</v>
      </c>
      <c r="G159" s="7" t="s">
        <v>14214</v>
      </c>
      <c r="H159" s="7">
        <v>4</v>
      </c>
      <c r="I159" s="11" t="s">
        <v>7027</v>
      </c>
      <c r="J159" s="11" t="s">
        <v>10866</v>
      </c>
      <c r="K159" s="11" t="s">
        <v>10869</v>
      </c>
      <c r="L159" s="11" t="s">
        <v>10870</v>
      </c>
    </row>
    <row r="160" spans="1:17" x14ac:dyDescent="0.25">
      <c r="A160">
        <v>20508</v>
      </c>
      <c r="B160" t="str">
        <f>CONCATENATE(F160,D160)</f>
        <v>870810021</v>
      </c>
      <c r="C160" t="str">
        <f>CONCATENATE(F160,"#",D160,"#")</f>
        <v>8708100#21#</v>
      </c>
      <c r="D160" s="7" t="s">
        <v>12185</v>
      </c>
      <c r="E160" t="str">
        <f>IFERROR(VLOOKUP(1*LEFT(C160,7),DF!$A$1:$F$9446,2,FALSE),"")</f>
        <v>MOCHILA PATRULLA RRD29 BLK</v>
      </c>
      <c r="F160" s="7">
        <v>8708100</v>
      </c>
      <c r="G160" s="7" t="s">
        <v>14215</v>
      </c>
      <c r="H160" s="7">
        <v>5</v>
      </c>
      <c r="I160" s="11" t="s">
        <v>12186</v>
      </c>
      <c r="J160" s="11" t="s">
        <v>12187</v>
      </c>
      <c r="K160" s="11" t="s">
        <v>14179</v>
      </c>
      <c r="L160" s="11" t="s">
        <v>14180</v>
      </c>
      <c r="M160" s="11" t="s">
        <v>14181</v>
      </c>
    </row>
    <row r="161" spans="1:16" x14ac:dyDescent="0.25">
      <c r="A161">
        <v>20508</v>
      </c>
      <c r="B161" t="str">
        <f>CONCATENATE(F161,D161)</f>
        <v>870861003</v>
      </c>
      <c r="C161" t="str">
        <f>CONCATENATE(F161,"#",D161,"#")</f>
        <v>8708610#03#</v>
      </c>
      <c r="D161" s="7" t="s">
        <v>8374</v>
      </c>
      <c r="E161" t="str">
        <f>IFERROR(VLOOKUP(1*LEFT(C161,7),DF!$A$1:$F$9446,2,FALSE),"")</f>
        <v>MOCHILA 3D MEDIANA MZ-RJ-A10 35L FRONT 7</v>
      </c>
      <c r="F161" s="7">
        <v>8708610</v>
      </c>
      <c r="G161" s="7" t="s">
        <v>14216</v>
      </c>
      <c r="H161" s="7">
        <v>7</v>
      </c>
      <c r="I161" s="11" t="s">
        <v>8377</v>
      </c>
      <c r="J161" s="11" t="s">
        <v>10865</v>
      </c>
      <c r="K161" s="11" t="s">
        <v>12140</v>
      </c>
      <c r="L161" s="11" t="s">
        <v>12168</v>
      </c>
      <c r="M161" s="11" t="s">
        <v>14170</v>
      </c>
      <c r="N161" s="11" t="s">
        <v>14171</v>
      </c>
      <c r="O161" s="11" t="s">
        <v>14172</v>
      </c>
    </row>
    <row r="162" spans="1:16" x14ac:dyDescent="0.25">
      <c r="A162">
        <v>20508</v>
      </c>
      <c r="B162" t="str">
        <f>CONCATENATE(F162,D162)</f>
        <v>870861004</v>
      </c>
      <c r="C162" t="str">
        <f>CONCATENATE(F162,"#",D162,"#")</f>
        <v>8708610#04#</v>
      </c>
      <c r="D162" s="7" t="s">
        <v>12169</v>
      </c>
      <c r="E162" t="str">
        <f>IFERROR(VLOOKUP(1*LEFT(C162,7),DF!$A$1:$F$9446,2,FALSE),"")</f>
        <v>MOCHILA 3D MEDIANA MZ-RJ-A10 35L FRONT 7</v>
      </c>
      <c r="F162" s="7">
        <v>8708610</v>
      </c>
      <c r="G162" s="7" t="s">
        <v>14217</v>
      </c>
      <c r="H162" s="7">
        <v>1</v>
      </c>
      <c r="I162" s="11" t="s">
        <v>12170</v>
      </c>
    </row>
    <row r="163" spans="1:16" x14ac:dyDescent="0.25">
      <c r="A163">
        <v>20508</v>
      </c>
      <c r="B163" t="str">
        <f>CONCATENATE(F163,D163)</f>
        <v>870861005</v>
      </c>
      <c r="C163" t="str">
        <f>CONCATENATE(F163,"#",D163,"#")</f>
        <v>8708610#05#</v>
      </c>
      <c r="D163" s="7" t="s">
        <v>12203</v>
      </c>
      <c r="E163" t="str">
        <f>IFERROR(VLOOKUP(1*LEFT(C163,7),DF!$A$1:$F$9446,2,FALSE),"")</f>
        <v>MOCHILA 3D MEDIANA MZ-RJ-A10 35L FRONT 7</v>
      </c>
      <c r="F163" s="7">
        <v>8708610</v>
      </c>
      <c r="G163" s="7" t="s">
        <v>14218</v>
      </c>
      <c r="H163" s="7">
        <v>1</v>
      </c>
      <c r="I163" s="11" t="s">
        <v>12283</v>
      </c>
    </row>
    <row r="164" spans="1:16" x14ac:dyDescent="0.25">
      <c r="A164">
        <v>20508</v>
      </c>
      <c r="B164" t="str">
        <f>CONCATENATE(F164,D164)</f>
        <v>870861006</v>
      </c>
      <c r="C164" t="str">
        <f>CONCATENATE(F164,"#",D164,"#")</f>
        <v>8708610#06#</v>
      </c>
      <c r="D164" s="7" t="s">
        <v>8375</v>
      </c>
      <c r="E164" t="str">
        <f>IFERROR(VLOOKUP(1*LEFT(C164,7),DF!$A$1:$F$9446,2,FALSE),"")</f>
        <v>MOCHILA 3D MEDIANA MZ-RJ-A10 35L FRONT 7</v>
      </c>
      <c r="F164" s="7">
        <v>8708610</v>
      </c>
      <c r="G164" s="7" t="s">
        <v>14219</v>
      </c>
      <c r="H164" s="7">
        <v>8</v>
      </c>
      <c r="I164" s="11" t="s">
        <v>8376</v>
      </c>
      <c r="J164" s="11" t="s">
        <v>12131</v>
      </c>
      <c r="K164" s="11" t="s">
        <v>12148</v>
      </c>
      <c r="L164" s="11" t="s">
        <v>12149</v>
      </c>
      <c r="M164" s="11" t="s">
        <v>14173</v>
      </c>
      <c r="N164" s="11" t="s">
        <v>14174</v>
      </c>
      <c r="O164" s="11" t="s">
        <v>14175</v>
      </c>
      <c r="P164" s="11" t="s">
        <v>14176</v>
      </c>
    </row>
    <row r="165" spans="1:16" x14ac:dyDescent="0.25">
      <c r="A165">
        <v>20508</v>
      </c>
      <c r="B165" t="str">
        <f>CONCATENATE(F165,D165)</f>
        <v>870861007</v>
      </c>
      <c r="C165" t="str">
        <f>CONCATENATE(F165,"#",D165,"#")</f>
        <v>8708610#07#</v>
      </c>
      <c r="D165" s="7" t="s">
        <v>12163</v>
      </c>
      <c r="E165" t="str">
        <f>IFERROR(VLOOKUP(1*LEFT(C165,7),DF!$A$1:$F$9446,2,FALSE),"")</f>
        <v>MOCHILA 3D MEDIANA MZ-RJ-A10 35L FRONT 7</v>
      </c>
      <c r="F165" s="7">
        <v>8708610</v>
      </c>
      <c r="G165" s="7" t="s">
        <v>14220</v>
      </c>
      <c r="H165" s="7">
        <v>7</v>
      </c>
      <c r="I165" s="11" t="s">
        <v>12164</v>
      </c>
      <c r="J165" s="11" t="s">
        <v>12165</v>
      </c>
      <c r="K165" s="11" t="s">
        <v>12166</v>
      </c>
      <c r="L165" s="11" t="s">
        <v>12167</v>
      </c>
      <c r="M165" s="11" t="s">
        <v>12284</v>
      </c>
      <c r="N165" s="11" t="s">
        <v>14177</v>
      </c>
      <c r="O165" s="11" t="s">
        <v>14178</v>
      </c>
    </row>
    <row r="166" spans="1:16" x14ac:dyDescent="0.25">
      <c r="A166">
        <v>20508</v>
      </c>
      <c r="B166" t="str">
        <f>CONCATENATE(F166,D166)</f>
        <v>870861008</v>
      </c>
      <c r="C166" t="str">
        <f>CONCATENATE(F166,"#",D166,"#")</f>
        <v>8708610#08#</v>
      </c>
      <c r="D166" s="7" t="s">
        <v>12146</v>
      </c>
      <c r="E166" t="str">
        <f>IFERROR(VLOOKUP(1*LEFT(C166,7),DF!$A$1:$F$9446,2,FALSE),"")</f>
        <v>MOCHILA 3D MEDIANA MZ-RJ-A10 35L FRONT 7</v>
      </c>
      <c r="F166" s="7">
        <v>8708610</v>
      </c>
      <c r="G166" s="7" t="s">
        <v>14221</v>
      </c>
      <c r="H166" s="7">
        <v>4</v>
      </c>
      <c r="I166" s="11" t="s">
        <v>12150</v>
      </c>
      <c r="J166" s="11" t="s">
        <v>12151</v>
      </c>
      <c r="K166" s="11" t="s">
        <v>12152</v>
      </c>
      <c r="L166" s="11" t="s">
        <v>12153</v>
      </c>
    </row>
    <row r="167" spans="1:16" x14ac:dyDescent="0.25">
      <c r="A167">
        <v>20508</v>
      </c>
      <c r="B167" t="str">
        <f>CONCATENATE(F167,D167)</f>
        <v>870861009</v>
      </c>
      <c r="C167" t="str">
        <f>CONCATENATE(F167,"#",D167,"#")</f>
        <v>8708610#09#</v>
      </c>
      <c r="D167" s="7" t="s">
        <v>7026</v>
      </c>
      <c r="E167" t="str">
        <f>IFERROR(VLOOKUP(1*LEFT(C167,7),DF!$A$1:$F$9446,2,FALSE),"")</f>
        <v>MOCHILA 3D MEDIANA MZ-RJ-A10 35L FRONT 7</v>
      </c>
      <c r="F167" s="7">
        <v>8708610</v>
      </c>
      <c r="G167" s="7" t="s">
        <v>14222</v>
      </c>
      <c r="H167" s="7">
        <v>6</v>
      </c>
      <c r="I167" s="11" t="s">
        <v>7027</v>
      </c>
      <c r="J167" s="11" t="s">
        <v>10866</v>
      </c>
      <c r="K167" s="11" t="s">
        <v>10869</v>
      </c>
      <c r="L167" s="11" t="s">
        <v>10870</v>
      </c>
      <c r="M167" s="11" t="s">
        <v>10871</v>
      </c>
      <c r="N167" s="11" t="s">
        <v>10877</v>
      </c>
    </row>
    <row r="168" spans="1:16" x14ac:dyDescent="0.25">
      <c r="A168">
        <v>20508</v>
      </c>
      <c r="B168" t="str">
        <f>CONCATENATE(F168,D168)</f>
        <v>870861010</v>
      </c>
      <c r="C168" t="str">
        <f>CONCATENATE(F168,"#",D168,"#")</f>
        <v>8708610#10#</v>
      </c>
      <c r="D168" s="7" t="s">
        <v>14122</v>
      </c>
      <c r="E168" t="str">
        <f>IFERROR(VLOOKUP(1*LEFT(C168,7),DF!$A$1:$F$9446,2,FALSE),"")</f>
        <v>MOCHILA 3D MEDIANA MZ-RJ-A10 35L FRONT 7</v>
      </c>
      <c r="F168" s="7">
        <v>8708610</v>
      </c>
      <c r="G168" s="7" t="s">
        <v>14223</v>
      </c>
      <c r="H168" s="7">
        <v>5</v>
      </c>
      <c r="I168" s="11" t="s">
        <v>14123</v>
      </c>
      <c r="J168" s="11" t="s">
        <v>14182</v>
      </c>
      <c r="K168" s="11" t="s">
        <v>14183</v>
      </c>
      <c r="L168" s="11" t="s">
        <v>14184</v>
      </c>
      <c r="M168" s="11" t="s">
        <v>14185</v>
      </c>
    </row>
    <row r="169" spans="1:16" x14ac:dyDescent="0.25">
      <c r="A169">
        <v>20508</v>
      </c>
      <c r="B169" t="str">
        <f>CONCATENATE(F169,D169)</f>
        <v>870861011</v>
      </c>
      <c r="C169" t="str">
        <f>CONCATENATE(F169,"#",D169,"#")</f>
        <v>8708610#11#</v>
      </c>
      <c r="D169" s="7" t="s">
        <v>12198</v>
      </c>
      <c r="E169" t="str">
        <f>IFERROR(VLOOKUP(1*LEFT(C169,7),DF!$A$1:$F$9446,2,FALSE),"")</f>
        <v>MOCHILA 3D MEDIANA MZ-RJ-A10 35L FRONT 7</v>
      </c>
      <c r="F169" s="7">
        <v>8708610</v>
      </c>
      <c r="G169" s="7" t="s">
        <v>14224</v>
      </c>
      <c r="H169" s="7">
        <v>1</v>
      </c>
      <c r="I169" s="11" t="s">
        <v>12199</v>
      </c>
    </row>
    <row r="170" spans="1:16" x14ac:dyDescent="0.25">
      <c r="A170">
        <v>20508</v>
      </c>
      <c r="B170" t="str">
        <f>CONCATENATE(F170,D170)</f>
        <v>870860903</v>
      </c>
      <c r="C170" t="str">
        <f>CONCATENATE(F170,"#",D170,"#")</f>
        <v>8708609#03#</v>
      </c>
      <c r="D170" s="7" t="s">
        <v>8374</v>
      </c>
      <c r="E170" t="str">
        <f>IFERROR(VLOOKUP(1*LEFT(C170,7),DF!$A$1:$F$9446,2,FALSE),"")</f>
        <v>MOCHILA MZ-RJ-B35809 38.5L FRONT-114/3,6</v>
      </c>
      <c r="F170" s="7">
        <v>8708609</v>
      </c>
      <c r="G170" s="7" t="s">
        <v>14225</v>
      </c>
      <c r="H170" s="7">
        <v>1</v>
      </c>
      <c r="I170" s="11" t="s">
        <v>8377</v>
      </c>
    </row>
    <row r="171" spans="1:16" x14ac:dyDescent="0.25">
      <c r="A171">
        <v>20508</v>
      </c>
      <c r="B171" t="str">
        <f>CONCATENATE(F171,D171)</f>
        <v>870860905</v>
      </c>
      <c r="C171" t="str">
        <f>CONCATENATE(F171,"#",D171,"#")</f>
        <v>8708609#05#</v>
      </c>
      <c r="D171" s="7" t="s">
        <v>12203</v>
      </c>
      <c r="E171" t="str">
        <f>IFERROR(VLOOKUP(1*LEFT(C171,7),DF!$A$1:$F$9446,2,FALSE),"")</f>
        <v>MOCHILA MZ-RJ-B35809 38.5L FRONT-114/3,6</v>
      </c>
      <c r="F171" s="7">
        <v>8708609</v>
      </c>
      <c r="G171" s="7" t="s">
        <v>14226</v>
      </c>
      <c r="H171" s="7">
        <v>1</v>
      </c>
      <c r="I171" s="11" t="s">
        <v>12283</v>
      </c>
    </row>
    <row r="172" spans="1:16" x14ac:dyDescent="0.25">
      <c r="A172">
        <v>20508</v>
      </c>
      <c r="B172" t="str">
        <f>CONCATENATE(F172,D172)</f>
        <v>870860907</v>
      </c>
      <c r="C172" t="str">
        <f>CONCATENATE(F172,"#",D172,"#")</f>
        <v>8708609#07#</v>
      </c>
      <c r="D172" s="7" t="s">
        <v>12163</v>
      </c>
      <c r="E172" t="str">
        <f>IFERROR(VLOOKUP(1*LEFT(C172,7),DF!$A$1:$F$9446,2,FALSE),"")</f>
        <v>MOCHILA MZ-RJ-B35809 38.5L FRONT-114/3,6</v>
      </c>
      <c r="F172" s="7">
        <v>8708609</v>
      </c>
      <c r="G172" s="7" t="s">
        <v>14227</v>
      </c>
      <c r="H172" s="7">
        <v>1</v>
      </c>
      <c r="I172" s="11" t="s">
        <v>12164</v>
      </c>
    </row>
    <row r="173" spans="1:16" x14ac:dyDescent="0.25">
      <c r="A173">
        <v>20508</v>
      </c>
      <c r="B173" t="str">
        <f>CONCATENATE(F173,D173)</f>
        <v>870860908</v>
      </c>
      <c r="C173" t="str">
        <f>CONCATENATE(F173,"#",D173,"#")</f>
        <v>8708609#08#</v>
      </c>
      <c r="D173" s="7" t="s">
        <v>12146</v>
      </c>
      <c r="E173" t="str">
        <f>IFERROR(VLOOKUP(1*LEFT(C173,7),DF!$A$1:$F$9446,2,FALSE),"")</f>
        <v>MOCHILA MZ-RJ-B35809 38.5L FRONT-114/3,6</v>
      </c>
      <c r="F173" s="7">
        <v>8708609</v>
      </c>
      <c r="G173" s="7" t="s">
        <v>14228</v>
      </c>
      <c r="H173" s="7">
        <v>1</v>
      </c>
      <c r="I173" s="11" t="s">
        <v>12150</v>
      </c>
    </row>
    <row r="174" spans="1:16" x14ac:dyDescent="0.25">
      <c r="A174">
        <v>20508</v>
      </c>
      <c r="B174" t="str">
        <f>CONCATENATE(F174,D174)</f>
        <v>870860911</v>
      </c>
      <c r="C174" t="str">
        <f>CONCATENATE(F174,"#",D174,"#")</f>
        <v>8708609#11#</v>
      </c>
      <c r="D174" s="7" t="s">
        <v>12198</v>
      </c>
      <c r="E174" t="str">
        <f>IFERROR(VLOOKUP(1*LEFT(C174,7),DF!$A$1:$F$9446,2,FALSE),"")</f>
        <v>MOCHILA MZ-RJ-B35809 38.5L FRONT-114/3,6</v>
      </c>
      <c r="F174" s="7">
        <v>8708609</v>
      </c>
      <c r="G174" s="7" t="s">
        <v>14229</v>
      </c>
      <c r="H174" s="7">
        <v>1</v>
      </c>
      <c r="I174" s="11" t="s">
        <v>12199</v>
      </c>
    </row>
    <row r="175" spans="1:16" x14ac:dyDescent="0.25">
      <c r="A175">
        <v>20508</v>
      </c>
      <c r="B175" t="str">
        <f>CONCATENATE(F175,D175)</f>
        <v>870860801</v>
      </c>
      <c r="C175" t="str">
        <f>CONCATENATE(F175,"#",D175,"#")</f>
        <v>8708608#01#</v>
      </c>
      <c r="D175" s="7" t="s">
        <v>12294</v>
      </c>
      <c r="E175" t="str">
        <f>IFERROR(VLOOKUP(1*LEFT(C175,7),DF!$A$1:$F$9446,2,FALSE),"")</f>
        <v>MOCHILA 3 POUCH MZ-RJ-A08 33L FRONT-138/</v>
      </c>
      <c r="F175" s="7">
        <v>8708608</v>
      </c>
      <c r="G175" s="7" t="s">
        <v>14230</v>
      </c>
      <c r="H175" s="7">
        <v>4</v>
      </c>
      <c r="I175" s="11" t="s">
        <v>12295</v>
      </c>
      <c r="J175" s="11" t="s">
        <v>12296</v>
      </c>
      <c r="K175" s="11" t="s">
        <v>12297</v>
      </c>
      <c r="L175" s="11" t="s">
        <v>12432</v>
      </c>
    </row>
    <row r="176" spans="1:16" x14ac:dyDescent="0.25">
      <c r="A176">
        <v>20508</v>
      </c>
      <c r="B176" t="str">
        <f>CONCATENATE(F176,D176)</f>
        <v>870860802</v>
      </c>
      <c r="C176" t="str">
        <f>CONCATENATE(F176,"#",D176,"#")</f>
        <v>8708608#02#</v>
      </c>
      <c r="D176" s="7" t="s">
        <v>14062</v>
      </c>
      <c r="E176" t="str">
        <f>IFERROR(VLOOKUP(1*LEFT(C176,7),DF!$A$1:$F$9446,2,FALSE),"")</f>
        <v>MOCHILA 3 POUCH MZ-RJ-A08 33L FRONT-138/</v>
      </c>
      <c r="F176" s="7">
        <v>8708608</v>
      </c>
      <c r="G176" s="7" t="s">
        <v>14231</v>
      </c>
      <c r="H176" s="7">
        <v>1</v>
      </c>
      <c r="I176" s="11" t="s">
        <v>14100</v>
      </c>
    </row>
    <row r="177" spans="1:15" x14ac:dyDescent="0.25">
      <c r="A177">
        <v>20508</v>
      </c>
      <c r="B177" t="str">
        <f>CONCATENATE(F177,D177)</f>
        <v>870860803</v>
      </c>
      <c r="C177" t="str">
        <f>CONCATENATE(F177,"#",D177,"#")</f>
        <v>8708608#03#</v>
      </c>
      <c r="D177" s="7" t="s">
        <v>8374</v>
      </c>
      <c r="E177" t="str">
        <f>IFERROR(VLOOKUP(1*LEFT(C177,7),DF!$A$1:$F$9446,2,FALSE),"")</f>
        <v>MOCHILA 3 POUCH MZ-RJ-A08 33L FRONT-138/</v>
      </c>
      <c r="F177" s="7">
        <v>8708608</v>
      </c>
      <c r="G177" s="7" t="s">
        <v>14232</v>
      </c>
      <c r="H177" s="7">
        <v>3</v>
      </c>
      <c r="I177" s="11" t="s">
        <v>8377</v>
      </c>
      <c r="J177" s="11" t="s">
        <v>10865</v>
      </c>
      <c r="K177" s="11" t="s">
        <v>12140</v>
      </c>
    </row>
    <row r="178" spans="1:15" x14ac:dyDescent="0.25">
      <c r="A178">
        <v>20508</v>
      </c>
      <c r="B178" t="str">
        <f>CONCATENATE(F178,D178)</f>
        <v>870860804</v>
      </c>
      <c r="C178" t="str">
        <f>CONCATENATE(F178,"#",D178,"#")</f>
        <v>8708608#04#</v>
      </c>
      <c r="D178" s="7" t="s">
        <v>12169</v>
      </c>
      <c r="E178" t="str">
        <f>IFERROR(VLOOKUP(1*LEFT(C178,7),DF!$A$1:$F$9446,2,FALSE),"")</f>
        <v>MOCHILA 3 POUCH MZ-RJ-A08 33L FRONT-138/</v>
      </c>
      <c r="F178" s="7">
        <v>8708608</v>
      </c>
      <c r="G178" s="7" t="s">
        <v>14233</v>
      </c>
      <c r="H178" s="7">
        <v>1</v>
      </c>
      <c r="I178" s="11" t="s">
        <v>12170</v>
      </c>
    </row>
    <row r="179" spans="1:15" x14ac:dyDescent="0.25">
      <c r="A179">
        <v>20508</v>
      </c>
      <c r="B179" t="str">
        <f>CONCATENATE(F179,D179)</f>
        <v>870860805</v>
      </c>
      <c r="C179" t="str">
        <f>CONCATENATE(F179,"#",D179,"#")</f>
        <v>8708608#05#</v>
      </c>
      <c r="D179" s="7" t="s">
        <v>12203</v>
      </c>
      <c r="E179" t="str">
        <f>IFERROR(VLOOKUP(1*LEFT(C179,7),DF!$A$1:$F$9446,2,FALSE),"")</f>
        <v>MOCHILA 3 POUCH MZ-RJ-A08 33L FRONT-138/</v>
      </c>
      <c r="F179" s="7">
        <v>8708608</v>
      </c>
      <c r="G179" s="7" t="s">
        <v>14234</v>
      </c>
      <c r="H179" s="7">
        <v>1</v>
      </c>
      <c r="I179" s="11" t="s">
        <v>12283</v>
      </c>
    </row>
    <row r="180" spans="1:15" x14ac:dyDescent="0.25">
      <c r="A180">
        <v>20508</v>
      </c>
      <c r="B180" t="str">
        <f>CONCATENATE(F180,D180)</f>
        <v>870860806</v>
      </c>
      <c r="C180" t="str">
        <f>CONCATENATE(F180,"#",D180,"#")</f>
        <v>8708608#06#</v>
      </c>
      <c r="D180" s="7" t="s">
        <v>8375</v>
      </c>
      <c r="E180" t="str">
        <f>IFERROR(VLOOKUP(1*LEFT(C180,7),DF!$A$1:$F$9446,2,FALSE),"")</f>
        <v>MOCHILA 3 POUCH MZ-RJ-A08 33L FRONT-138/</v>
      </c>
      <c r="F180" s="7">
        <v>8708608</v>
      </c>
      <c r="G180" s="7" t="s">
        <v>14235</v>
      </c>
      <c r="H180" s="7">
        <v>5</v>
      </c>
      <c r="I180" s="11" t="s">
        <v>8376</v>
      </c>
      <c r="J180" s="11" t="s">
        <v>12131</v>
      </c>
      <c r="K180" s="11" t="s">
        <v>12148</v>
      </c>
      <c r="L180" s="11" t="s">
        <v>12149</v>
      </c>
      <c r="M180" s="11" t="s">
        <v>14173</v>
      </c>
    </row>
    <row r="181" spans="1:15" x14ac:dyDescent="0.25">
      <c r="A181">
        <v>20508</v>
      </c>
      <c r="B181" t="str">
        <f>CONCATENATE(F181,D181)</f>
        <v>870860807</v>
      </c>
      <c r="C181" t="str">
        <f>CONCATENATE(F181,"#",D181,"#")</f>
        <v>8708608#07#</v>
      </c>
      <c r="D181" s="7" t="s">
        <v>12163</v>
      </c>
      <c r="E181" t="str">
        <f>IFERROR(VLOOKUP(1*LEFT(C181,7),DF!$A$1:$F$9446,2,FALSE),"")</f>
        <v>MOCHILA 3 POUCH MZ-RJ-A08 33L FRONT-138/</v>
      </c>
      <c r="F181" s="7">
        <v>8708608</v>
      </c>
      <c r="G181" s="7" t="s">
        <v>14236</v>
      </c>
      <c r="H181" s="7">
        <v>1</v>
      </c>
      <c r="I181" s="11" t="s">
        <v>12164</v>
      </c>
    </row>
    <row r="182" spans="1:15" x14ac:dyDescent="0.25">
      <c r="A182">
        <v>20508</v>
      </c>
      <c r="B182" t="str">
        <f>CONCATENATE(F182,D182)</f>
        <v>870860808</v>
      </c>
      <c r="C182" t="str">
        <f>CONCATENATE(F182,"#",D182,"#")</f>
        <v>8708608#08#</v>
      </c>
      <c r="D182" s="7" t="s">
        <v>12146</v>
      </c>
      <c r="E182" t="str">
        <f>IFERROR(VLOOKUP(1*LEFT(C182,7),DF!$A$1:$F$9446,2,FALSE),"")</f>
        <v>MOCHILA 3 POUCH MZ-RJ-A08 33L FRONT-138/</v>
      </c>
      <c r="F182" s="7">
        <v>8708608</v>
      </c>
      <c r="G182" s="7" t="s">
        <v>14237</v>
      </c>
      <c r="H182" s="7">
        <v>2</v>
      </c>
      <c r="I182" s="11" t="s">
        <v>12150</v>
      </c>
      <c r="J182" s="11" t="s">
        <v>12151</v>
      </c>
    </row>
    <row r="183" spans="1:15" x14ac:dyDescent="0.25">
      <c r="A183">
        <v>20508</v>
      </c>
      <c r="B183" t="str">
        <f>CONCATENATE(F183,D183)</f>
        <v>870860809</v>
      </c>
      <c r="C183" t="str">
        <f>CONCATENATE(F183,"#",D183,"#")</f>
        <v>8708608#09#</v>
      </c>
      <c r="D183" s="7" t="s">
        <v>7026</v>
      </c>
      <c r="E183" t="str">
        <f>IFERROR(VLOOKUP(1*LEFT(C183,7),DF!$A$1:$F$9446,2,FALSE),"")</f>
        <v>MOCHILA 3 POUCH MZ-RJ-A08 33L FRONT-138/</v>
      </c>
      <c r="F183" s="7">
        <v>8708608</v>
      </c>
      <c r="G183" s="7" t="s">
        <v>14238</v>
      </c>
      <c r="H183" s="7">
        <v>5</v>
      </c>
      <c r="I183" s="11" t="s">
        <v>7027</v>
      </c>
      <c r="J183" s="11" t="s">
        <v>10866</v>
      </c>
      <c r="K183" s="11" t="s">
        <v>10869</v>
      </c>
      <c r="L183" s="11" t="s">
        <v>10870</v>
      </c>
      <c r="M183" s="11" t="s">
        <v>10871</v>
      </c>
    </row>
    <row r="184" spans="1:15" x14ac:dyDescent="0.25">
      <c r="A184">
        <v>20508</v>
      </c>
      <c r="B184" t="str">
        <f>CONCATENATE(F184,D184)</f>
        <v>870860810</v>
      </c>
      <c r="C184" t="str">
        <f>CONCATENATE(F184,"#",D184,"#")</f>
        <v>8708608#10#</v>
      </c>
      <c r="D184" s="7" t="s">
        <v>14122</v>
      </c>
      <c r="E184" t="str">
        <f>IFERROR(VLOOKUP(1*LEFT(C184,7),DF!$A$1:$F$9446,2,FALSE),"")</f>
        <v>MOCHILA 3 POUCH MZ-RJ-A08 33L FRONT-138/</v>
      </c>
      <c r="F184" s="7">
        <v>8708608</v>
      </c>
      <c r="G184" s="7" t="s">
        <v>14239</v>
      </c>
      <c r="H184" s="7">
        <v>1</v>
      </c>
      <c r="I184" s="11" t="s">
        <v>14123</v>
      </c>
    </row>
    <row r="185" spans="1:15" x14ac:dyDescent="0.25">
      <c r="A185">
        <v>20508</v>
      </c>
      <c r="B185" t="str">
        <f>CONCATENATE(F185,D185)</f>
        <v>870860811</v>
      </c>
      <c r="C185" t="str">
        <f>CONCATENATE(F185,"#",D185,"#")</f>
        <v>8708608#11#</v>
      </c>
      <c r="D185" s="7" t="s">
        <v>12198</v>
      </c>
      <c r="E185" t="str">
        <f>IFERROR(VLOOKUP(1*LEFT(C185,7),DF!$A$1:$F$9446,2,FALSE),"")</f>
        <v>MOCHILA 3 POUCH MZ-RJ-A08 33L FRONT-138/</v>
      </c>
      <c r="F185" s="7">
        <v>8708608</v>
      </c>
      <c r="G185" s="7" t="s">
        <v>14240</v>
      </c>
      <c r="H185" s="7">
        <v>1</v>
      </c>
      <c r="I185" s="11" t="s">
        <v>12199</v>
      </c>
    </row>
    <row r="186" spans="1:15" x14ac:dyDescent="0.25">
      <c r="A186">
        <v>20508</v>
      </c>
      <c r="B186" t="str">
        <f>CONCATENATE(F186,D186)</f>
        <v>870860812</v>
      </c>
      <c r="C186" t="str">
        <f>CONCATENATE(F186,"#",D186,"#")</f>
        <v>8708608#12#</v>
      </c>
      <c r="D186" s="7" t="s">
        <v>14160</v>
      </c>
      <c r="E186" t="str">
        <f>IFERROR(VLOOKUP(1*LEFT(C186,7),DF!$A$1:$F$9446,2,FALSE),"")</f>
        <v>MOCHILA 3 POUCH MZ-RJ-A08 33L FRONT-138/</v>
      </c>
      <c r="F186" s="7">
        <v>8708608</v>
      </c>
      <c r="G186" s="7" t="s">
        <v>14241</v>
      </c>
      <c r="H186" s="7">
        <v>1</v>
      </c>
      <c r="I186" s="11" t="s">
        <v>14165</v>
      </c>
    </row>
    <row r="187" spans="1:15" x14ac:dyDescent="0.25">
      <c r="A187">
        <v>20508</v>
      </c>
      <c r="B187" t="str">
        <f>CONCATENATE(F187,D187)</f>
        <v>870860814</v>
      </c>
      <c r="C187" t="str">
        <f>CONCATENATE(F187,"#",D187,"#")</f>
        <v>8708608#14#</v>
      </c>
      <c r="D187" s="7" t="s">
        <v>14161</v>
      </c>
      <c r="E187" t="str">
        <f>IFERROR(VLOOKUP(1*LEFT(C187,7),DF!$A$1:$F$9446,2,FALSE),"")</f>
        <v>MOCHILA 3 POUCH MZ-RJ-A08 33L FRONT-138/</v>
      </c>
      <c r="F187" s="7">
        <v>8708608</v>
      </c>
      <c r="G187" s="7" t="s">
        <v>14242</v>
      </c>
      <c r="H187" s="7">
        <v>1</v>
      </c>
      <c r="I187" s="11" t="s">
        <v>14166</v>
      </c>
    </row>
    <row r="188" spans="1:15" x14ac:dyDescent="0.25">
      <c r="A188">
        <v>20508</v>
      </c>
      <c r="B188" t="str">
        <f>CONCATENATE(F188,D188)</f>
        <v>870860203</v>
      </c>
      <c r="C188" t="str">
        <f>CONCATENATE(F188,"#",D188,"#")</f>
        <v>8708602#03#</v>
      </c>
      <c r="D188" s="7" t="s">
        <v>8374</v>
      </c>
      <c r="E188" t="str">
        <f>IFERROR(VLOOKUP(1*LEFT(C188,7),DF!$A$1:$F$9446,2,FALSE),"")</f>
        <v>MOCHILA 3D CHICA MZ-RJ-B02 22.5L FRONT-5</v>
      </c>
      <c r="F188" s="7">
        <v>8708602</v>
      </c>
      <c r="G188" s="7" t="s">
        <v>14243</v>
      </c>
      <c r="H188" s="7">
        <v>7</v>
      </c>
      <c r="I188" s="11" t="s">
        <v>8377</v>
      </c>
      <c r="J188" s="11" t="s">
        <v>10865</v>
      </c>
      <c r="K188" s="11" t="s">
        <v>12140</v>
      </c>
      <c r="L188" s="11" t="s">
        <v>12168</v>
      </c>
      <c r="M188" s="11" t="s">
        <v>14170</v>
      </c>
      <c r="N188" s="11" t="s">
        <v>14171</v>
      </c>
      <c r="O188" s="11" t="s">
        <v>14172</v>
      </c>
    </row>
    <row r="189" spans="1:15" x14ac:dyDescent="0.25">
      <c r="A189">
        <v>20508</v>
      </c>
      <c r="B189" t="str">
        <f>CONCATENATE(F189,D189)</f>
        <v>870860201</v>
      </c>
      <c r="C189" t="str">
        <f>CONCATENATE(F189,"#",D189,"#")</f>
        <v>8708602#01#</v>
      </c>
      <c r="D189" s="7" t="s">
        <v>12294</v>
      </c>
      <c r="E189" t="str">
        <f>IFERROR(VLOOKUP(1*LEFT(C189,7),DF!$A$1:$F$9446,2,FALSE),"")</f>
        <v>MOCHILA 3D CHICA MZ-RJ-B02 22.5L FRONT-5</v>
      </c>
      <c r="F189" s="7">
        <v>8708602</v>
      </c>
      <c r="G189" s="7" t="s">
        <v>14244</v>
      </c>
      <c r="H189" s="7">
        <v>1</v>
      </c>
      <c r="I189" s="11" t="s">
        <v>12295</v>
      </c>
    </row>
    <row r="190" spans="1:15" x14ac:dyDescent="0.25">
      <c r="A190">
        <v>20508</v>
      </c>
      <c r="B190" t="str">
        <f>CONCATENATE(F190,D190)</f>
        <v>870860204</v>
      </c>
      <c r="C190" t="str">
        <f>CONCATENATE(F190,"#",D190,"#")</f>
        <v>8708602#04#</v>
      </c>
      <c r="D190" s="7" t="s">
        <v>12169</v>
      </c>
      <c r="E190" t="str">
        <f>IFERROR(VLOOKUP(1*LEFT(C190,7),DF!$A$1:$F$9446,2,FALSE),"")</f>
        <v>MOCHILA 3D CHICA MZ-RJ-B02 22.5L FRONT-5</v>
      </c>
      <c r="F190" s="7">
        <v>8708602</v>
      </c>
      <c r="G190" s="7" t="s">
        <v>14245</v>
      </c>
      <c r="H190" s="7">
        <v>1</v>
      </c>
      <c r="I190" s="11" t="s">
        <v>12170</v>
      </c>
    </row>
    <row r="191" spans="1:15" x14ac:dyDescent="0.25">
      <c r="A191">
        <v>20508</v>
      </c>
      <c r="B191" t="str">
        <f>CONCATENATE(F191,D191)</f>
        <v>870860202</v>
      </c>
      <c r="C191" t="str">
        <f>CONCATENATE(F191,"#",D191,"#")</f>
        <v>8708602#02#</v>
      </c>
      <c r="D191" s="7" t="s">
        <v>14062</v>
      </c>
      <c r="E191" t="str">
        <f>IFERROR(VLOOKUP(1*LEFT(C191,7),DF!$A$1:$F$9446,2,FALSE),"")</f>
        <v>MOCHILA 3D CHICA MZ-RJ-B02 22.5L FRONT-5</v>
      </c>
      <c r="F191" s="7">
        <v>8708602</v>
      </c>
      <c r="G191" s="7" t="s">
        <v>14246</v>
      </c>
      <c r="H191" s="7">
        <v>1</v>
      </c>
      <c r="I191" s="11" t="s">
        <v>14100</v>
      </c>
    </row>
    <row r="192" spans="1:15" x14ac:dyDescent="0.25">
      <c r="A192">
        <v>20508</v>
      </c>
      <c r="B192" t="str">
        <f>CONCATENATE(F192,D192)</f>
        <v>870860205</v>
      </c>
      <c r="C192" t="str">
        <f>CONCATENATE(F192,"#",D192,"#")</f>
        <v>8708602#05#</v>
      </c>
      <c r="D192" s="7" t="s">
        <v>12203</v>
      </c>
      <c r="E192" t="str">
        <f>IFERROR(VLOOKUP(1*LEFT(C192,7),DF!$A$1:$F$9446,2,FALSE),"")</f>
        <v>MOCHILA 3D CHICA MZ-RJ-B02 22.5L FRONT-5</v>
      </c>
      <c r="F192" s="7">
        <v>8708602</v>
      </c>
      <c r="G192" s="7" t="s">
        <v>14247</v>
      </c>
      <c r="H192" s="7">
        <v>1</v>
      </c>
      <c r="I192" s="11" t="s">
        <v>12283</v>
      </c>
    </row>
    <row r="193" spans="1:16" x14ac:dyDescent="0.25">
      <c r="A193">
        <v>20508</v>
      </c>
      <c r="B193" t="str">
        <f>CONCATENATE(F193,D193)</f>
        <v>870860206</v>
      </c>
      <c r="C193" t="str">
        <f>CONCATENATE(F193,"#",D193,"#")</f>
        <v>8708602#06#</v>
      </c>
      <c r="D193" s="7" t="s">
        <v>8375</v>
      </c>
      <c r="E193" t="str">
        <f>IFERROR(VLOOKUP(1*LEFT(C193,7),DF!$A$1:$F$9446,2,FALSE),"")</f>
        <v>MOCHILA 3D CHICA MZ-RJ-B02 22.5L FRONT-5</v>
      </c>
      <c r="F193" s="7">
        <v>8708602</v>
      </c>
      <c r="G193" s="7" t="s">
        <v>14248</v>
      </c>
      <c r="H193" s="7">
        <v>8</v>
      </c>
      <c r="I193" s="11" t="s">
        <v>8376</v>
      </c>
      <c r="J193" s="11" t="s">
        <v>12131</v>
      </c>
      <c r="K193" s="11" t="s">
        <v>12148</v>
      </c>
      <c r="L193" s="11" t="s">
        <v>12149</v>
      </c>
      <c r="M193" s="11" t="s">
        <v>14173</v>
      </c>
      <c r="N193" s="11" t="s">
        <v>14174</v>
      </c>
      <c r="O193" s="11" t="s">
        <v>14175</v>
      </c>
      <c r="P193" s="11" t="s">
        <v>14176</v>
      </c>
    </row>
    <row r="194" spans="1:16" x14ac:dyDescent="0.25">
      <c r="A194">
        <v>20508</v>
      </c>
      <c r="B194" t="str">
        <f>CONCATENATE(F194,D194)</f>
        <v>870860207</v>
      </c>
      <c r="C194" t="str">
        <f>CONCATENATE(F194,"#",D194,"#")</f>
        <v>8708602#07#</v>
      </c>
      <c r="D194" s="7" t="s">
        <v>12163</v>
      </c>
      <c r="E194" t="str">
        <f>IFERROR(VLOOKUP(1*LEFT(C194,7),DF!$A$1:$F$9446,2,FALSE),"")</f>
        <v>MOCHILA 3D CHICA MZ-RJ-B02 22.5L FRONT-5</v>
      </c>
      <c r="F194" s="7">
        <v>8708602</v>
      </c>
      <c r="G194" s="7" t="s">
        <v>14249</v>
      </c>
      <c r="H194" s="7">
        <v>7</v>
      </c>
      <c r="I194" s="11" t="s">
        <v>12164</v>
      </c>
      <c r="J194" s="11" t="s">
        <v>12165</v>
      </c>
      <c r="K194" s="11" t="s">
        <v>12166</v>
      </c>
      <c r="L194" s="11" t="s">
        <v>12167</v>
      </c>
      <c r="M194" s="11" t="s">
        <v>12284</v>
      </c>
      <c r="N194" s="11" t="s">
        <v>14177</v>
      </c>
      <c r="O194" s="11" t="s">
        <v>14178</v>
      </c>
    </row>
    <row r="195" spans="1:16" x14ac:dyDescent="0.25">
      <c r="A195">
        <v>20508</v>
      </c>
      <c r="B195" t="str">
        <f>CONCATENATE(F195,D195)</f>
        <v>870860208</v>
      </c>
      <c r="C195" t="str">
        <f>CONCATENATE(F195,"#",D195,"#")</f>
        <v>8708602#08#</v>
      </c>
      <c r="D195" s="7" t="s">
        <v>12146</v>
      </c>
      <c r="E195" t="str">
        <f>IFERROR(VLOOKUP(1*LEFT(C195,7),DF!$A$1:$F$9446,2,FALSE),"")</f>
        <v>MOCHILA 3D CHICA MZ-RJ-B02 22.5L FRONT-5</v>
      </c>
      <c r="F195" s="7">
        <v>8708602</v>
      </c>
      <c r="G195" s="7" t="s">
        <v>14250</v>
      </c>
      <c r="H195" s="7">
        <v>4</v>
      </c>
      <c r="I195" s="11" t="s">
        <v>12150</v>
      </c>
      <c r="J195" s="11" t="s">
        <v>12151</v>
      </c>
      <c r="K195" s="11" t="s">
        <v>12152</v>
      </c>
      <c r="L195" s="11" t="s">
        <v>12153</v>
      </c>
    </row>
    <row r="196" spans="1:16" x14ac:dyDescent="0.25">
      <c r="A196">
        <v>20508</v>
      </c>
      <c r="B196" t="str">
        <f>CONCATENATE(F196,D196)</f>
        <v>870860209</v>
      </c>
      <c r="C196" t="str">
        <f>CONCATENATE(F196,"#",D196,"#")</f>
        <v>8708602#09#</v>
      </c>
      <c r="D196" s="7" t="s">
        <v>7026</v>
      </c>
      <c r="E196" t="str">
        <f>IFERROR(VLOOKUP(1*LEFT(C196,7),DF!$A$1:$F$9446,2,FALSE),"")</f>
        <v>MOCHILA 3D CHICA MZ-RJ-B02 22.5L FRONT-5</v>
      </c>
      <c r="F196" s="7">
        <v>8708602</v>
      </c>
      <c r="G196" s="7" t="s">
        <v>14251</v>
      </c>
      <c r="H196" s="7">
        <v>6</v>
      </c>
      <c r="I196" s="11" t="s">
        <v>7027</v>
      </c>
      <c r="J196" s="11" t="s">
        <v>10866</v>
      </c>
      <c r="K196" s="11" t="s">
        <v>10869</v>
      </c>
      <c r="L196" s="11" t="s">
        <v>10870</v>
      </c>
      <c r="M196" s="11" t="s">
        <v>10871</v>
      </c>
      <c r="N196" s="11" t="s">
        <v>10877</v>
      </c>
    </row>
    <row r="197" spans="1:16" x14ac:dyDescent="0.25">
      <c r="A197">
        <v>20508</v>
      </c>
      <c r="B197" t="str">
        <f>CONCATENATE(F197,D197)</f>
        <v>870860210</v>
      </c>
      <c r="C197" t="str">
        <f>CONCATENATE(F197,"#",D197,"#")</f>
        <v>8708602#10#</v>
      </c>
      <c r="D197" s="7" t="s">
        <v>14122</v>
      </c>
      <c r="E197" t="str">
        <f>IFERROR(VLOOKUP(1*LEFT(C197,7),DF!$A$1:$F$9446,2,FALSE),"")</f>
        <v>MOCHILA 3D CHICA MZ-RJ-B02 22.5L FRONT-5</v>
      </c>
      <c r="F197" s="7">
        <v>8708602</v>
      </c>
      <c r="G197" s="7" t="s">
        <v>14252</v>
      </c>
      <c r="H197" s="7">
        <v>5</v>
      </c>
      <c r="I197" s="11" t="s">
        <v>14123</v>
      </c>
      <c r="J197" s="11" t="s">
        <v>14182</v>
      </c>
      <c r="K197" s="11" t="s">
        <v>14183</v>
      </c>
      <c r="L197" s="11" t="s">
        <v>14184</v>
      </c>
      <c r="M197" s="11" t="s">
        <v>14185</v>
      </c>
    </row>
    <row r="198" spans="1:16" x14ac:dyDescent="0.25">
      <c r="A198">
        <v>20508</v>
      </c>
      <c r="B198" t="str">
        <f>CONCATENATE(F198,D198)</f>
        <v>870860211</v>
      </c>
      <c r="C198" t="str">
        <f>CONCATENATE(F198,"#",D198,"#")</f>
        <v>8708602#11#</v>
      </c>
      <c r="D198" s="7" t="s">
        <v>12198</v>
      </c>
      <c r="E198" t="str">
        <f>IFERROR(VLOOKUP(1*LEFT(C198,7),DF!$A$1:$F$9446,2,FALSE),"")</f>
        <v>MOCHILA 3D CHICA MZ-RJ-B02 22.5L FRONT-5</v>
      </c>
      <c r="F198" s="7">
        <v>8708602</v>
      </c>
      <c r="G198" s="7" t="s">
        <v>14253</v>
      </c>
      <c r="H198" s="7">
        <v>1</v>
      </c>
      <c r="I198" s="11" t="s">
        <v>12199</v>
      </c>
    </row>
    <row r="199" spans="1:16" x14ac:dyDescent="0.25">
      <c r="A199">
        <v>20508</v>
      </c>
      <c r="B199" t="str">
        <f>CONCATENATE(F199,D199)</f>
        <v>870860214</v>
      </c>
      <c r="C199" t="str">
        <f>CONCATENATE(F199,"#",D199,"#")</f>
        <v>8708602#14#</v>
      </c>
      <c r="D199" s="7" t="s">
        <v>14161</v>
      </c>
      <c r="E199" t="str">
        <f>IFERROR(VLOOKUP(1*LEFT(C199,7),DF!$A$1:$F$9446,2,FALSE),"")</f>
        <v>MOCHILA 3D CHICA MZ-RJ-B02 22.5L FRONT-5</v>
      </c>
      <c r="F199" s="7">
        <v>8708602</v>
      </c>
      <c r="G199" s="7" t="s">
        <v>14254</v>
      </c>
      <c r="H199" s="7">
        <v>1</v>
      </c>
      <c r="I199" s="11" t="s">
        <v>14166</v>
      </c>
    </row>
    <row r="200" spans="1:16" x14ac:dyDescent="0.25">
      <c r="A200">
        <v>20508</v>
      </c>
      <c r="B200" t="str">
        <f>CONCATENATE(F200,D200)</f>
        <v>870855010</v>
      </c>
      <c r="C200" t="str">
        <f>CONCATENATE(F200,"#",D200,"#")</f>
        <v>8708550#10#</v>
      </c>
      <c r="D200" s="7" t="s">
        <v>14122</v>
      </c>
      <c r="E200" t="str">
        <f>IFERROR(VLOOKUP(1*LEFT(C200,7),DF!$A$1:$F$9446,2,FALSE),"")</f>
        <v>MORRAL BOLSO TACTICO PORTA BOTELLA 8147-</v>
      </c>
      <c r="F200" s="7">
        <v>8708550</v>
      </c>
      <c r="G200" s="7" t="s">
        <v>14255</v>
      </c>
      <c r="H200" s="7">
        <v>6</v>
      </c>
      <c r="I200" s="11" t="s">
        <v>14123</v>
      </c>
      <c r="J200" s="11" t="s">
        <v>14182</v>
      </c>
      <c r="K200" s="11" t="s">
        <v>14183</v>
      </c>
      <c r="L200" s="11" t="s">
        <v>14184</v>
      </c>
      <c r="M200" s="11" t="s">
        <v>14185</v>
      </c>
      <c r="N200" s="11" t="s">
        <v>14186</v>
      </c>
    </row>
    <row r="201" spans="1:16" x14ac:dyDescent="0.25">
      <c r="A201">
        <v>20508</v>
      </c>
      <c r="B201" t="str">
        <f>CONCATENATE(F201,D201)</f>
        <v>870855003</v>
      </c>
      <c r="C201" t="str">
        <f>CONCATENATE(F201,"#",D201,"#")</f>
        <v>8708550#03#</v>
      </c>
      <c r="D201" s="7" t="s">
        <v>8374</v>
      </c>
      <c r="E201" t="str">
        <f>IFERROR(VLOOKUP(1*LEFT(C201,7),DF!$A$1:$F$9446,2,FALSE),"")</f>
        <v>MORRAL BOLSO TACTICO PORTA BOTELLA 8147-</v>
      </c>
      <c r="F201" s="7">
        <v>8708550</v>
      </c>
      <c r="G201" s="7" t="s">
        <v>14256</v>
      </c>
      <c r="H201" s="7">
        <v>2</v>
      </c>
      <c r="I201" s="11" t="s">
        <v>8377</v>
      </c>
      <c r="J201" s="11" t="s">
        <v>10865</v>
      </c>
    </row>
    <row r="202" spans="1:16" x14ac:dyDescent="0.25">
      <c r="A202">
        <v>20508</v>
      </c>
      <c r="B202" t="str">
        <f>CONCATENATE(F202,D202)</f>
        <v>870855006</v>
      </c>
      <c r="C202" t="str">
        <f>CONCATENATE(F202,"#",D202,"#")</f>
        <v>8708550#06#</v>
      </c>
      <c r="D202" s="7" t="s">
        <v>8375</v>
      </c>
      <c r="E202" t="str">
        <f>IFERROR(VLOOKUP(1*LEFT(C202,7),DF!$A$1:$F$9446,2,FALSE),"")</f>
        <v>MORRAL BOLSO TACTICO PORTA BOTELLA 8147-</v>
      </c>
      <c r="F202" s="7">
        <v>8708550</v>
      </c>
      <c r="G202" t="s">
        <v>14257</v>
      </c>
      <c r="H202">
        <v>1</v>
      </c>
      <c r="I202" s="11" t="s">
        <v>8376</v>
      </c>
    </row>
    <row r="203" spans="1:16" x14ac:dyDescent="0.25">
      <c r="A203">
        <v>20508</v>
      </c>
      <c r="B203" t="str">
        <f>CONCATENATE(F203,D203)</f>
        <v>870855007</v>
      </c>
      <c r="C203" t="str">
        <f>CONCATENATE(F203,"#",D203,"#")</f>
        <v>8708550#07#</v>
      </c>
      <c r="D203" s="7" t="s">
        <v>12163</v>
      </c>
      <c r="E203" t="str">
        <f>IFERROR(VLOOKUP(1*LEFT(C203,7),DF!$A$1:$F$9446,2,FALSE),"")</f>
        <v>MORRAL BOLSO TACTICO PORTA BOTELLA 8147-</v>
      </c>
      <c r="F203" s="7">
        <v>8708550</v>
      </c>
      <c r="G203" t="s">
        <v>14258</v>
      </c>
      <c r="H203">
        <v>1</v>
      </c>
      <c r="I203" s="11" t="s">
        <v>12164</v>
      </c>
    </row>
    <row r="204" spans="1:16" x14ac:dyDescent="0.25">
      <c r="A204">
        <v>20508</v>
      </c>
      <c r="B204" t="str">
        <f>CONCATENATE(F204,D204)</f>
        <v>870855008</v>
      </c>
      <c r="C204" t="str">
        <f>CONCATENATE(F204,"#",D204,"#")</f>
        <v>8708550#08#</v>
      </c>
      <c r="D204" s="7" t="s">
        <v>12146</v>
      </c>
      <c r="E204" t="str">
        <f>IFERROR(VLOOKUP(1*LEFT(C204,7),DF!$A$1:$F$9446,2,FALSE),"")</f>
        <v>MORRAL BOLSO TACTICO PORTA BOTELLA 8147-</v>
      </c>
      <c r="F204" s="7">
        <v>8708550</v>
      </c>
      <c r="G204" t="s">
        <v>14259</v>
      </c>
      <c r="H204">
        <v>1</v>
      </c>
      <c r="I204" s="11" t="s">
        <v>12150</v>
      </c>
    </row>
    <row r="205" spans="1:16" x14ac:dyDescent="0.25">
      <c r="A205">
        <v>20508</v>
      </c>
      <c r="B205" t="str">
        <f>CONCATENATE(F205,D205)</f>
        <v>870855009</v>
      </c>
      <c r="C205" t="str">
        <f>CONCATENATE(F205,"#",D205,"#")</f>
        <v>8708550#09#</v>
      </c>
      <c r="D205" s="7" t="s">
        <v>7026</v>
      </c>
      <c r="E205" t="str">
        <f>IFERROR(VLOOKUP(1*LEFT(C205,7),DF!$A$1:$F$9446,2,FALSE),"")</f>
        <v>MORRAL BOLSO TACTICO PORTA BOTELLA 8147-</v>
      </c>
      <c r="F205" s="7">
        <v>8708550</v>
      </c>
      <c r="G205" t="s">
        <v>14260</v>
      </c>
      <c r="H205">
        <v>1</v>
      </c>
      <c r="I205" s="11" t="s">
        <v>7027</v>
      </c>
    </row>
    <row r="206" spans="1:16" x14ac:dyDescent="0.25">
      <c r="A206">
        <v>20508</v>
      </c>
      <c r="B206" t="str">
        <f>CONCATENATE(F206,D206)</f>
        <v>870855004</v>
      </c>
      <c r="C206" t="str">
        <f>CONCATENATE(F206,"#",D206,"#")</f>
        <v>8708550#04#</v>
      </c>
      <c r="D206" s="7" t="s">
        <v>12169</v>
      </c>
      <c r="E206" t="str">
        <f>IFERROR(VLOOKUP(1*LEFT(C206,7),DF!$A$1:$F$9446,2,FALSE),"")</f>
        <v>MORRAL BOLSO TACTICO PORTA BOTELLA 8147-</v>
      </c>
      <c r="F206" s="7">
        <v>8708550</v>
      </c>
      <c r="G206" t="s">
        <v>14261</v>
      </c>
      <c r="H206">
        <v>1</v>
      </c>
      <c r="I206" s="11" t="s">
        <v>12170</v>
      </c>
    </row>
    <row r="207" spans="1:16" x14ac:dyDescent="0.25">
      <c r="A207">
        <v>20508</v>
      </c>
      <c r="B207" t="str">
        <f>CONCATENATE(F207,D207)</f>
        <v>870103809</v>
      </c>
      <c r="C207" t="str">
        <f>CONCATENATE(F207,"#",D207,"#")</f>
        <v>8701038#09#</v>
      </c>
      <c r="D207" s="24" t="s">
        <v>7026</v>
      </c>
      <c r="E207" t="str">
        <f>IFERROR(VLOOKUP(1*LEFT(C207,7),DF!$A$1:$F$9446,2,FALSE),"")</f>
        <v>CINTURON TACTICO RANGER HEBILLA FA38</v>
      </c>
      <c r="F207">
        <v>8701038</v>
      </c>
      <c r="G207" t="s">
        <v>14272</v>
      </c>
      <c r="H207">
        <v>2</v>
      </c>
      <c r="I207" s="11" t="s">
        <v>7027</v>
      </c>
      <c r="J207" s="11" t="s">
        <v>10866</v>
      </c>
    </row>
    <row r="208" spans="1:16" x14ac:dyDescent="0.25">
      <c r="A208">
        <v>20508</v>
      </c>
      <c r="B208" t="str">
        <f>CONCATENATE(F208,D208)</f>
        <v>870103806</v>
      </c>
      <c r="C208" t="str">
        <f>CONCATENATE(F208,"#",D208,"#")</f>
        <v>8701038#06#</v>
      </c>
      <c r="D208" s="24" t="s">
        <v>8375</v>
      </c>
      <c r="E208" t="str">
        <f>IFERROR(VLOOKUP(1*LEFT(C208,7),DF!$A$1:$F$9446,2,FALSE),"")</f>
        <v>CINTURON TACTICO RANGER HEBILLA FA38</v>
      </c>
      <c r="F208">
        <v>8701038</v>
      </c>
      <c r="G208" t="s">
        <v>14273</v>
      </c>
      <c r="H208">
        <v>2</v>
      </c>
      <c r="I208" s="11" t="s">
        <v>8376</v>
      </c>
      <c r="J208" s="11" t="s">
        <v>12131</v>
      </c>
    </row>
    <row r="209" spans="1:9" x14ac:dyDescent="0.25">
      <c r="A209">
        <v>20508</v>
      </c>
      <c r="B209" t="str">
        <f>CONCATENATE(F209,D209)</f>
        <v>870860903</v>
      </c>
      <c r="C209" t="str">
        <f>CONCATENATE(F209,"#",D209,"#")</f>
        <v>8708609#03#</v>
      </c>
      <c r="D209" s="24" t="s">
        <v>8374</v>
      </c>
      <c r="E209" t="str">
        <f>IFERROR(VLOOKUP(1*LEFT(C209,7),DF!$A$1:$F$9446,2,FALSE),"")</f>
        <v>MOCHILA MZ-RJ-B35809 38.5L FRONT-114/3,6</v>
      </c>
      <c r="F209">
        <v>8708609</v>
      </c>
      <c r="G209" t="s">
        <v>14225</v>
      </c>
      <c r="H209">
        <v>1</v>
      </c>
      <c r="I209" s="11" t="s">
        <v>8377</v>
      </c>
    </row>
    <row r="210" spans="1:9" x14ac:dyDescent="0.25">
      <c r="A210">
        <v>20508</v>
      </c>
      <c r="B210" t="str">
        <f>CONCATENATE(F210,D210)</f>
        <v>870860909</v>
      </c>
      <c r="C210" t="str">
        <f>CONCATENATE(F210,"#",D210,"#")</f>
        <v>8708609#09#</v>
      </c>
      <c r="D210" s="24" t="s">
        <v>7026</v>
      </c>
      <c r="E210" t="str">
        <f>IFERROR(VLOOKUP(1*LEFT(C210,7),DF!$A$1:$F$9446,2,FALSE),"")</f>
        <v>MOCHILA MZ-RJ-B35809 38.5L FRONT-114/3,6</v>
      </c>
      <c r="F210">
        <v>8708609</v>
      </c>
      <c r="G210" t="s">
        <v>14274</v>
      </c>
      <c r="H210">
        <v>1</v>
      </c>
      <c r="I210" s="11" t="s">
        <v>7027</v>
      </c>
    </row>
    <row r="211" spans="1:9" x14ac:dyDescent="0.25">
      <c r="A211">
        <v>20508</v>
      </c>
      <c r="B211" t="str">
        <f>CONCATENATE(F211,D211)</f>
        <v>870860905</v>
      </c>
      <c r="C211" t="str">
        <f>CONCATENATE(F211,"#",D211,"#")</f>
        <v>8708609#05#</v>
      </c>
      <c r="D211" s="24" t="s">
        <v>12203</v>
      </c>
      <c r="E211" t="str">
        <f>IFERROR(VLOOKUP(1*LEFT(C211,7),DF!$A$1:$F$9446,2,FALSE),"")</f>
        <v>MOCHILA MZ-RJ-B35809 38.5L FRONT-114/3,6</v>
      </c>
      <c r="F211">
        <v>8708609</v>
      </c>
      <c r="G211" t="s">
        <v>14226</v>
      </c>
      <c r="H211">
        <v>1</v>
      </c>
      <c r="I211" s="11" t="s">
        <v>12283</v>
      </c>
    </row>
    <row r="212" spans="1:9" x14ac:dyDescent="0.25">
      <c r="A212">
        <v>20508</v>
      </c>
      <c r="B212" t="str">
        <f>CONCATENATE(F212,D212)</f>
        <v>870860907</v>
      </c>
      <c r="C212" t="str">
        <f>CONCATENATE(F212,"#",D212,"#")</f>
        <v>8708609#07#</v>
      </c>
      <c r="D212" s="24" t="s">
        <v>12163</v>
      </c>
      <c r="E212" t="str">
        <f>IFERROR(VLOOKUP(1*LEFT(C212,7),DF!$A$1:$F$9446,2,FALSE),"")</f>
        <v>MOCHILA MZ-RJ-B35809 38.5L FRONT-114/3,6</v>
      </c>
      <c r="F212">
        <v>8708609</v>
      </c>
      <c r="G212" t="s">
        <v>14227</v>
      </c>
      <c r="H212">
        <v>1</v>
      </c>
      <c r="I212" s="11" t="s">
        <v>12164</v>
      </c>
    </row>
    <row r="213" spans="1:9" x14ac:dyDescent="0.25">
      <c r="A213">
        <v>20508</v>
      </c>
      <c r="B213" t="str">
        <f>CONCATENATE(F213,D213)</f>
        <v>870860908</v>
      </c>
      <c r="C213" t="str">
        <f>CONCATENATE(F213,"#",D213,"#")</f>
        <v>8708609#08#</v>
      </c>
      <c r="D213" s="24" t="s">
        <v>12146</v>
      </c>
      <c r="E213" t="str">
        <f>IFERROR(VLOOKUP(1*LEFT(C213,7),DF!$A$1:$F$9446,2,FALSE),"")</f>
        <v>MOCHILA MZ-RJ-B35809 38.5L FRONT-114/3,6</v>
      </c>
      <c r="F213">
        <v>8708609</v>
      </c>
      <c r="G213" t="s">
        <v>14228</v>
      </c>
      <c r="H213">
        <v>1</v>
      </c>
      <c r="I213" s="11" t="s">
        <v>12150</v>
      </c>
    </row>
    <row r="214" spans="1:9" x14ac:dyDescent="0.25">
      <c r="A214">
        <v>20508</v>
      </c>
      <c r="B214" t="str">
        <f>CONCATENATE(F214,D214)</f>
        <v>870860911</v>
      </c>
      <c r="C214" t="str">
        <f>CONCATENATE(F214,"#",D214,"#")</f>
        <v>8708609#11#</v>
      </c>
      <c r="D214" s="24" t="s">
        <v>12198</v>
      </c>
      <c r="E214" t="str">
        <f>IFERROR(VLOOKUP(1*LEFT(C214,7),DF!$A$1:$F$9446,2,FALSE),"")</f>
        <v>MOCHILA MZ-RJ-B35809 38.5L FRONT-114/3,6</v>
      </c>
      <c r="F214">
        <v>8708609</v>
      </c>
      <c r="G214" t="s">
        <v>14229</v>
      </c>
      <c r="H214">
        <v>1</v>
      </c>
      <c r="I214" s="11" t="s">
        <v>12199</v>
      </c>
    </row>
    <row r="215" spans="1:9" x14ac:dyDescent="0.25">
      <c r="A215">
        <v>20508</v>
      </c>
      <c r="B215" t="str">
        <f>CONCATENATE(F215,D215)</f>
        <v>770310709</v>
      </c>
      <c r="C215" t="str">
        <f>CONCATENATE(F215,"#",D215,"#")</f>
        <v>7703107#09#</v>
      </c>
      <c r="D215" s="24" t="s">
        <v>7026</v>
      </c>
      <c r="E215" t="str">
        <f>IFERROR(VLOOKUP(1*LEFT(C215,7),DF!$A$1:$F$9446,2,FALSE),"")</f>
        <v>HOMB BI POL COMISARIO (2 DORADAS)</v>
      </c>
      <c r="F215">
        <v>7703107</v>
      </c>
      <c r="G215" t="s">
        <v>14321</v>
      </c>
      <c r="H215">
        <v>1</v>
      </c>
      <c r="I215" s="11" t="s">
        <v>7027</v>
      </c>
    </row>
    <row r="216" spans="1:9" x14ac:dyDescent="0.25">
      <c r="A216">
        <v>20508</v>
      </c>
      <c r="B216" t="str">
        <f>CONCATENATE(F216,D216)</f>
        <v>770310718</v>
      </c>
      <c r="C216" t="str">
        <f>CONCATENATE(F216,"#",D216,"#")</f>
        <v>7703107#18#</v>
      </c>
      <c r="D216" s="24" t="s">
        <v>10868</v>
      </c>
      <c r="E216" t="str">
        <f>IFERROR(VLOOKUP(1*LEFT(C216,7),DF!$A$1:$F$9446,2,FALSE),"")</f>
        <v>HOMB BI POL COMISARIO (2 DORADAS)</v>
      </c>
      <c r="F216">
        <v>7703107</v>
      </c>
      <c r="G216" t="s">
        <v>14322</v>
      </c>
      <c r="H216">
        <v>1</v>
      </c>
      <c r="I216" s="11" t="s">
        <v>10872</v>
      </c>
    </row>
    <row r="217" spans="1:9" x14ac:dyDescent="0.25">
      <c r="A217">
        <v>20508</v>
      </c>
      <c r="B217" t="str">
        <f>CONCATENATE(F217,D217)</f>
        <v>770312909</v>
      </c>
      <c r="C217" t="str">
        <f>CONCATENATE(F217,"#",D217,"#")</f>
        <v>7703129#09#</v>
      </c>
      <c r="D217" s="24" t="s">
        <v>7026</v>
      </c>
      <c r="E217" t="str">
        <f>IFERROR(VLOOKUP(1*LEFT(C217,7),DF!$A$1:$F$9446,2,FALSE),"")</f>
        <v>HOMB GALA POLICIA CINTA LAU DORADA</v>
      </c>
      <c r="F217">
        <v>7703129</v>
      </c>
      <c r="G217" t="s">
        <v>14340</v>
      </c>
      <c r="H217">
        <v>1</v>
      </c>
      <c r="I217" s="11" t="s">
        <v>7027</v>
      </c>
    </row>
    <row r="218" spans="1:9" x14ac:dyDescent="0.25">
      <c r="A218">
        <v>20508</v>
      </c>
      <c r="B218" t="str">
        <f>CONCATENATE(F218,D218)</f>
        <v>770312918</v>
      </c>
      <c r="C218" t="str">
        <f>CONCATENATE(F218,"#",D218,"#")</f>
        <v>7703129#18#</v>
      </c>
      <c r="D218" s="24" t="s">
        <v>10868</v>
      </c>
      <c r="E218" t="str">
        <f>IFERROR(VLOOKUP(1*LEFT(C218,7),DF!$A$1:$F$9446,2,FALSE),"")</f>
        <v>HOMB GALA POLICIA CINTA LAU DORADA</v>
      </c>
      <c r="F218">
        <v>7703129</v>
      </c>
      <c r="G218" t="s">
        <v>14341</v>
      </c>
      <c r="H218">
        <v>1</v>
      </c>
      <c r="I218" s="11" t="s">
        <v>10872</v>
      </c>
    </row>
  </sheetData>
  <sortState ref="A2:Q21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6"/>
  <sheetViews>
    <sheetView workbookViewId="0">
      <pane ySplit="1" topLeftCell="A349" activePane="bottomLeft" state="frozen"/>
      <selection pane="bottomLeft" activeCell="E361" sqref="E361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 t="shared" ref="C2:C33" si="0">CONCATENATE(F2,"##")</f>
        <v>7709853##</v>
      </c>
      <c r="D2" s="2"/>
      <c r="E2" s="2" t="str">
        <f>IFERROR(VLOOKUP(1*LEFT(C2,7),DF!$A$1:$F$9446,2,FALSE),"")</f>
        <v>BAND ARG GENDARMERIA NACIONAL</v>
      </c>
      <c r="F2">
        <v>7709853</v>
      </c>
      <c r="G2" t="s">
        <v>13234</v>
      </c>
      <c r="H2">
        <v>1</v>
      </c>
    </row>
    <row r="3" spans="1:12" x14ac:dyDescent="0.25">
      <c r="A3" s="2">
        <v>16522</v>
      </c>
      <c r="B3" s="2" t="s">
        <v>4</v>
      </c>
      <c r="C3" s="2" t="str">
        <f t="shared" si="0"/>
        <v>7707360##</v>
      </c>
      <c r="D3" s="2"/>
      <c r="E3" s="2" t="str">
        <f>IFERROR(VLOOKUP(1*LEFT(C3,7),DF!$A$1:$F$9446,2,FALSE),"")</f>
        <v>BANDERA ARG BORD COLOR MALVINAS ARG.</v>
      </c>
      <c r="F3">
        <v>7707360</v>
      </c>
      <c r="G3" t="s">
        <v>13235</v>
      </c>
      <c r="H3">
        <v>1</v>
      </c>
    </row>
    <row r="4" spans="1:12" x14ac:dyDescent="0.25">
      <c r="A4" s="2">
        <v>16522</v>
      </c>
      <c r="B4" s="2" t="s">
        <v>4</v>
      </c>
      <c r="C4" s="2" t="str">
        <f t="shared" si="0"/>
        <v>7707342##</v>
      </c>
      <c r="D4" s="2"/>
      <c r="E4" s="2" t="str">
        <f>IFERROR(VLOOKUP(1*LEFT(C4,7),DF!$A$1:$F$9446,2,FALSE),"")</f>
        <v>BANDERA ARG BORD. BEIGE</v>
      </c>
      <c r="F4">
        <v>7707342</v>
      </c>
      <c r="G4" t="s">
        <v>13236</v>
      </c>
      <c r="H4">
        <v>1</v>
      </c>
    </row>
    <row r="5" spans="1:12" x14ac:dyDescent="0.25">
      <c r="A5" s="2">
        <v>16522</v>
      </c>
      <c r="B5" s="2" t="s">
        <v>4</v>
      </c>
      <c r="C5" s="2" t="str">
        <f t="shared" si="0"/>
        <v>7711214##</v>
      </c>
      <c r="D5" s="2"/>
      <c r="E5" s="2" t="str">
        <f>IFERROR(VLOOKUP(1*LEFT(C5,7),DF!$A$1:$F$9446,2,FALSE),"")</f>
        <v>BANDERA BORD S.CRUZ BAJA V</v>
      </c>
      <c r="F5">
        <v>7711214</v>
      </c>
      <c r="G5" t="s">
        <v>13237</v>
      </c>
      <c r="H5">
        <v>1</v>
      </c>
    </row>
    <row r="6" spans="1:12" x14ac:dyDescent="0.25">
      <c r="A6" s="2">
        <v>16522</v>
      </c>
      <c r="B6" s="2" t="s">
        <v>4</v>
      </c>
      <c r="C6" s="2" t="str">
        <f t="shared" si="0"/>
        <v>7711213##</v>
      </c>
      <c r="D6" s="2"/>
      <c r="E6" s="2" t="str">
        <f>IFERROR(VLOOKUP(1*LEFT(C6,7),DF!$A$1:$F$9446,2,FALSE),"")</f>
        <v>BANDERA S.CRUZ  RER 077 RER</v>
      </c>
      <c r="F6">
        <v>7711213</v>
      </c>
      <c r="G6" t="s">
        <v>13238</v>
      </c>
      <c r="H6">
        <v>1</v>
      </c>
    </row>
    <row r="7" spans="1:12" x14ac:dyDescent="0.25">
      <c r="A7" s="2">
        <v>16522</v>
      </c>
      <c r="B7" s="2" t="s">
        <v>4</v>
      </c>
      <c r="C7" s="2" t="str">
        <f t="shared" si="0"/>
        <v>8709698##</v>
      </c>
      <c r="D7" s="2"/>
      <c r="E7" s="2" t="str">
        <f>IFERROR(VLOOKUP(1*LEFT(C7,7),DF!$A$1:$F$9446,2,FALSE),"")</f>
        <v>BANDOLERA DE CUERO LABRADA 1042 TB</v>
      </c>
      <c r="F7">
        <v>8709698</v>
      </c>
      <c r="G7" t="s">
        <v>13239</v>
      </c>
      <c r="H7">
        <v>4</v>
      </c>
    </row>
    <row r="8" spans="1:12" x14ac:dyDescent="0.25">
      <c r="A8">
        <v>16522</v>
      </c>
      <c r="B8" t="s">
        <v>4</v>
      </c>
      <c r="C8" t="str">
        <f t="shared" si="0"/>
        <v>8505827##</v>
      </c>
      <c r="E8" t="str">
        <f>IFERROR(VLOOKUP(1*LEFT(C8,7),DF!$A$1:$F$9446,2,FALSE),"")</f>
        <v>BARBIJO BAT REV. PLISADO CELESTE</v>
      </c>
      <c r="F8">
        <v>8505827</v>
      </c>
      <c r="G8" t="s">
        <v>13240</v>
      </c>
      <c r="H8">
        <v>1</v>
      </c>
    </row>
    <row r="9" spans="1:12" x14ac:dyDescent="0.25">
      <c r="A9">
        <v>16522</v>
      </c>
      <c r="B9" t="s">
        <v>4</v>
      </c>
      <c r="C9" t="str">
        <f t="shared" si="0"/>
        <v>8505822##</v>
      </c>
      <c r="E9" t="str">
        <f>IFERROR(VLOOKUP(1*LEFT(C9,7),DF!$A$1:$F$9446,2,FALSE),"")</f>
        <v>BARBIJO CHAROLADO NEGRO CON SOUTACH ESC</v>
      </c>
      <c r="F9">
        <v>8505822</v>
      </c>
      <c r="G9" t="s">
        <v>13241</v>
      </c>
      <c r="H9">
        <v>1</v>
      </c>
    </row>
    <row r="10" spans="1:12" x14ac:dyDescent="0.25">
      <c r="A10">
        <v>16522</v>
      </c>
      <c r="B10" t="s">
        <v>4</v>
      </c>
      <c r="C10" t="str">
        <f t="shared" si="0"/>
        <v>8505821##</v>
      </c>
      <c r="E10" t="str">
        <f>IFERROR(VLOOKUP(1*LEFT(C10,7),DF!$A$1:$F$9446,2,FALSE),"")</f>
        <v>BARBIJO CHAROLADO NEGRO LISO ESC</v>
      </c>
      <c r="F10">
        <v>8505821</v>
      </c>
      <c r="G10" t="s">
        <v>13242</v>
      </c>
      <c r="H10">
        <v>3</v>
      </c>
    </row>
    <row r="11" spans="1:12" x14ac:dyDescent="0.25">
      <c r="A11">
        <v>16522</v>
      </c>
      <c r="B11" t="s">
        <v>4</v>
      </c>
      <c r="C11" t="str">
        <f t="shared" si="0"/>
        <v>8505823##</v>
      </c>
      <c r="E11" t="str">
        <f>IFERROR(VLOOKUP(1*LEFT(C11,7),DF!$A$1:$F$9446,2,FALSE),"")</f>
        <v>BARBIJO CORDON DORADO AZZ</v>
      </c>
      <c r="F11">
        <v>8505823</v>
      </c>
      <c r="G11" t="s">
        <v>13243</v>
      </c>
      <c r="H11">
        <v>1</v>
      </c>
    </row>
    <row r="12" spans="1:12" x14ac:dyDescent="0.25">
      <c r="A12">
        <v>16522</v>
      </c>
      <c r="B12" t="s">
        <v>4</v>
      </c>
      <c r="C12" t="str">
        <f t="shared" si="0"/>
        <v>8505820##</v>
      </c>
      <c r="E12" t="str">
        <f>IFERROR(VLOOKUP(1*LEFT(C12,7),DF!$A$1:$F$9446,2,FALSE),"")</f>
        <v>BARBIJO CORDON NEGRO AZZ</v>
      </c>
      <c r="F12">
        <v>8505820</v>
      </c>
      <c r="G12" t="s">
        <v>13244</v>
      </c>
      <c r="H12">
        <v>1</v>
      </c>
    </row>
    <row r="13" spans="1:12" x14ac:dyDescent="0.25">
      <c r="A13">
        <v>16522</v>
      </c>
      <c r="B13" t="s">
        <v>4</v>
      </c>
      <c r="C13" t="str">
        <f t="shared" si="0"/>
        <v>8505825##</v>
      </c>
      <c r="E13" t="str">
        <f>IFERROR(VLOOKUP(1*LEFT(C13,7),DF!$A$1:$F$9446,2,FALSE),"")</f>
        <v>BARBIJO RIP REV. PLISADO AZUL NOCHE</v>
      </c>
      <c r="F13">
        <v>8505825</v>
      </c>
      <c r="G13" t="s">
        <v>13245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 t="shared" si="0"/>
        <v>8505650##</v>
      </c>
      <c r="D14" s="2"/>
      <c r="E14" s="2" t="str">
        <f>IFERROR(VLOOKUP(1*LEFT(C14,7),DF!$A$1:$F$9446,2,FALSE),"")</f>
        <v>BARBIJO TAPABOCA IUSP</v>
      </c>
      <c r="F14">
        <v>8505650</v>
      </c>
      <c r="G14" t="s">
        <v>13246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 t="shared" si="0"/>
        <v>8505826##</v>
      </c>
      <c r="D15" s="2"/>
      <c r="E15" s="2" t="str">
        <f>IFERROR(VLOOKUP(1*LEFT(C15,7),DF!$A$1:$F$9446,2,FALSE),"")</f>
        <v>BARBIJO TAPABOCA RIP REV. CAMU</v>
      </c>
      <c r="F15">
        <v>8505826</v>
      </c>
      <c r="G15" t="s">
        <v>13247</v>
      </c>
      <c r="H15">
        <v>5</v>
      </c>
    </row>
    <row r="16" spans="1:12" x14ac:dyDescent="0.25">
      <c r="A16">
        <v>16522</v>
      </c>
      <c r="B16" t="s">
        <v>4</v>
      </c>
      <c r="C16" t="str">
        <f t="shared" si="0"/>
        <v>8505149##</v>
      </c>
      <c r="E16" t="str">
        <f>IFERROR(VLOOKUP(1*LEFT(C16,7),DF!$A$1:$F$9446,2,FALSE),"")</f>
        <v>BASE ACRIL AUXILIAR MAYOR RER</v>
      </c>
      <c r="F16">
        <v>8505149</v>
      </c>
      <c r="G16" t="s">
        <v>13248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8505172##</v>
      </c>
      <c r="E17" t="str">
        <f>IFERROR(VLOOKUP(1*LEFT(C17,7),DF!$A$1:$F$9446,2,FALSE),"")</f>
        <v>BASE ACRIL DOS ROMBOS GRANDE Y SERRE RER</v>
      </c>
      <c r="F17">
        <v>8505172</v>
      </c>
      <c r="G17" t="s">
        <v>13249</v>
      </c>
      <c r="H17">
        <v>2</v>
      </c>
    </row>
    <row r="18" spans="1:8" x14ac:dyDescent="0.25">
      <c r="A18">
        <v>16522</v>
      </c>
      <c r="B18" t="s">
        <v>4</v>
      </c>
      <c r="C18" t="str">
        <f t="shared" si="0"/>
        <v>8505171##</v>
      </c>
      <c r="E18" t="str">
        <f>IFERROR(VLOOKUP(1*LEFT(C18,7),DF!$A$1:$F$9446,2,FALSE),"")</f>
        <v>BASE ACRIL ROMBO GRANDE+SERRETA RER</v>
      </c>
      <c r="F18">
        <v>8505171</v>
      </c>
      <c r="G18" t="s">
        <v>13250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8505173##</v>
      </c>
      <c r="E19" t="str">
        <f>IFERROR(VLOOKUP(1*LEFT(C19,7),DF!$A$1:$F$9446,2,FALSE),"")</f>
        <v>BASE ACRIL ROMBO+PALMA+SERRETA RER</v>
      </c>
      <c r="F19">
        <v>8505173</v>
      </c>
      <c r="G19" t="s">
        <v>13251</v>
      </c>
      <c r="H19">
        <v>2</v>
      </c>
    </row>
    <row r="20" spans="1:8" x14ac:dyDescent="0.25">
      <c r="A20">
        <v>16522</v>
      </c>
      <c r="B20" t="s">
        <v>4</v>
      </c>
      <c r="C20" t="str">
        <f t="shared" si="0"/>
        <v>8505151##</v>
      </c>
      <c r="E20" t="str">
        <f>IFERROR(VLOOKUP(1*LEFT(C20,7),DF!$A$1:$F$9446,2,FALSE),"")</f>
        <v>BASE ACRIL. 1 UN ROMBO CHICO 3X3 RER</v>
      </c>
      <c r="F20">
        <v>8505151</v>
      </c>
      <c r="G20" t="s">
        <v>13252</v>
      </c>
      <c r="H20">
        <v>2</v>
      </c>
    </row>
    <row r="21" spans="1:8" x14ac:dyDescent="0.25">
      <c r="A21">
        <v>16522</v>
      </c>
      <c r="B21" t="s">
        <v>4</v>
      </c>
      <c r="C21" t="str">
        <f t="shared" si="0"/>
        <v>8505161##</v>
      </c>
      <c r="E21" t="str">
        <f>IFERROR(VLOOKUP(1*LEFT(C21,7),DF!$A$1:$F$9446,2,FALSE),"")</f>
        <v>BASE ACRIL. 1 UN ROMBO GRANDE RER</v>
      </c>
      <c r="F21">
        <v>8505161</v>
      </c>
      <c r="G21" t="s">
        <v>13253</v>
      </c>
      <c r="H21">
        <v>2</v>
      </c>
    </row>
    <row r="22" spans="1:8" x14ac:dyDescent="0.25">
      <c r="A22">
        <v>16522</v>
      </c>
      <c r="B22" t="s">
        <v>4</v>
      </c>
      <c r="C22" t="str">
        <f t="shared" si="0"/>
        <v>8505121##</v>
      </c>
      <c r="E22" t="str">
        <f>IFERROR(VLOOKUP(1*LEFT(C22,7),DF!$A$1:$F$9446,2,FALSE),"")</f>
        <v>BASE ACRIL. 1 UNA ESTRELLA  6X2 RER</v>
      </c>
      <c r="F22">
        <v>8505121</v>
      </c>
      <c r="G22" t="s">
        <v>13254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8505170##</v>
      </c>
      <c r="E23" t="str">
        <f>IFERROR(VLOOKUP(1*LEFT(C23,7),DF!$A$1:$F$9446,2,FALSE),"")</f>
        <v>BASE ACRIL. 2 DOS BARRAS CURSO CADE RER</v>
      </c>
      <c r="F23">
        <v>8505170</v>
      </c>
      <c r="G23" t="s">
        <v>13255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8505122##</v>
      </c>
      <c r="E24" t="str">
        <f>IFERROR(VLOOKUP(1*LEFT(C24,7),DF!$A$1:$F$9446,2,FALSE),"")</f>
        <v>BASE ACRIL. 2 DOS ESTRELLAS 6X2 RER</v>
      </c>
      <c r="F24">
        <v>8505122</v>
      </c>
      <c r="G24" t="s">
        <v>13256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8505133##</v>
      </c>
      <c r="E25" t="str">
        <f>IFERROR(VLOOKUP(1*LEFT(C25,7),DF!$A$1:$F$9446,2,FALSE),"")</f>
        <v>BASE ACRIL. 2 DOS ROMBOS CHICOS 3X6 RER</v>
      </c>
      <c r="F25">
        <v>8505133</v>
      </c>
      <c r="G25" t="s">
        <v>13257</v>
      </c>
      <c r="H25">
        <v>1</v>
      </c>
    </row>
    <row r="26" spans="1:8" x14ac:dyDescent="0.25">
      <c r="A26">
        <v>16522</v>
      </c>
      <c r="B26" t="s">
        <v>4</v>
      </c>
      <c r="C26" t="str">
        <f t="shared" si="0"/>
        <v>8505162##</v>
      </c>
      <c r="E26" t="str">
        <f>IFERROR(VLOOKUP(1*LEFT(C26,7),DF!$A$1:$F$9446,2,FALSE),"")</f>
        <v>BASE ACRIL. 2 DOS ROMBOS GRANDES RER</v>
      </c>
      <c r="F26">
        <v>8505162</v>
      </c>
      <c r="G26" t="s">
        <v>13258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8505153##</v>
      </c>
      <c r="E27" t="str">
        <f>IFERROR(VLOOKUP(1*LEFT(C27,7),DF!$A$1:$F$9446,2,FALSE),"")</f>
        <v>BASE ACRIL. 3  ROMBOS CHICOS 8X RER</v>
      </c>
      <c r="F27">
        <v>8505153</v>
      </c>
      <c r="G27" t="s">
        <v>13259</v>
      </c>
      <c r="H27">
        <v>1</v>
      </c>
    </row>
    <row r="28" spans="1:8" x14ac:dyDescent="0.25">
      <c r="A28">
        <v>16522</v>
      </c>
      <c r="B28" t="s">
        <v>4</v>
      </c>
      <c r="C28" t="str">
        <f t="shared" si="0"/>
        <v>8505123##</v>
      </c>
      <c r="E28" t="str">
        <f>IFERROR(VLOOKUP(1*LEFT(C28,7),DF!$A$1:$F$9446,2,FALSE),"")</f>
        <v>BASE ACRIL. 3 TRES ESTRELLAS 2X10 RER</v>
      </c>
      <c r="F28">
        <v>8505123</v>
      </c>
      <c r="G28" t="s">
        <v>13260</v>
      </c>
      <c r="H28">
        <v>1</v>
      </c>
    </row>
    <row r="29" spans="1:8" x14ac:dyDescent="0.25">
      <c r="A29">
        <v>16522</v>
      </c>
      <c r="B29" t="s">
        <v>4</v>
      </c>
      <c r="C29" t="str">
        <f t="shared" si="0"/>
        <v>8505124##</v>
      </c>
      <c r="E29" t="str">
        <f>IFERROR(VLOOKUP(1*LEFT(C29,7),DF!$A$1:$F$9446,2,FALSE),"")</f>
        <v>BASE ACRIL. 4 CUATRO ESTRELLAS 2X10 RER</v>
      </c>
      <c r="F29">
        <v>8505124</v>
      </c>
      <c r="G29" t="s">
        <v>13261</v>
      </c>
      <c r="H29">
        <v>1</v>
      </c>
    </row>
    <row r="30" spans="1:8" x14ac:dyDescent="0.25">
      <c r="A30">
        <v>16522</v>
      </c>
      <c r="B30" t="s">
        <v>4</v>
      </c>
      <c r="C30" t="str">
        <f t="shared" si="0"/>
        <v>8505125##</v>
      </c>
      <c r="E30" t="str">
        <f>IFERROR(VLOOKUP(1*LEFT(C30,7),DF!$A$1:$F$9446,2,FALSE),"")</f>
        <v>BASE ACRIL. 5 CINCO ESTRELLAS 2X10 RER</v>
      </c>
      <c r="F30">
        <v>8505125</v>
      </c>
      <c r="G30" t="s">
        <v>13262</v>
      </c>
      <c r="H30">
        <v>1</v>
      </c>
    </row>
    <row r="31" spans="1:8" x14ac:dyDescent="0.25">
      <c r="A31">
        <v>16522</v>
      </c>
      <c r="B31" t="s">
        <v>4</v>
      </c>
      <c r="C31" t="str">
        <f t="shared" si="0"/>
        <v>8505126##</v>
      </c>
      <c r="E31" t="str">
        <f>IFERROR(VLOOKUP(1*LEFT(C31,7),DF!$A$1:$F$9446,2,FALSE),"")</f>
        <v>BASE ACRIL. 6 SEIS ESTRELLAS 2X10 RER</v>
      </c>
      <c r="F31">
        <v>8505126</v>
      </c>
      <c r="G31" t="s">
        <v>13263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8505155##</v>
      </c>
      <c r="E32" t="str">
        <f>IFERROR(VLOOKUP(1*LEFT(C32,7),DF!$A$1:$F$9446,2,FALSE),"")</f>
        <v>BASE ACRIL. AUXILIAR 1ERA RER</v>
      </c>
      <c r="F32">
        <v>8505155</v>
      </c>
      <c r="G32" t="s">
        <v>13264</v>
      </c>
      <c r="H32">
        <v>2</v>
      </c>
    </row>
    <row r="33" spans="1:8" x14ac:dyDescent="0.25">
      <c r="A33">
        <v>16522</v>
      </c>
      <c r="B33" t="s">
        <v>4</v>
      </c>
      <c r="C33" t="str">
        <f t="shared" si="0"/>
        <v>8505154##</v>
      </c>
      <c r="E33" t="str">
        <f>IFERROR(VLOOKUP(1*LEFT(C33,7),DF!$A$1:$F$9446,2,FALSE),"")</f>
        <v>BASE ACRIL. AUXILIAR RER</v>
      </c>
      <c r="F33">
        <v>8505154</v>
      </c>
      <c r="G33" t="s">
        <v>13265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:C67" si="1">CONCATENATE(F34,"##")</f>
        <v>8505174##</v>
      </c>
      <c r="E34" t="str">
        <f>IFERROR(VLOOKUP(1*LEFT(C34,7),DF!$A$1:$F$9446,2,FALSE),"")</f>
        <v>BASE ACRIL. AUXILIAR SEGUNDO</v>
      </c>
      <c r="F34">
        <v>8505174</v>
      </c>
      <c r="G34" t="s">
        <v>13266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 t="shared" si="1"/>
        <v>8505003##</v>
      </c>
      <c r="D35" s="2"/>
      <c r="E35" s="2" t="str">
        <f>IFERROR(VLOOKUP(1*LEFT(C35,7),DF!$A$1:$F$9446,2,FALSE),"")</f>
        <v>BASE DE TELA</v>
      </c>
      <c r="F35">
        <v>8505003</v>
      </c>
      <c r="G35" t="s">
        <v>13267</v>
      </c>
      <c r="H35">
        <v>2</v>
      </c>
    </row>
    <row r="36" spans="1:8" x14ac:dyDescent="0.25">
      <c r="A36">
        <v>16522</v>
      </c>
      <c r="B36" t="s">
        <v>4</v>
      </c>
      <c r="C36" t="str">
        <f t="shared" si="1"/>
        <v>8503125##</v>
      </c>
      <c r="E36" t="str">
        <f>IFERROR(VLOOKUP(1*LEFT(C36,7),DF!$A$1:$F$9446,2,FALSE),"")</f>
        <v>BASTON EXTENSIBLE CROM.5736</v>
      </c>
      <c r="F36">
        <v>8503125</v>
      </c>
      <c r="G36" t="s">
        <v>13268</v>
      </c>
      <c r="H36">
        <v>3</v>
      </c>
    </row>
    <row r="37" spans="1:8" x14ac:dyDescent="0.25">
      <c r="A37">
        <v>16522</v>
      </c>
      <c r="B37" t="s">
        <v>4</v>
      </c>
      <c r="C37" t="str">
        <f t="shared" si="1"/>
        <v>8503428##</v>
      </c>
      <c r="E37" t="str">
        <f>IFERROR(VLOOKUP(1*LEFT(C37,7),DF!$A$1:$F$9446,2,FALSE),"")</f>
        <v>BASTON EXTENSIBLE IMP. NEGRO 0807</v>
      </c>
      <c r="F37">
        <v>8503428</v>
      </c>
      <c r="G37" t="s">
        <v>13269</v>
      </c>
      <c r="H37">
        <v>3</v>
      </c>
    </row>
    <row r="38" spans="1:8" x14ac:dyDescent="0.25">
      <c r="A38">
        <v>16522</v>
      </c>
      <c r="B38" t="s">
        <v>4</v>
      </c>
      <c r="C38" t="str">
        <f t="shared" si="1"/>
        <v>8520042##</v>
      </c>
      <c r="E38" t="str">
        <f>IFERROR(VLOOKUP(1*LEFT(C38,7),DF!$A$1:$F$9446,2,FALSE),"")</f>
        <v>BINOCULAR LARGAVISTA  TACTICO HIGH QUALITY 20X50 10282</v>
      </c>
      <c r="F38">
        <v>8520042</v>
      </c>
      <c r="G38" t="s">
        <v>13270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 t="shared" si="1"/>
        <v>8301558##</v>
      </c>
      <c r="D39" s="2"/>
      <c r="E39" s="2" t="str">
        <f>IFERROR(VLOOKUP(1*LEFT(C39,7),DF!$A$1:$F$9446,2,FALSE),"")</f>
        <v>BOINA LANA AZUL 5581-26-2/3</v>
      </c>
      <c r="F39" s="7">
        <v>8301558</v>
      </c>
      <c r="G39" t="s">
        <v>13271</v>
      </c>
      <c r="H39">
        <v>3</v>
      </c>
    </row>
    <row r="40" spans="1:8" x14ac:dyDescent="0.25">
      <c r="A40">
        <v>16522</v>
      </c>
      <c r="B40" t="s">
        <v>4</v>
      </c>
      <c r="C40" t="str">
        <f t="shared" si="1"/>
        <v>8301000##</v>
      </c>
      <c r="E40" t="str">
        <f>IFERROR(VLOOKUP(1*LEFT(C40,7),DF!$A$1:$F$9446,2,FALSE),"")</f>
        <v>BOINA PANA AZUL RER</v>
      </c>
      <c r="F40">
        <v>8301000</v>
      </c>
      <c r="G40" t="s">
        <v>13272</v>
      </c>
      <c r="H40">
        <v>2</v>
      </c>
    </row>
    <row r="41" spans="1:8" x14ac:dyDescent="0.25">
      <c r="A41">
        <v>16522</v>
      </c>
      <c r="B41" t="s">
        <v>4</v>
      </c>
      <c r="C41" t="str">
        <f t="shared" si="1"/>
        <v>8301008##</v>
      </c>
      <c r="E41" t="str">
        <f>IFERROR(VLOOKUP(1*LEFT(C41,7),DF!$A$1:$F$9446,2,FALSE),"")</f>
        <v>BOINA PANA BEIGE LMGE RER</v>
      </c>
      <c r="F41">
        <v>8301008</v>
      </c>
      <c r="G41" t="s">
        <v>13273</v>
      </c>
      <c r="H41">
        <v>3</v>
      </c>
    </row>
    <row r="42" spans="1:8" x14ac:dyDescent="0.25">
      <c r="A42">
        <v>16522</v>
      </c>
      <c r="B42" t="s">
        <v>4</v>
      </c>
      <c r="C42" t="str">
        <f t="shared" si="1"/>
        <v>8301805##</v>
      </c>
      <c r="E42" t="str">
        <f>IFERROR(VLOOKUP(1*LEFT(C42,7),DF!$A$1:$F$9446,2,FALSE),"")</f>
        <v>BOINA PANA NEGRA RER</v>
      </c>
      <c r="F42">
        <v>8301805</v>
      </c>
      <c r="G42" t="s">
        <v>13274</v>
      </c>
      <c r="H42">
        <v>2</v>
      </c>
    </row>
    <row r="43" spans="1:8" x14ac:dyDescent="0.25">
      <c r="A43">
        <v>16522</v>
      </c>
      <c r="B43" t="s">
        <v>4</v>
      </c>
      <c r="C43" t="str">
        <f t="shared" si="1"/>
        <v>8301495##</v>
      </c>
      <c r="E43" t="str">
        <f>IFERROR(VLOOKUP(1*LEFT(C43,7),DF!$A$1:$F$9446,2,FALSE),"")</f>
        <v>BOINA TELA AZUL MF</v>
      </c>
      <c r="F43">
        <v>8301495</v>
      </c>
      <c r="G43" t="s">
        <v>13275</v>
      </c>
      <c r="H43">
        <v>6</v>
      </c>
    </row>
    <row r="44" spans="1:8" x14ac:dyDescent="0.25">
      <c r="A44">
        <v>16522</v>
      </c>
      <c r="B44" t="s">
        <v>4</v>
      </c>
      <c r="C44" t="str">
        <f t="shared" si="1"/>
        <v>8301700##</v>
      </c>
      <c r="E44" t="str">
        <f>IFERROR(VLOOKUP(1*LEFT(C44,7),DF!$A$1:$F$9446,2,FALSE),"")</f>
        <v>BOINA TELA NEGRA MF</v>
      </c>
      <c r="F44">
        <v>8301700</v>
      </c>
      <c r="G44" t="s">
        <v>13276</v>
      </c>
      <c r="H44">
        <v>6</v>
      </c>
    </row>
    <row r="45" spans="1:8" x14ac:dyDescent="0.25">
      <c r="A45">
        <v>16522</v>
      </c>
      <c r="B45" t="s">
        <v>4</v>
      </c>
      <c r="C45" t="str">
        <f t="shared" si="1"/>
        <v>8692232##</v>
      </c>
      <c r="E45" t="str">
        <f>IFERROR(VLOOKUP(1*LEFT(C45,7),DF!$A$1:$F$9446,2,FALSE),"")</f>
        <v>BOLSA DE DORMIR KC-002-1</v>
      </c>
      <c r="F45">
        <v>8692232</v>
      </c>
      <c r="G45" t="s">
        <v>13277</v>
      </c>
      <c r="H45">
        <v>4</v>
      </c>
    </row>
    <row r="46" spans="1:8" x14ac:dyDescent="0.25">
      <c r="A46">
        <v>16522</v>
      </c>
      <c r="B46" t="s">
        <v>4</v>
      </c>
      <c r="C46" t="str">
        <f t="shared" si="1"/>
        <v>8692231##</v>
      </c>
      <c r="E46" t="str">
        <f>IFERROR(VLOOKUP(1*LEFT(C46,7),DF!$A$1:$F$9446,2,FALSE),"")</f>
        <v>BOLSA DE DORMIR KC-008-4</v>
      </c>
      <c r="F46">
        <v>8692231</v>
      </c>
      <c r="G46" t="s">
        <v>13278</v>
      </c>
      <c r="H46">
        <v>5</v>
      </c>
    </row>
    <row r="47" spans="1:8" x14ac:dyDescent="0.25">
      <c r="A47">
        <v>16522</v>
      </c>
      <c r="B47" t="s">
        <v>4</v>
      </c>
      <c r="C47" t="str">
        <f t="shared" si="1"/>
        <v>8692233##</v>
      </c>
      <c r="E47" t="str">
        <f>IFERROR(VLOOKUP(1*LEFT(C47,7),DF!$A$1:$F$9446,2,FALSE),"")</f>
        <v>BOLSA DE DORMIR KC016</v>
      </c>
      <c r="F47">
        <v>8692233</v>
      </c>
      <c r="G47" t="s">
        <v>13279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 t="shared" si="1"/>
        <v>8708104##</v>
      </c>
      <c r="D48" s="2"/>
      <c r="E48" s="2" t="str">
        <f>IFERROR(VLOOKUP(1*LEFT(C48,7),DF!$A$1:$F$9446,2,FALSE),"")</f>
        <v>BOLSO MALETIN  PORTA PIST. RRD31 BLK</v>
      </c>
      <c r="F48">
        <v>8708104</v>
      </c>
      <c r="G48" t="s">
        <v>14091</v>
      </c>
      <c r="H48">
        <v>6</v>
      </c>
    </row>
    <row r="49" spans="1:9" x14ac:dyDescent="0.25">
      <c r="A49" s="2">
        <v>16522</v>
      </c>
      <c r="B49" s="2" t="s">
        <v>4</v>
      </c>
      <c r="C49" s="2" t="str">
        <f t="shared" si="1"/>
        <v>8708099##</v>
      </c>
      <c r="D49" s="2"/>
      <c r="E49" s="2" t="str">
        <f>IFERROR(VLOOKUP(1*LEFT(C49,7),DF!$A$1:$F$9446,2,FALSE),"")</f>
        <v>BOLSO MOCHILA GRANDE</v>
      </c>
      <c r="F49">
        <v>8708099</v>
      </c>
      <c r="G49" t="s">
        <v>13280</v>
      </c>
      <c r="H49">
        <v>3</v>
      </c>
    </row>
    <row r="50" spans="1:9" x14ac:dyDescent="0.25">
      <c r="A50" s="2">
        <v>16522</v>
      </c>
      <c r="B50" s="2" t="s">
        <v>4</v>
      </c>
      <c r="C50" s="2" t="str">
        <f t="shared" si="1"/>
        <v>8205150##</v>
      </c>
      <c r="D50" s="2"/>
      <c r="E50" s="2" t="str">
        <f>IFERROR(VLOOKUP(1*LEFT(C50,7),DF!$A$1:$F$9446,2,FALSE),"")</f>
        <v>BORCEGUI ALTA MONTA¥A RER</v>
      </c>
      <c r="F50">
        <v>8205150</v>
      </c>
      <c r="G50" t="s">
        <v>14037</v>
      </c>
      <c r="H50">
        <v>9</v>
      </c>
    </row>
    <row r="51" spans="1:9" x14ac:dyDescent="0.25">
      <c r="A51" s="2">
        <v>16522</v>
      </c>
      <c r="B51" s="2" t="s">
        <v>4</v>
      </c>
      <c r="C51" s="2" t="str">
        <f t="shared" si="1"/>
        <v>8205080##</v>
      </c>
      <c r="D51" s="2"/>
      <c r="E51" s="2" t="str">
        <f>IFERROR(VLOOKUP(1*LEFT(C51,7),DF!$A$1:$F$9446,2,FALSE),"")</f>
        <v>BORCEGUI COMANDO CORTO ART80 C/CIERRE CA</v>
      </c>
      <c r="F51" s="7">
        <v>8205080</v>
      </c>
      <c r="G51" t="s">
        <v>14038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 t="shared" si="1"/>
        <v>8205080##</v>
      </c>
      <c r="E52" t="str">
        <f>IFERROR(VLOOKUP(1*LEFT(C52,7),DF!$A$1:$F$9446,2,FALSE),"")</f>
        <v>BORCEGUI COMANDO CORTO ART80 C/CIERRE CA</v>
      </c>
      <c r="F52">
        <v>8205080</v>
      </c>
      <c r="G52" t="s">
        <v>13893</v>
      </c>
      <c r="H52">
        <v>8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8205881##</v>
      </c>
      <c r="D53" s="2"/>
      <c r="E53" s="2" t="str">
        <f>IFERROR(VLOOKUP(1*LEFT(C53,7),DF!$A$1:$F$9446,2,FALSE),"")</f>
        <v>BORCEGUI COMANDO CORTO ART81 BEIGE C/CIE</v>
      </c>
      <c r="F53" s="7">
        <v>8205881</v>
      </c>
      <c r="G53" t="s">
        <v>14039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t="str">
        <f t="shared" si="1"/>
        <v>8205881##</v>
      </c>
      <c r="E54" t="str">
        <f>IFERROR(VLOOKUP(1*LEFT(C54,7),DF!$A$1:$F$9446,2,FALSE),"")</f>
        <v>BORCEGUI COMANDO CORTO ART81 BEIGE C/CIE</v>
      </c>
      <c r="F54">
        <v>8205881</v>
      </c>
      <c r="G54" s="9" t="s">
        <v>13894</v>
      </c>
      <c r="H54">
        <v>6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8205118##</v>
      </c>
      <c r="D55" s="2"/>
      <c r="E55" s="2" t="str">
        <f>IFERROR(VLOOKUP(1*LEFT(C55,7),DF!$A$1:$F$9446,2,FALSE),"")</f>
        <v>BORCEGUI COMANDO RERDA ART60 CIERRE CAR</v>
      </c>
      <c r="F55" s="7">
        <v>8205118</v>
      </c>
      <c r="G55" t="s">
        <v>14040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tr">
        <f t="shared" si="1"/>
        <v>8205118##</v>
      </c>
      <c r="E56" t="str">
        <f>IFERROR(VLOOKUP(1*LEFT(C56,7),DF!$A$1:$F$9446,2,FALSE),"")</f>
        <v>BORCEGUI COMANDO RERDA ART60 CIERRE CAR</v>
      </c>
      <c r="F56">
        <v>8205118</v>
      </c>
      <c r="G56" t="s">
        <v>13895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8205119##</v>
      </c>
      <c r="D57" s="2"/>
      <c r="E57" s="2" t="str">
        <f>IFERROR(VLOOKUP(1*LEFT(C57,7),DF!$A$1:$F$9446,2,FALSE),"")</f>
        <v>BORCEGUI COMANDO RERDA BEIGE CIERRE CAR ART61</v>
      </c>
      <c r="F57" s="7">
        <v>8205119</v>
      </c>
      <c r="G57" t="s">
        <v>14041</v>
      </c>
      <c r="H57">
        <v>6</v>
      </c>
      <c r="I57">
        <v>1</v>
      </c>
    </row>
    <row r="58" spans="1:9" x14ac:dyDescent="0.25">
      <c r="A58">
        <v>19599</v>
      </c>
      <c r="B58" t="s">
        <v>7</v>
      </c>
      <c r="C58" t="str">
        <f t="shared" si="1"/>
        <v>8205119##</v>
      </c>
      <c r="E58" t="str">
        <f>IFERROR(VLOOKUP(1*LEFT(C58,7),DF!$A$1:$F$9446,2,FALSE),"")</f>
        <v>BORCEGUI COMANDO RERDA BEIGE CIERRE CAR ART61</v>
      </c>
      <c r="F58">
        <v>8205119</v>
      </c>
      <c r="G58" t="s">
        <v>13896</v>
      </c>
      <c r="H58">
        <v>6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8205051##</v>
      </c>
      <c r="D59" s="2"/>
      <c r="E59" s="2" t="str">
        <f>IFERROR(VLOOKUP(1*LEFT(C59,7),DF!$A$1:$F$9446,2,FALSE),"")</f>
        <v>BORCEGUI CON PELUCHE CC</v>
      </c>
      <c r="F59" s="7">
        <v>8205051</v>
      </c>
      <c r="G59" t="s">
        <v>14042</v>
      </c>
      <c r="H59">
        <v>10</v>
      </c>
      <c r="I59">
        <v>1</v>
      </c>
    </row>
    <row r="60" spans="1:9" x14ac:dyDescent="0.25">
      <c r="A60">
        <v>19599</v>
      </c>
      <c r="B60" t="s">
        <v>7</v>
      </c>
      <c r="C60" t="str">
        <f t="shared" si="1"/>
        <v>8205051##</v>
      </c>
      <c r="E60" t="str">
        <f>IFERROR(VLOOKUP(1*LEFT(C60,7),DF!$A$1:$F$9446,2,FALSE),"")</f>
        <v>BORCEGUI CON PELUCHE CC</v>
      </c>
      <c r="F60">
        <v>8205051</v>
      </c>
      <c r="G60" t="s">
        <v>13897</v>
      </c>
      <c r="H60">
        <v>10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 t="shared" si="1"/>
        <v>8205050##</v>
      </c>
      <c r="D61" s="2"/>
      <c r="E61" s="2" t="str">
        <f>IFERROR(VLOOKUP(1*LEFT(C61,7),DF!$A$1:$F$9446,2,FALSE),"")</f>
        <v>BORCEGUI CUERO  CLASICO RER</v>
      </c>
      <c r="F61" s="7">
        <v>8205050</v>
      </c>
      <c r="G61" t="s">
        <v>14043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 t="shared" si="1"/>
        <v>8205050##</v>
      </c>
      <c r="E62" t="str">
        <f>IFERROR(VLOOKUP(1*LEFT(C62,7),DF!$A$1:$F$9446,2,FALSE),"")</f>
        <v>BORCEGUI CUERO  CLASICO RER</v>
      </c>
      <c r="F62">
        <v>8205050</v>
      </c>
      <c r="G62" t="s">
        <v>13898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 t="shared" si="1"/>
        <v>8205117##</v>
      </c>
      <c r="E63" t="str">
        <f>IFERROR(VLOOKUP(1*LEFT(C63,7),DF!$A$1:$F$9446,2,FALSE),"")</f>
        <v>BORCEGUI FULL GRAIN 1071 RER</v>
      </c>
      <c r="F63">
        <v>8205117</v>
      </c>
      <c r="G63" t="s">
        <v>13899</v>
      </c>
      <c r="H63">
        <v>9</v>
      </c>
      <c r="I63">
        <v>1</v>
      </c>
    </row>
    <row r="64" spans="1:9" x14ac:dyDescent="0.25">
      <c r="A64">
        <v>19599</v>
      </c>
      <c r="B64" t="s">
        <v>7</v>
      </c>
      <c r="C64" t="str">
        <f t="shared" si="1"/>
        <v>8205078##</v>
      </c>
      <c r="E64" t="str">
        <f>IFERROR(VLOOKUP(1*LEFT(C64,7),DF!$A$1:$F$9446,2,FALSE),"")</f>
        <v>BORCEGUI TACTICO AK 2297</v>
      </c>
      <c r="F64">
        <v>8205078</v>
      </c>
      <c r="G64" t="s">
        <v>13900</v>
      </c>
      <c r="H64">
        <v>5</v>
      </c>
    </row>
    <row r="65" spans="1:9" x14ac:dyDescent="0.25">
      <c r="A65">
        <v>16522</v>
      </c>
      <c r="B65" t="s">
        <v>4</v>
      </c>
      <c r="C65" t="str">
        <f t="shared" si="1"/>
        <v>8205600##</v>
      </c>
      <c r="E65" t="str">
        <f>IFERROR(VLOOKUP(1*LEFT(C65,7),DF!$A$1:$F$9446,2,FALSE),"")</f>
        <v>BORCEGUI TACTICO DEL600</v>
      </c>
      <c r="F65">
        <v>8205600</v>
      </c>
      <c r="G65" t="s">
        <v>14044</v>
      </c>
      <c r="H65">
        <v>4</v>
      </c>
    </row>
    <row r="66" spans="1:9" x14ac:dyDescent="0.25">
      <c r="A66">
        <v>16522</v>
      </c>
      <c r="B66" t="s">
        <v>4</v>
      </c>
      <c r="C66" t="str">
        <f t="shared" si="1"/>
        <v>8205006##</v>
      </c>
      <c r="E66" t="str">
        <f>IFERROR(VLOOKUP(1*LEFT(C66,7),DF!$A$1:$F$9446,2,FALSE),"")</f>
        <v>BORCEGUI TACTICO DL006</v>
      </c>
      <c r="F66">
        <v>8205006</v>
      </c>
      <c r="G66" t="s">
        <v>14045</v>
      </c>
      <c r="H66">
        <v>6</v>
      </c>
    </row>
    <row r="67" spans="1:9" x14ac:dyDescent="0.25">
      <c r="A67">
        <v>16522</v>
      </c>
      <c r="B67" t="s">
        <v>4</v>
      </c>
      <c r="C67" t="str">
        <f t="shared" si="1"/>
        <v>8205037##</v>
      </c>
      <c r="E67" t="str">
        <f>IFERROR(VLOOKUP(1*LEFT(C67,7),DF!$A$1:$F$9446,2,FALSE),"")</f>
        <v>BORCEGUI TACTICO FULL GRAIN LEATHER ART 20</v>
      </c>
      <c r="F67">
        <v>8205037</v>
      </c>
      <c r="G67" t="s">
        <v>14046</v>
      </c>
      <c r="H67">
        <v>4</v>
      </c>
    </row>
    <row r="68" spans="1:9" x14ac:dyDescent="0.25">
      <c r="A68">
        <v>16522</v>
      </c>
      <c r="B68" t="s">
        <v>4</v>
      </c>
      <c r="C68" t="s">
        <v>12204</v>
      </c>
      <c r="E68" t="str">
        <f>IFERROR(VLOOKUP(1*LEFT(C68,7),DF!$A$1:$F$9446,2,FALSE),"")</f>
        <v>BORCEGUI TACTICO FULL GRAIN LEATHER T.ESPECIAL ART 20</v>
      </c>
      <c r="F68">
        <v>8205037</v>
      </c>
      <c r="G68" t="s">
        <v>14046</v>
      </c>
      <c r="H68">
        <v>4</v>
      </c>
    </row>
    <row r="69" spans="1:9" x14ac:dyDescent="0.25">
      <c r="A69">
        <v>16522</v>
      </c>
      <c r="B69" t="s">
        <v>4</v>
      </c>
      <c r="C69" t="str">
        <f>CONCATENATE(F69,"##")</f>
        <v>8205818##</v>
      </c>
      <c r="E69" t="str">
        <f>IFERROR(VLOOKUP(1*LEFT(C69,7),DF!$A$1:$F$9446,2,FALSE),"")</f>
        <v>BORCEGUI TACTICO GL818</v>
      </c>
      <c r="F69">
        <v>8205818</v>
      </c>
      <c r="G69" t="s">
        <v>14047</v>
      </c>
      <c r="H69">
        <v>11</v>
      </c>
    </row>
    <row r="70" spans="1:9" x14ac:dyDescent="0.25">
      <c r="A70" s="2">
        <v>16522</v>
      </c>
      <c r="B70" s="2" t="s">
        <v>4</v>
      </c>
      <c r="C70" s="2" t="str">
        <f>CONCATENATE(F70,"##")</f>
        <v>8205115##</v>
      </c>
      <c r="D70" s="2"/>
      <c r="E70" s="2" t="str">
        <f>IFERROR(VLOOKUP(1*LEFT(C70,7),DF!$A$1:$F$9446,2,FALSE),"")</f>
        <v>BORCEGUI TACTICO RERDA LMGE CC</v>
      </c>
      <c r="F70" s="7">
        <v>8205115</v>
      </c>
      <c r="G70" t="s">
        <v>14048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8205115##</v>
      </c>
      <c r="E71" t="str">
        <f>IFERROR(VLOOKUP(1*LEFT(C71,7),DF!$A$1:$F$9446,2,FALSE),"")</f>
        <v>BORCEGUI TACTICO RERDA LMGE CC</v>
      </c>
      <c r="F71">
        <v>8205115</v>
      </c>
      <c r="G71" t="s">
        <v>13901</v>
      </c>
      <c r="H71">
        <v>7</v>
      </c>
      <c r="I71">
        <v>1</v>
      </c>
    </row>
    <row r="72" spans="1:9" x14ac:dyDescent="0.25">
      <c r="A72" s="2">
        <v>16522</v>
      </c>
      <c r="B72" s="2" t="s">
        <v>4</v>
      </c>
      <c r="C72" s="2" t="s">
        <v>4113</v>
      </c>
      <c r="D72" s="2"/>
      <c r="E72" s="2" t="str">
        <f>IFERROR(VLOOKUP(1*LEFT(C72,7),DF!$A$1:$F$9446,2,FALSE),"")</f>
        <v>BORCEGUI TACTICO RERDA T. ESPECIAL RER</v>
      </c>
      <c r="F72" s="7">
        <v>8205115</v>
      </c>
      <c r="G72" t="s">
        <v>14048</v>
      </c>
      <c r="H72">
        <v>7</v>
      </c>
      <c r="I72">
        <v>1</v>
      </c>
    </row>
    <row r="73" spans="1:9" x14ac:dyDescent="0.25">
      <c r="A73" s="2">
        <v>16522</v>
      </c>
      <c r="B73" s="2" t="s">
        <v>4</v>
      </c>
      <c r="C73" s="2" t="str">
        <f t="shared" ref="C73:C94" si="2">CONCATENATE(F73,"##")</f>
        <v>8205041##</v>
      </c>
      <c r="D73" s="2"/>
      <c r="E73" s="2" t="str">
        <f>IFERROR(VLOOKUP(1*LEFT(C73,7),DF!$A$1:$F$9446,2,FALSE),"")</f>
        <v>BORCEGUI TODO CUERO RERDA RER</v>
      </c>
      <c r="F73" s="7">
        <v>8205041</v>
      </c>
      <c r="G73" t="s">
        <v>14049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 t="shared" si="2"/>
        <v>8205041##</v>
      </c>
      <c r="E74" t="str">
        <f>IFERROR(VLOOKUP(1*LEFT(C74,7),DF!$A$1:$F$9446,2,FALSE),"")</f>
        <v>BORCEGUI TODO CUERO RERDA RER</v>
      </c>
      <c r="F74">
        <v>8205041</v>
      </c>
      <c r="G74" t="s">
        <v>13902</v>
      </c>
      <c r="H74">
        <v>7</v>
      </c>
      <c r="I74">
        <v>1</v>
      </c>
    </row>
    <row r="75" spans="1:9" x14ac:dyDescent="0.25">
      <c r="A75" s="2">
        <v>16522</v>
      </c>
      <c r="B75" s="2" t="s">
        <v>4</v>
      </c>
      <c r="C75" s="2" t="str">
        <f t="shared" si="2"/>
        <v>8205090##</v>
      </c>
      <c r="D75" s="2"/>
      <c r="E75" s="2" t="str">
        <f>IFERROR(VLOOKUP(1*LEFT(C75,7),DF!$A$1:$F$9446,2,FALSE),"")</f>
        <v>BORCEGUIE COMBAT ART.40</v>
      </c>
      <c r="F75" s="7">
        <v>8205090</v>
      </c>
      <c r="G75" t="s">
        <v>13903</v>
      </c>
      <c r="H75">
        <v>7</v>
      </c>
    </row>
    <row r="76" spans="1:9" x14ac:dyDescent="0.25">
      <c r="A76">
        <v>19599</v>
      </c>
      <c r="B76" t="s">
        <v>7</v>
      </c>
      <c r="C76" t="str">
        <f t="shared" si="2"/>
        <v>8205090##</v>
      </c>
      <c r="E76" t="str">
        <f>IFERROR(VLOOKUP(1*LEFT(C76,7),DF!$A$1:$F$9446,2,FALSE),"")</f>
        <v>BORCEGUIE COMBAT ART.40</v>
      </c>
      <c r="F76">
        <v>8205090</v>
      </c>
      <c r="G76" t="s">
        <v>13903</v>
      </c>
      <c r="H76">
        <v>7</v>
      </c>
    </row>
    <row r="77" spans="1:9" x14ac:dyDescent="0.25">
      <c r="A77" s="2">
        <v>16522</v>
      </c>
      <c r="B77" s="2" t="s">
        <v>4</v>
      </c>
      <c r="C77" s="2" t="str">
        <f t="shared" si="2"/>
        <v>8205120##</v>
      </c>
      <c r="D77" s="2"/>
      <c r="E77" s="2" t="str">
        <f>IFERROR(VLOOKUP(1*LEFT(C77,7),DF!$A$1:$F$9446,2,FALSE),"")</f>
        <v>BORCEGUIE TACTICO MARRON RERDA</v>
      </c>
      <c r="F77" s="7">
        <v>8205120</v>
      </c>
      <c r="G77" t="s">
        <v>14050</v>
      </c>
      <c r="H77">
        <v>2</v>
      </c>
      <c r="I77">
        <v>1</v>
      </c>
    </row>
    <row r="78" spans="1:9" x14ac:dyDescent="0.25">
      <c r="A78">
        <v>19599</v>
      </c>
      <c r="B78" t="s">
        <v>7</v>
      </c>
      <c r="C78" t="str">
        <f t="shared" si="2"/>
        <v>8205120##</v>
      </c>
      <c r="E78" t="str">
        <f>IFERROR(VLOOKUP(1*LEFT(C78,7),DF!$A$1:$F$9446,2,FALSE),"")</f>
        <v>BORCEGUIE TACTICO MARRON RERDA</v>
      </c>
      <c r="F78">
        <v>8205120</v>
      </c>
      <c r="G78" t="s">
        <v>13904</v>
      </c>
      <c r="H78">
        <v>2</v>
      </c>
      <c r="I78">
        <v>1</v>
      </c>
    </row>
    <row r="79" spans="1:9" x14ac:dyDescent="0.25">
      <c r="A79" s="2">
        <v>16522</v>
      </c>
      <c r="B79" s="2" t="s">
        <v>4</v>
      </c>
      <c r="C79" s="2" t="str">
        <f t="shared" si="2"/>
        <v>8205040##</v>
      </c>
      <c r="D79" s="2"/>
      <c r="E79" s="2" t="str">
        <f>IFERROR(VLOOKUP(1*LEFT(C79,7),DF!$A$1:$F$9446,2,FALSE),"")</f>
        <v>BOTIN AMERICANO RER</v>
      </c>
      <c r="F79" s="7">
        <v>8205040</v>
      </c>
      <c r="G79" t="s">
        <v>14051</v>
      </c>
      <c r="H79">
        <v>3</v>
      </c>
      <c r="I79">
        <v>1</v>
      </c>
    </row>
    <row r="80" spans="1:9" x14ac:dyDescent="0.25">
      <c r="A80" s="2">
        <v>16522</v>
      </c>
      <c r="B80" s="2" t="s">
        <v>4</v>
      </c>
      <c r="C80" s="2" t="str">
        <f t="shared" si="2"/>
        <v>8205060##</v>
      </c>
      <c r="D80" s="2"/>
      <c r="E80" s="2" t="str">
        <f>IFERROR(VLOOKUP(1*LEFT(C80,7),DF!$A$1:$F$9446,2,FALSE),"")</f>
        <v>BOTIN CLASICO RER</v>
      </c>
      <c r="F80" s="7">
        <v>8205060</v>
      </c>
      <c r="G80" t="s">
        <v>14052</v>
      </c>
      <c r="H80">
        <v>4</v>
      </c>
      <c r="I80">
        <v>1</v>
      </c>
    </row>
    <row r="81" spans="1:10" x14ac:dyDescent="0.25">
      <c r="A81" s="2">
        <v>16522</v>
      </c>
      <c r="B81" s="2" t="s">
        <v>4</v>
      </c>
      <c r="C81" s="2" t="str">
        <f t="shared" si="2"/>
        <v>8205016##</v>
      </c>
      <c r="D81" s="2"/>
      <c r="E81" s="2" t="str">
        <f>IFERROR(VLOOKUP(1*LEFT(C81,7),DF!$A$1:$F$9446,2,FALSE),"")</f>
        <v>BOTIN CORTO BLANCO CUERO/GAMUZA 1016</v>
      </c>
      <c r="F81" s="7">
        <v>8205016</v>
      </c>
      <c r="G81" t="s">
        <v>14053</v>
      </c>
      <c r="H81">
        <v>4</v>
      </c>
      <c r="I81">
        <v>1</v>
      </c>
    </row>
    <row r="82" spans="1:10" x14ac:dyDescent="0.25">
      <c r="A82" s="2">
        <v>16522</v>
      </c>
      <c r="B82" s="2" t="s">
        <v>4</v>
      </c>
      <c r="C82" s="2" t="str">
        <f t="shared" si="2"/>
        <v>8205018##</v>
      </c>
      <c r="D82" s="2"/>
      <c r="E82" s="2" t="str">
        <f>IFERROR(VLOOKUP(1*LEFT(C82,7),DF!$A$1:$F$9446,2,FALSE),"")</f>
        <v>BOTIN DE TRABAJO PUNTA ACERO NEGRO AFU</v>
      </c>
      <c r="F82" s="7">
        <v>8205018</v>
      </c>
      <c r="G82" t="s">
        <v>14054</v>
      </c>
      <c r="H82">
        <v>7</v>
      </c>
      <c r="I82">
        <v>1</v>
      </c>
    </row>
    <row r="83" spans="1:10" x14ac:dyDescent="0.25">
      <c r="A83">
        <v>16522</v>
      </c>
      <c r="B83" t="s">
        <v>7</v>
      </c>
      <c r="C83" t="str">
        <f t="shared" si="2"/>
        <v>8205018##</v>
      </c>
      <c r="E83" t="str">
        <f>IFERROR(VLOOKUP(1*LEFT(C83,7),DF!$A$1:$F$9446,2,FALSE),"")</f>
        <v>BOTIN DE TRABAJO PUNTA ACERO NEGRO AFU</v>
      </c>
      <c r="F83">
        <v>8205018</v>
      </c>
      <c r="G83" t="s">
        <v>13905</v>
      </c>
      <c r="H83">
        <v>7</v>
      </c>
      <c r="I83">
        <v>1</v>
      </c>
    </row>
    <row r="84" spans="1:10" x14ac:dyDescent="0.25">
      <c r="A84" s="2">
        <v>16522</v>
      </c>
      <c r="B84" s="2" t="s">
        <v>4</v>
      </c>
      <c r="C84" s="2" t="str">
        <f t="shared" si="2"/>
        <v>8205010##</v>
      </c>
      <c r="D84" s="2"/>
      <c r="E84" s="2" t="str">
        <f>IFERROR(VLOOKUP(1*LEFT(C84,7),DF!$A$1:$F$9446,2,FALSE),"")</f>
        <v>BOTIN PRUSIANO MARRON RER</v>
      </c>
      <c r="F84" s="7">
        <v>8205010</v>
      </c>
      <c r="G84" t="s">
        <v>14055</v>
      </c>
      <c r="H84">
        <v>3</v>
      </c>
      <c r="I84">
        <v>1</v>
      </c>
    </row>
    <row r="85" spans="1:10" x14ac:dyDescent="0.25">
      <c r="A85" s="2">
        <v>16522</v>
      </c>
      <c r="B85" s="2" t="s">
        <v>4</v>
      </c>
      <c r="C85" s="2" t="str">
        <f t="shared" si="2"/>
        <v>8205020##</v>
      </c>
      <c r="D85" s="2"/>
      <c r="E85" s="2" t="str">
        <f>IFERROR(VLOOKUP(1*LEFT(C85,7),DF!$A$1:$F$9446,2,FALSE),"")</f>
        <v>BOTIN PRUSIANO NEGRO RER</v>
      </c>
      <c r="F85" s="7">
        <v>8205020</v>
      </c>
      <c r="G85" t="s">
        <v>14056</v>
      </c>
      <c r="H85">
        <v>3</v>
      </c>
      <c r="I85">
        <v>1</v>
      </c>
    </row>
    <row r="86" spans="1:10" x14ac:dyDescent="0.25">
      <c r="A86" s="2">
        <v>16522</v>
      </c>
      <c r="B86" s="2" t="s">
        <v>4</v>
      </c>
      <c r="C86" s="2" t="str">
        <f t="shared" si="2"/>
        <v>8708020##</v>
      </c>
      <c r="D86" s="2"/>
      <c r="E86" s="2" t="str">
        <f>IFERROR(VLOOKUP(1*LEFT(C86,7),DF!$A$1:$F$9446,2,FALSE),"")</f>
        <v>BOTIQUIN MOLLE RRD82 BLK</v>
      </c>
      <c r="F86">
        <v>8708020</v>
      </c>
      <c r="G86" t="s">
        <v>14086</v>
      </c>
      <c r="H86">
        <v>5</v>
      </c>
    </row>
    <row r="87" spans="1:10" x14ac:dyDescent="0.25">
      <c r="A87" s="2">
        <v>16522</v>
      </c>
      <c r="B87" s="2" t="s">
        <v>4</v>
      </c>
      <c r="C87" s="2" t="str">
        <f t="shared" si="2"/>
        <v>8520124##</v>
      </c>
      <c r="D87" s="2"/>
      <c r="E87" s="2" t="str">
        <f>IFERROR(VLOOKUP(1*LEFT(C87,7),DF!$A$1:$F$9446,2,FALSE),"")</f>
        <v>BRAZALETE PARACOR BRUJ+ TERMOMETRO 4321</v>
      </c>
      <c r="F87" s="7">
        <v>8520124</v>
      </c>
      <c r="G87" t="s">
        <v>13281</v>
      </c>
      <c r="H87">
        <v>5</v>
      </c>
    </row>
    <row r="88" spans="1:10" x14ac:dyDescent="0.25">
      <c r="A88">
        <v>16522</v>
      </c>
      <c r="B88" t="s">
        <v>4</v>
      </c>
      <c r="C88" t="str">
        <f t="shared" si="2"/>
        <v>7800000##</v>
      </c>
      <c r="E88" t="str">
        <f>IFERROR(VLOOKUP(1*LEFT(C88,7),DF!$A$1:$F$9446,2,FALSE),"")</f>
        <v>CABLE USB</v>
      </c>
      <c r="F88">
        <v>7800000</v>
      </c>
      <c r="G88" t="s">
        <v>13282</v>
      </c>
      <c r="H88">
        <v>2</v>
      </c>
    </row>
    <row r="89" spans="1:10" x14ac:dyDescent="0.25">
      <c r="A89">
        <v>16522</v>
      </c>
      <c r="B89" t="s">
        <v>4</v>
      </c>
      <c r="C89" t="str">
        <f t="shared" si="2"/>
        <v>8511522##</v>
      </c>
      <c r="E89" t="str">
        <f>IFERROR(VLOOKUP(1*LEFT(C89,7),DF!$A$1:$F$9446,2,FALSE),"")</f>
        <v>CACHAS ANATOMICAS BERSA  10442 RER</v>
      </c>
      <c r="F89">
        <v>8511522</v>
      </c>
      <c r="G89" t="s">
        <v>13283</v>
      </c>
      <c r="H89">
        <v>2</v>
      </c>
    </row>
    <row r="90" spans="1:10" x14ac:dyDescent="0.25">
      <c r="A90">
        <v>16522</v>
      </c>
      <c r="B90" t="s">
        <v>7</v>
      </c>
      <c r="C90" t="str">
        <f t="shared" si="2"/>
        <v>5101210##</v>
      </c>
      <c r="E90" t="str">
        <f>IFERROR(VLOOKUP(1*LEFT(C90,7),DF!$A$1:$F$9446,2,FALSE),"")</f>
        <v>CAMP ALPHA  MA-1G300</v>
      </c>
      <c r="F90">
        <v>5101210</v>
      </c>
      <c r="G90" t="s">
        <v>13944</v>
      </c>
      <c r="H90">
        <v>5</v>
      </c>
      <c r="I90">
        <v>1</v>
      </c>
    </row>
    <row r="91" spans="1:10" x14ac:dyDescent="0.25">
      <c r="A91">
        <v>16522</v>
      </c>
      <c r="B91" t="s">
        <v>7</v>
      </c>
      <c r="C91" t="str">
        <f t="shared" si="2"/>
        <v>5101220##</v>
      </c>
      <c r="E91" t="str">
        <f>IFERROR(VLOOKUP(1*LEFT(C91,7),DF!$A$1:$F$9446,2,FALSE),"")</f>
        <v>CAMP ALPHA CWJ450</v>
      </c>
      <c r="F91">
        <v>5101220</v>
      </c>
      <c r="G91" t="s">
        <v>13945</v>
      </c>
      <c r="H91">
        <v>5</v>
      </c>
      <c r="I91">
        <v>1</v>
      </c>
    </row>
    <row r="92" spans="1:10" x14ac:dyDescent="0.25">
      <c r="A92">
        <v>16522</v>
      </c>
      <c r="B92" t="s">
        <v>7</v>
      </c>
      <c r="C92" t="str">
        <f t="shared" si="2"/>
        <v>5101310##</v>
      </c>
      <c r="E92" t="str">
        <f>IFERROR(VLOOKUP(1*LEFT(C92,7),DF!$A$1:$F$9446,2,FALSE),"")</f>
        <v>CAMP ALPHA MB3690</v>
      </c>
      <c r="F92">
        <v>5101310</v>
      </c>
      <c r="G92" t="s">
        <v>13946</v>
      </c>
      <c r="H92">
        <v>5</v>
      </c>
      <c r="I92">
        <v>1</v>
      </c>
    </row>
    <row r="93" spans="1:10" x14ac:dyDescent="0.25">
      <c r="A93">
        <v>16522</v>
      </c>
      <c r="B93" t="s">
        <v>7</v>
      </c>
      <c r="C93" t="str">
        <f t="shared" si="2"/>
        <v>5101391##</v>
      </c>
      <c r="E93" t="str">
        <f>IFERROR(VLOOKUP(1*LEFT(C93,7),DF!$A$1:$F$9446,2,FALSE),"")</f>
        <v>CAMP ALPHA MJ1690 RER</v>
      </c>
      <c r="F93">
        <v>5101391</v>
      </c>
      <c r="G93" t="s">
        <v>13947</v>
      </c>
      <c r="H93">
        <v>5</v>
      </c>
      <c r="I93">
        <v>1</v>
      </c>
    </row>
    <row r="94" spans="1:10" x14ac:dyDescent="0.25">
      <c r="A94">
        <v>16522</v>
      </c>
      <c r="B94" t="s">
        <v>7</v>
      </c>
      <c r="C94" t="str">
        <f t="shared" si="2"/>
        <v>5101340##</v>
      </c>
      <c r="E94" t="str">
        <f>IFERROR(VLOOKUP(1*LEFT(C94,7),DF!$A$1:$F$9446,2,FALSE),"")</f>
        <v>CAMP ALPHA MJB500</v>
      </c>
      <c r="F94">
        <v>5101340</v>
      </c>
      <c r="G94" t="s">
        <v>13948</v>
      </c>
      <c r="H94">
        <v>5</v>
      </c>
      <c r="I94">
        <v>1</v>
      </c>
    </row>
    <row r="95" spans="1:10" x14ac:dyDescent="0.25">
      <c r="A95">
        <v>16522</v>
      </c>
      <c r="B95" t="s">
        <v>7</v>
      </c>
      <c r="C95" t="s">
        <v>10889</v>
      </c>
      <c r="E95" t="str">
        <f>IFERROR(VLOOKUP(1*LEFT(C95,7),DF!$A$1:$F$9446,2,FALSE),"")</f>
        <v>CAMP ALPHA MJI43910C1 LUG</v>
      </c>
      <c r="F95">
        <v>5101310</v>
      </c>
      <c r="G95" t="s">
        <v>13946</v>
      </c>
      <c r="H95">
        <v>5</v>
      </c>
      <c r="I95">
        <v>1</v>
      </c>
    </row>
    <row r="96" spans="1:10" x14ac:dyDescent="0.25">
      <c r="A96">
        <v>16522</v>
      </c>
      <c r="B96" t="s">
        <v>7</v>
      </c>
      <c r="C96" t="str">
        <f t="shared" ref="C96:C159" si="3">CONCATENATE(F96,"##")</f>
        <v>5101115##</v>
      </c>
      <c r="E96" t="str">
        <f>IFERROR(VLOOKUP(1*LEFT(C96,7),DF!$A$1:$F$9446,2,FALSE),"")</f>
        <v>CAMP ALPHA MJM113132C1 SUMMIT 3XL RER</v>
      </c>
      <c r="F96">
        <v>5101115</v>
      </c>
      <c r="J96" t="s">
        <v>14313</v>
      </c>
    </row>
    <row r="97" spans="1:10" x14ac:dyDescent="0.25">
      <c r="A97">
        <v>16522</v>
      </c>
      <c r="B97" t="s">
        <v>7</v>
      </c>
      <c r="C97" t="str">
        <f t="shared" si="3"/>
        <v>5101223##</v>
      </c>
      <c r="E97" t="str">
        <f>IFERROR(VLOOKUP(1*LEFT(C97,7),DF!$A$1:$F$9446,2,FALSE),"")</f>
        <v>CAMP ALPHA MJM22000C4 45/P 3XL LUG</v>
      </c>
      <c r="F97">
        <v>5101223</v>
      </c>
      <c r="J97" t="s">
        <v>14314</v>
      </c>
    </row>
    <row r="98" spans="1:10" x14ac:dyDescent="0.25">
      <c r="A98">
        <v>16522</v>
      </c>
      <c r="B98" t="s">
        <v>7</v>
      </c>
      <c r="C98" t="str">
        <f t="shared" si="3"/>
        <v>5101114##</v>
      </c>
      <c r="E98" t="str">
        <f>IFERROR(VLOOKUP(1*LEFT(C98,7),DF!$A$1:$F$9446,2,FALSE),"")</f>
        <v>CAMP ALPHA MJS113132C1 SUMMIT 2XL RER</v>
      </c>
      <c r="F98">
        <v>5101114</v>
      </c>
      <c r="J98" t="s">
        <v>14315</v>
      </c>
    </row>
    <row r="99" spans="1:10" x14ac:dyDescent="0.25">
      <c r="A99">
        <v>19599</v>
      </c>
      <c r="B99" t="s">
        <v>7</v>
      </c>
      <c r="C99" t="str">
        <f t="shared" si="3"/>
        <v>5101009##</v>
      </c>
      <c r="E99" t="str">
        <f>IFERROR(VLOOKUP(1*LEFT(C99,7),DF!$A$1:$F$9446,2,FALSE),"")</f>
        <v>CAMP CORTA CUELLO DESMONT AZUL EM</v>
      </c>
      <c r="F99">
        <v>5101009</v>
      </c>
      <c r="G99" t="s">
        <v>13949</v>
      </c>
      <c r="H99">
        <v>8</v>
      </c>
      <c r="I99">
        <v>1</v>
      </c>
    </row>
    <row r="100" spans="1:10" x14ac:dyDescent="0.25">
      <c r="A100">
        <v>19599</v>
      </c>
      <c r="B100" t="s">
        <v>7</v>
      </c>
      <c r="C100" t="str">
        <f t="shared" si="3"/>
        <v>5101750##</v>
      </c>
      <c r="E100" t="str">
        <f>IFERROR(VLOOKUP(1*LEFT(C100,7),DF!$A$1:$F$9446,2,FALSE),"")</f>
        <v>CAMP CORTA CUELLO DESMONT GRIS EM</v>
      </c>
      <c r="F100">
        <v>5101750</v>
      </c>
      <c r="G100" s="9" t="s">
        <v>13950</v>
      </c>
      <c r="H100">
        <v>8</v>
      </c>
      <c r="I100">
        <v>1</v>
      </c>
    </row>
    <row r="101" spans="1:10" x14ac:dyDescent="0.25">
      <c r="A101">
        <v>19599</v>
      </c>
      <c r="B101" t="s">
        <v>7</v>
      </c>
      <c r="C101" t="str">
        <f t="shared" si="3"/>
        <v>5101011##</v>
      </c>
      <c r="E101" t="str">
        <f>IFERROR(VLOOKUP(1*LEFT(C101,7),DF!$A$1:$F$9446,2,FALSE),"")</f>
        <v>CAMP CORTA CUELLO DESMONT NEGRA EM</v>
      </c>
      <c r="F101">
        <v>5101011</v>
      </c>
      <c r="G101" t="s">
        <v>13951</v>
      </c>
      <c r="H101">
        <v>8</v>
      </c>
      <c r="I101">
        <v>1</v>
      </c>
    </row>
    <row r="102" spans="1:10" x14ac:dyDescent="0.25">
      <c r="A102">
        <v>16522</v>
      </c>
      <c r="B102" t="s">
        <v>7</v>
      </c>
      <c r="C102" t="str">
        <f t="shared" si="3"/>
        <v>5101902##</v>
      </c>
      <c r="E102" t="str">
        <f>IFERROR(VLOOKUP(1*LEFT(C102,7),DF!$A$1:$F$9446,2,FALSE),"")</f>
        <v>CAMP PLUMA NEGRA BRILLO S/CAP ART102 RER</v>
      </c>
      <c r="F102">
        <v>5101902</v>
      </c>
      <c r="G102" t="s">
        <v>13955</v>
      </c>
      <c r="H102">
        <v>5</v>
      </c>
      <c r="I102">
        <v>1</v>
      </c>
    </row>
    <row r="103" spans="1:10" x14ac:dyDescent="0.25">
      <c r="A103">
        <v>16522</v>
      </c>
      <c r="B103" t="s">
        <v>7</v>
      </c>
      <c r="C103" t="str">
        <f t="shared" si="3"/>
        <v>5101917##</v>
      </c>
      <c r="E103" t="str">
        <f>IFERROR(VLOOKUP(1*LEFT(C103,7),DF!$A$1:$F$9446,2,FALSE),"")</f>
        <v>CAMP PLUMA SIN CAPU AZUL FRAN ARD</v>
      </c>
      <c r="F103">
        <v>5101917</v>
      </c>
      <c r="G103" t="s">
        <v>13956</v>
      </c>
      <c r="H103">
        <v>5</v>
      </c>
      <c r="I103">
        <v>1</v>
      </c>
    </row>
    <row r="104" spans="1:10" x14ac:dyDescent="0.25">
      <c r="A104">
        <v>16522</v>
      </c>
      <c r="B104" t="s">
        <v>7</v>
      </c>
      <c r="C104" t="str">
        <f t="shared" si="3"/>
        <v>5101925##</v>
      </c>
      <c r="E104" t="str">
        <f>IFERROR(VLOOKUP(1*LEFT(C104,7),DF!$A$1:$F$9446,2,FALSE),"")</f>
        <v>CAMP PLUMA SIN CAPU GRIS CLARO ARD</v>
      </c>
      <c r="F104">
        <v>5101925</v>
      </c>
      <c r="G104" t="s">
        <v>13957</v>
      </c>
      <c r="H104">
        <v>5</v>
      </c>
      <c r="I104">
        <v>1</v>
      </c>
    </row>
    <row r="105" spans="1:10" x14ac:dyDescent="0.25">
      <c r="A105">
        <v>16522</v>
      </c>
      <c r="B105" t="s">
        <v>7</v>
      </c>
      <c r="C105" t="str">
        <f t="shared" si="3"/>
        <v>5101915##</v>
      </c>
      <c r="E105" t="str">
        <f>IFERROR(VLOOKUP(1*LEFT(C105,7),DF!$A$1:$F$9446,2,FALSE),"")</f>
        <v>CAMP PLUMA SIN CAPU ROJA ARD</v>
      </c>
      <c r="F105">
        <v>5101915</v>
      </c>
      <c r="G105" t="s">
        <v>13958</v>
      </c>
      <c r="H105">
        <v>5</v>
      </c>
      <c r="I105">
        <v>1</v>
      </c>
    </row>
    <row r="106" spans="1:10" x14ac:dyDescent="0.25">
      <c r="A106">
        <v>19599</v>
      </c>
      <c r="B106" t="s">
        <v>7</v>
      </c>
      <c r="C106" t="str">
        <f t="shared" si="3"/>
        <v>5101170##</v>
      </c>
      <c r="E106" t="str">
        <f>IFERROR(VLOOKUP(1*LEFT(C106,7),DF!$A$1:$F$9446,2,FALSE),"")</f>
        <v>CAMP POLAR AMERICANA AZUL RER</v>
      </c>
      <c r="F106" s="3">
        <v>5101170</v>
      </c>
      <c r="G106" t="s">
        <v>13959</v>
      </c>
      <c r="H106">
        <v>7</v>
      </c>
      <c r="I106">
        <v>1</v>
      </c>
    </row>
    <row r="107" spans="1:10" x14ac:dyDescent="0.25">
      <c r="A107">
        <v>19599</v>
      </c>
      <c r="B107" t="s">
        <v>7</v>
      </c>
      <c r="C107" t="str">
        <f t="shared" si="3"/>
        <v>5101850##</v>
      </c>
      <c r="E107" t="str">
        <f>IFERROR(VLOOKUP(1*LEFT(C107,7),DF!$A$1:$F$9446,2,FALSE),"")</f>
        <v>CAMP POLAR AMERICANA GRIS RER</v>
      </c>
      <c r="F107" s="3">
        <v>5101850</v>
      </c>
      <c r="G107" s="9" t="s">
        <v>13960</v>
      </c>
      <c r="H107">
        <v>7</v>
      </c>
      <c r="I107">
        <v>1</v>
      </c>
    </row>
    <row r="108" spans="1:10" x14ac:dyDescent="0.25">
      <c r="A108">
        <v>19599</v>
      </c>
      <c r="B108" t="s">
        <v>7</v>
      </c>
      <c r="C108" t="str">
        <f t="shared" si="3"/>
        <v>5101171##</v>
      </c>
      <c r="E108" t="str">
        <f>IFERROR(VLOOKUP(1*LEFT(C108,7),DF!$A$1:$F$9446,2,FALSE),"")</f>
        <v>CAMP POLAR AMERICANA NEGRA RER</v>
      </c>
      <c r="F108" s="3">
        <v>5101171</v>
      </c>
      <c r="G108" t="s">
        <v>13961</v>
      </c>
      <c r="H108">
        <v>7</v>
      </c>
      <c r="I108">
        <v>1</v>
      </c>
    </row>
    <row r="109" spans="1:10" x14ac:dyDescent="0.25">
      <c r="A109">
        <v>16522</v>
      </c>
      <c r="B109" t="s">
        <v>7</v>
      </c>
      <c r="C109" t="str">
        <f t="shared" si="3"/>
        <v>5101106##</v>
      </c>
      <c r="E109" t="str">
        <f>IFERROR(VLOOKUP(1*LEFT(C109,7),DF!$A$1:$F$9446,2,FALSE),"")</f>
        <v>CAMP RURAL NYLON SOFT IMPER. NELB102 GYG</v>
      </c>
      <c r="F109">
        <v>5101106</v>
      </c>
      <c r="G109" t="s">
        <v>13962</v>
      </c>
      <c r="H109">
        <v>9</v>
      </c>
    </row>
    <row r="110" spans="1:10" x14ac:dyDescent="0.25">
      <c r="A110">
        <v>16522</v>
      </c>
      <c r="B110" t="s">
        <v>7</v>
      </c>
      <c r="C110" t="str">
        <f t="shared" si="3"/>
        <v>5101101##</v>
      </c>
      <c r="E110" t="str">
        <f>IFERROR(VLOOKUP(1*LEFT(C110,7),DF!$A$1:$F$9446,2,FALSE),"")</f>
        <v>CAMP SOFT AZUL RER</v>
      </c>
      <c r="F110">
        <v>5101101</v>
      </c>
      <c r="G110" t="s">
        <v>13963</v>
      </c>
      <c r="H110">
        <v>4</v>
      </c>
    </row>
    <row r="111" spans="1:10" x14ac:dyDescent="0.25">
      <c r="A111">
        <v>16522</v>
      </c>
      <c r="B111" t="s">
        <v>4</v>
      </c>
      <c r="C111" t="str">
        <f t="shared" si="3"/>
        <v>8692010##</v>
      </c>
      <c r="E111" t="str">
        <f>IFERROR(VLOOKUP(1*LEFT(C111,7),DF!$A$1:$F$9446,2,FALSE),"")</f>
        <v>CAMPING CARPA DE EMERGENCIA 4319</v>
      </c>
      <c r="F111">
        <v>8692010</v>
      </c>
      <c r="G111" t="s">
        <v>13284</v>
      </c>
      <c r="H111">
        <v>3</v>
      </c>
    </row>
    <row r="112" spans="1:10" x14ac:dyDescent="0.25">
      <c r="A112">
        <v>16522</v>
      </c>
      <c r="B112" t="s">
        <v>4</v>
      </c>
      <c r="C112" t="str">
        <f t="shared" si="3"/>
        <v>8692011##</v>
      </c>
      <c r="E112" t="str">
        <f>IFERROR(VLOOKUP(1*LEFT(C112,7),DF!$A$1:$F$9446,2,FALSE),"")</f>
        <v>CAMPING INFLADOR 68612</v>
      </c>
      <c r="F112">
        <v>8692011</v>
      </c>
      <c r="G112" t="s">
        <v>13285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 t="shared" si="3"/>
        <v>8702660##</v>
      </c>
      <c r="D113" s="2"/>
      <c r="E113" s="2" t="str">
        <f>IFERROR(VLOOKUP(1*LEFT(C113,7),DF!$A$1:$F$9446,2,FALSE),"")</f>
        <v>CANANA PORTA CART 8T T660 TB</v>
      </c>
      <c r="F113">
        <v>8702660</v>
      </c>
      <c r="G113" t="s">
        <v>13286</v>
      </c>
      <c r="H113">
        <v>3</v>
      </c>
    </row>
    <row r="114" spans="1:8" x14ac:dyDescent="0.25">
      <c r="A114">
        <v>16522</v>
      </c>
      <c r="B114" t="s">
        <v>4</v>
      </c>
      <c r="C114" t="str">
        <f t="shared" si="3"/>
        <v>8612057##</v>
      </c>
      <c r="E114" t="str">
        <f>IFERROR(VLOOKUP(1*LEFT(C114,7),DF!$A$1:$F$9446,2,FALSE),"")</f>
        <v>CARPA 16986-3</v>
      </c>
      <c r="F114">
        <v>8612057</v>
      </c>
      <c r="G114" t="s">
        <v>13287</v>
      </c>
      <c r="H114">
        <v>4</v>
      </c>
    </row>
    <row r="115" spans="1:8" x14ac:dyDescent="0.25">
      <c r="A115">
        <v>16522</v>
      </c>
      <c r="B115" t="s">
        <v>4</v>
      </c>
      <c r="C115" t="str">
        <f t="shared" si="3"/>
        <v>8612056##</v>
      </c>
      <c r="E115" t="str">
        <f>IFERROR(VLOOKUP(1*LEFT(C115,7),DF!$A$1:$F$9446,2,FALSE),"")</f>
        <v>CARPA 3 PERS 16986-1</v>
      </c>
      <c r="F115">
        <v>8612056</v>
      </c>
      <c r="G115" t="s">
        <v>13288</v>
      </c>
      <c r="H115">
        <v>6</v>
      </c>
    </row>
    <row r="116" spans="1:8" x14ac:dyDescent="0.25">
      <c r="A116">
        <v>16522</v>
      </c>
      <c r="B116" t="s">
        <v>4</v>
      </c>
      <c r="C116" t="str">
        <f t="shared" si="3"/>
        <v>8612058##</v>
      </c>
      <c r="E116" t="str">
        <f>IFERROR(VLOOKUP(1*LEFT(C116,7),DF!$A$1:$F$9446,2,FALSE),"")</f>
        <v>CARPA CAMPING A03</v>
      </c>
      <c r="F116">
        <v>8612058</v>
      </c>
      <c r="G116" t="s">
        <v>13289</v>
      </c>
      <c r="H116">
        <v>4</v>
      </c>
    </row>
    <row r="117" spans="1:8" x14ac:dyDescent="0.25">
      <c r="A117" s="2">
        <v>16522</v>
      </c>
      <c r="B117" s="2" t="s">
        <v>4</v>
      </c>
      <c r="C117" s="2" t="str">
        <f t="shared" si="3"/>
        <v>8303123##</v>
      </c>
      <c r="D117" s="2"/>
      <c r="E117" s="2" t="str">
        <f>IFERROR(VLOOKUP(1*LEFT(C117,7),DF!$A$1:$F$9446,2,FALSE),"")</f>
        <v>CASQ AMER REVER RIP STOP</v>
      </c>
      <c r="F117" s="7">
        <v>8303123</v>
      </c>
      <c r="G117" t="s">
        <v>13290</v>
      </c>
      <c r="H117">
        <v>7</v>
      </c>
    </row>
    <row r="118" spans="1:8" x14ac:dyDescent="0.25">
      <c r="A118">
        <v>16522</v>
      </c>
      <c r="B118" t="s">
        <v>4</v>
      </c>
      <c r="C118" t="str">
        <f t="shared" si="3"/>
        <v>8303665##</v>
      </c>
      <c r="E118" s="2" t="str">
        <f>IFERROR(VLOOKUP(1*LEFT(C118,7),DF!$A$1:$F$9446,2,FALSE),"")</f>
        <v>CASQ ARMADO  VERDE</v>
      </c>
      <c r="F118">
        <v>8303665</v>
      </c>
      <c r="G118" t="s">
        <v>13291</v>
      </c>
      <c r="H118">
        <v>5</v>
      </c>
    </row>
    <row r="119" spans="1:8" x14ac:dyDescent="0.25">
      <c r="A119">
        <v>16522</v>
      </c>
      <c r="B119" t="s">
        <v>4</v>
      </c>
      <c r="C119" t="str">
        <f t="shared" si="3"/>
        <v>8303222##</v>
      </c>
      <c r="E119" s="2" t="str">
        <f>IFERROR(VLOOKUP(1*LEFT(C119,7),DF!$A$1:$F$9446,2,FALSE),"")</f>
        <v>CASQ ARMADO GAB AZUL</v>
      </c>
      <c r="F119">
        <v>8303222</v>
      </c>
      <c r="G119" t="s">
        <v>13292</v>
      </c>
      <c r="H119">
        <v>5</v>
      </c>
    </row>
    <row r="120" spans="1:8" x14ac:dyDescent="0.25">
      <c r="A120" s="2">
        <v>16522</v>
      </c>
      <c r="B120" s="2" t="s">
        <v>4</v>
      </c>
      <c r="C120" s="2" t="str">
        <f t="shared" si="3"/>
        <v>8303014##</v>
      </c>
      <c r="D120" s="2"/>
      <c r="E120" s="2" t="str">
        <f>IFERROR(VLOOKUP(1*LEFT(C120,7),DF!$A$1:$F$9446,2,FALSE),"")</f>
        <v>CASQ AZUL URBANO TUCUMAN</v>
      </c>
      <c r="F120">
        <v>8303014</v>
      </c>
      <c r="G120" t="s">
        <v>13293</v>
      </c>
      <c r="H120">
        <v>5</v>
      </c>
    </row>
    <row r="121" spans="1:8" x14ac:dyDescent="0.25">
      <c r="A121">
        <v>16522</v>
      </c>
      <c r="B121" t="s">
        <v>4</v>
      </c>
      <c r="C121" t="str">
        <f t="shared" si="3"/>
        <v>8303677##</v>
      </c>
      <c r="E121" s="2" t="str">
        <f>IFERROR(VLOOKUP(1*LEFT(C121,7),DF!$A$1:$F$9446,2,FALSE),"")</f>
        <v>CASQ GAB AZUL AJUSTABLE C/TRABA 4674</v>
      </c>
      <c r="F121">
        <v>8303677</v>
      </c>
      <c r="G121" t="s">
        <v>13294</v>
      </c>
      <c r="H121">
        <v>6</v>
      </c>
    </row>
    <row r="122" spans="1:8" x14ac:dyDescent="0.25">
      <c r="A122" s="2">
        <v>16522</v>
      </c>
      <c r="B122" s="2" t="s">
        <v>4</v>
      </c>
      <c r="C122" s="2" t="str">
        <f t="shared" si="3"/>
        <v>8303005##</v>
      </c>
      <c r="D122" s="2"/>
      <c r="E122" s="2" t="str">
        <f>IFERROR(VLOOKUP(1*LEFT(C122,7),DF!$A$1:$F$9446,2,FALSE),"")</f>
        <v>CASQ GAB AZUL CON ABROJO</v>
      </c>
      <c r="F122" s="2">
        <v>8303005</v>
      </c>
      <c r="G122" t="s">
        <v>13295</v>
      </c>
      <c r="H122">
        <v>4</v>
      </c>
    </row>
    <row r="123" spans="1:8" x14ac:dyDescent="0.25">
      <c r="A123" s="2">
        <v>16522</v>
      </c>
      <c r="B123" s="2" t="s">
        <v>4</v>
      </c>
      <c r="C123" s="2" t="str">
        <f t="shared" si="3"/>
        <v>8303010##</v>
      </c>
      <c r="D123" s="2"/>
      <c r="E123" s="2" t="str">
        <f>IFERROR(VLOOKUP(1*LEFT(C123,7),DF!$A$1:$F$9446,2,FALSE),"")</f>
        <v>CASQ GAB AZUL CON ABROJO</v>
      </c>
      <c r="F123" s="2">
        <v>8303010</v>
      </c>
      <c r="G123" t="s">
        <v>13296</v>
      </c>
      <c r="H123">
        <v>4</v>
      </c>
    </row>
    <row r="124" spans="1:8" x14ac:dyDescent="0.25">
      <c r="A124" s="2">
        <v>16522</v>
      </c>
      <c r="B124" s="2" t="s">
        <v>4</v>
      </c>
      <c r="C124" s="2" t="str">
        <f t="shared" si="3"/>
        <v>8303114##</v>
      </c>
      <c r="D124" s="2"/>
      <c r="E124" s="2" t="str">
        <f>IFERROR(VLOOKUP(1*LEFT(C124,7),DF!$A$1:$F$9446,2,FALSE),"")</f>
        <v>CASQ GAB GRIS ABROJO</v>
      </c>
      <c r="F124">
        <v>8303114</v>
      </c>
      <c r="G124" t="s">
        <v>13297</v>
      </c>
      <c r="H124">
        <v>5</v>
      </c>
    </row>
    <row r="125" spans="1:8" x14ac:dyDescent="0.25">
      <c r="A125" s="2">
        <v>16522</v>
      </c>
      <c r="B125" s="2" t="s">
        <v>4</v>
      </c>
      <c r="C125" s="2" t="str">
        <f t="shared" si="3"/>
        <v>8303674##</v>
      </c>
      <c r="D125" s="2"/>
      <c r="E125" s="2" t="str">
        <f>IFERROR(VLOOKUP(1*LEFT(C125,7),DF!$A$1:$F$9446,2,FALSE),"")</f>
        <v>CASQ GAB NEGRO AJUSTABLE C/TRABA 4674</v>
      </c>
      <c r="F125">
        <v>8303674</v>
      </c>
      <c r="G125" t="s">
        <v>13298</v>
      </c>
      <c r="H125">
        <v>6</v>
      </c>
    </row>
    <row r="126" spans="1:8" x14ac:dyDescent="0.25">
      <c r="A126" s="2">
        <v>16522</v>
      </c>
      <c r="B126" s="2" t="s">
        <v>4</v>
      </c>
      <c r="C126" s="2" t="str">
        <f t="shared" si="3"/>
        <v>8303006##</v>
      </c>
      <c r="D126" s="2"/>
      <c r="E126" s="2" t="str">
        <f>IFERROR(VLOOKUP(1*LEFT(C126,7),DF!$A$1:$F$9446,2,FALSE),"")</f>
        <v>CASQ GAB NEGRO CON ABROJO</v>
      </c>
      <c r="F126" s="7">
        <v>8303006</v>
      </c>
      <c r="G126" t="s">
        <v>13299</v>
      </c>
      <c r="H126">
        <v>4</v>
      </c>
    </row>
    <row r="127" spans="1:8" x14ac:dyDescent="0.25">
      <c r="A127" s="2">
        <v>16522</v>
      </c>
      <c r="B127" s="2" t="s">
        <v>4</v>
      </c>
      <c r="C127" s="2" t="str">
        <f t="shared" si="3"/>
        <v>8303112##</v>
      </c>
      <c r="D127" s="2"/>
      <c r="E127" s="2" t="str">
        <f>IFERROR(VLOOKUP(1*LEFT(C127,7),DF!$A$1:$F$9446,2,FALSE),"")</f>
        <v>CASQ GRIS BORD NEUQUEN</v>
      </c>
      <c r="F127" s="7">
        <v>8303112</v>
      </c>
      <c r="G127" t="s">
        <v>13300</v>
      </c>
      <c r="H127">
        <v>6</v>
      </c>
    </row>
    <row r="128" spans="1:8" x14ac:dyDescent="0.25">
      <c r="A128" s="2">
        <v>16522</v>
      </c>
      <c r="B128" s="2" t="s">
        <v>4</v>
      </c>
      <c r="C128" s="2" t="str">
        <f t="shared" si="3"/>
        <v>8303111##</v>
      </c>
      <c r="D128" s="2"/>
      <c r="E128" s="2" t="str">
        <f>IFERROR(VLOOKUP(1*LEFT(C128,7),DF!$A$1:$F$9446,2,FALSE),"")</f>
        <v>CASQ NEGRO BORD NEUQUEN</v>
      </c>
      <c r="F128">
        <v>8303111</v>
      </c>
      <c r="G128" t="s">
        <v>13301</v>
      </c>
      <c r="H128">
        <v>6</v>
      </c>
    </row>
    <row r="129" spans="1:8" x14ac:dyDescent="0.25">
      <c r="A129" s="2">
        <v>16522</v>
      </c>
      <c r="B129" s="2" t="s">
        <v>4</v>
      </c>
      <c r="C129" s="2" t="str">
        <f t="shared" si="3"/>
        <v>8303120##</v>
      </c>
      <c r="D129" s="2"/>
      <c r="E129" s="2" t="str">
        <f>IFERROR(VLOOKUP(1*LEFT(C129,7),DF!$A$1:$F$9446,2,FALSE),"")</f>
        <v>CASQ REVER GABARD.</v>
      </c>
      <c r="F129" s="7">
        <v>8303120</v>
      </c>
      <c r="G129" t="s">
        <v>13302</v>
      </c>
      <c r="H129">
        <v>8</v>
      </c>
    </row>
    <row r="130" spans="1:8" x14ac:dyDescent="0.25">
      <c r="A130" s="2">
        <v>16522</v>
      </c>
      <c r="B130" s="2" t="s">
        <v>4</v>
      </c>
      <c r="C130" s="2" t="str">
        <f t="shared" si="3"/>
        <v>8303495##</v>
      </c>
      <c r="D130" s="2"/>
      <c r="E130" s="2" t="str">
        <f>IFERROR(VLOOKUP(1*LEFT(C130,7),DF!$A$1:$F$9446,2,FALSE),"")</f>
        <v>CASQ RIP AZUL C ABROJO</v>
      </c>
      <c r="F130">
        <v>8303495</v>
      </c>
      <c r="G130" t="s">
        <v>13303</v>
      </c>
      <c r="H130">
        <v>5</v>
      </c>
    </row>
    <row r="131" spans="1:8" x14ac:dyDescent="0.25">
      <c r="A131" s="2">
        <v>16522</v>
      </c>
      <c r="B131" s="2" t="s">
        <v>4</v>
      </c>
      <c r="C131" s="2" t="str">
        <f t="shared" si="3"/>
        <v>8303130##</v>
      </c>
      <c r="D131" s="2"/>
      <c r="E131" s="2" t="str">
        <f>IFERROR(VLOOKUP(1*LEFT(C131,7),DF!$A$1:$F$9446,2,FALSE),"")</f>
        <v>CASQ RIP AZUL C/OJALILLOS IMP</v>
      </c>
      <c r="F131" s="7">
        <v>8303130</v>
      </c>
      <c r="G131" t="s">
        <v>13304</v>
      </c>
      <c r="H131">
        <v>3</v>
      </c>
    </row>
    <row r="132" spans="1:8" x14ac:dyDescent="0.25">
      <c r="A132">
        <v>16522</v>
      </c>
      <c r="B132" t="s">
        <v>4</v>
      </c>
      <c r="C132" t="str">
        <f t="shared" si="3"/>
        <v>8303003##</v>
      </c>
      <c r="E132" s="2" t="str">
        <f>IFERROR(VLOOKUP(1*LEFT(C132,7),DF!$A$1:$F$9446,2,FALSE),"")</f>
        <v>CASQ RIP AZUL CRIO GENERAL VISERA BORD</v>
      </c>
      <c r="F132">
        <v>8303003</v>
      </c>
      <c r="G132" t="s">
        <v>13305</v>
      </c>
      <c r="H132">
        <v>3</v>
      </c>
    </row>
    <row r="133" spans="1:8" x14ac:dyDescent="0.25">
      <c r="A133" s="2">
        <v>16522</v>
      </c>
      <c r="B133" s="2" t="s">
        <v>4</v>
      </c>
      <c r="C133" s="2" t="str">
        <f t="shared" si="3"/>
        <v>8303442##</v>
      </c>
      <c r="D133" s="2"/>
      <c r="E133" s="2" t="str">
        <f>IFERROR(VLOOKUP(1*LEFT(C133,7),DF!$A$1:$F$9446,2,FALSE),"")</f>
        <v>CASQ RIP AZUL NOCHE 442 C/ABR</v>
      </c>
      <c r="F133" s="7">
        <v>8303442</v>
      </c>
      <c r="G133" t="s">
        <v>13306</v>
      </c>
      <c r="H133">
        <v>5</v>
      </c>
    </row>
    <row r="134" spans="1:8" x14ac:dyDescent="0.25">
      <c r="A134" s="2">
        <v>16522</v>
      </c>
      <c r="B134" s="2" t="s">
        <v>4</v>
      </c>
      <c r="C134" s="2" t="str">
        <f t="shared" si="3"/>
        <v>8303800##</v>
      </c>
      <c r="D134" s="2"/>
      <c r="E134" s="2" t="str">
        <f>IFERROR(VLOOKUP(1*LEFT(C134,7),DF!$A$1:$F$9446,2,FALSE),"")</f>
        <v>CASQ RIP AZUL NQUEN. RER</v>
      </c>
      <c r="F134">
        <v>8303800</v>
      </c>
      <c r="G134" t="s">
        <v>13307</v>
      </c>
      <c r="H134">
        <v>5</v>
      </c>
    </row>
    <row r="135" spans="1:8" x14ac:dyDescent="0.25">
      <c r="A135" s="2">
        <v>16522</v>
      </c>
      <c r="B135" s="2" t="s">
        <v>4</v>
      </c>
      <c r="C135" s="2" t="str">
        <f t="shared" si="3"/>
        <v>8303902##</v>
      </c>
      <c r="D135" s="2"/>
      <c r="E135" s="2" t="str">
        <f>IFERROR(VLOOKUP(1*LEFT(C135,7),DF!$A$1:$F$9446,2,FALSE),"")</f>
        <v>CASQ RIP BEIGE ABROJO</v>
      </c>
      <c r="F135">
        <v>8303902</v>
      </c>
      <c r="G135" t="s">
        <v>13308</v>
      </c>
      <c r="H135">
        <v>3</v>
      </c>
    </row>
    <row r="136" spans="1:8" x14ac:dyDescent="0.25">
      <c r="A136" s="2">
        <v>16522</v>
      </c>
      <c r="B136" s="2" t="s">
        <v>4</v>
      </c>
      <c r="C136" s="2" t="str">
        <f t="shared" si="3"/>
        <v>8303128##</v>
      </c>
      <c r="D136" s="2"/>
      <c r="E136" s="2" t="str">
        <f>IFERROR(VLOOKUP(1*LEFT(C136,7),DF!$A$1:$F$9446,2,FALSE),"")</f>
        <v>CASQ RIP DIGITAL ACU</v>
      </c>
      <c r="F136" s="7">
        <v>8303128</v>
      </c>
      <c r="G136" t="s">
        <v>13309</v>
      </c>
      <c r="H136">
        <v>5</v>
      </c>
    </row>
    <row r="137" spans="1:8" x14ac:dyDescent="0.25">
      <c r="A137" s="2">
        <v>16522</v>
      </c>
      <c r="B137" s="2" t="s">
        <v>4</v>
      </c>
      <c r="C137" s="2" t="str">
        <f t="shared" si="3"/>
        <v>8303113##</v>
      </c>
      <c r="D137" s="2"/>
      <c r="E137" s="2" t="str">
        <f>IFERROR(VLOOKUP(1*LEFT(C137,7),DF!$A$1:$F$9446,2,FALSE),"")</f>
        <v>CASQ RIP GRIS ABROJO</v>
      </c>
      <c r="F137">
        <v>8303113</v>
      </c>
      <c r="G137" t="s">
        <v>13310</v>
      </c>
      <c r="H137">
        <v>5</v>
      </c>
    </row>
    <row r="138" spans="1:8" x14ac:dyDescent="0.25">
      <c r="A138" s="2">
        <v>16522</v>
      </c>
      <c r="B138" s="2" t="s">
        <v>4</v>
      </c>
      <c r="C138" s="2" t="str">
        <f t="shared" si="3"/>
        <v>8303544##</v>
      </c>
      <c r="D138" s="2"/>
      <c r="E138" s="2" t="str">
        <f>IFERROR(VLOOKUP(1*LEFT(C138,7),DF!$A$1:$F$9446,2,FALSE),"")</f>
        <v>CASQ RIP INFANTERIA CON ABROJO</v>
      </c>
      <c r="F138">
        <v>8303544</v>
      </c>
      <c r="G138" t="s">
        <v>13311</v>
      </c>
      <c r="H138">
        <v>3</v>
      </c>
    </row>
    <row r="139" spans="1:8" x14ac:dyDescent="0.25">
      <c r="A139" s="2">
        <v>16522</v>
      </c>
      <c r="B139" s="2" t="s">
        <v>4</v>
      </c>
      <c r="C139" s="2" t="str">
        <f t="shared" si="3"/>
        <v>8303900##</v>
      </c>
      <c r="D139" s="2"/>
      <c r="E139" s="2" t="str">
        <f>IFERROR(VLOOKUP(1*LEFT(C139,7),DF!$A$1:$F$9446,2,FALSE),"")</f>
        <v>CASQ RIP NEGRO ABROJO</v>
      </c>
      <c r="F139">
        <v>8303900</v>
      </c>
      <c r="G139" t="s">
        <v>13312</v>
      </c>
      <c r="H139">
        <v>5</v>
      </c>
    </row>
    <row r="140" spans="1:8" x14ac:dyDescent="0.25">
      <c r="A140" s="2">
        <v>16522</v>
      </c>
      <c r="B140" s="2" t="s">
        <v>4</v>
      </c>
      <c r="C140" s="2" t="str">
        <f t="shared" si="3"/>
        <v>8303129##</v>
      </c>
      <c r="D140" s="2"/>
      <c r="E140" s="2" t="str">
        <f>IFERROR(VLOOKUP(1*LEFT(C140,7),DF!$A$1:$F$9446,2,FALSE),"")</f>
        <v>CASQ RIP NEGRO C/OJALILLOS IMP</v>
      </c>
      <c r="F140" s="7">
        <v>8303129</v>
      </c>
      <c r="G140" t="s">
        <v>13313</v>
      </c>
      <c r="H140">
        <v>5</v>
      </c>
    </row>
    <row r="141" spans="1:8" x14ac:dyDescent="0.25">
      <c r="A141" s="2">
        <v>16522</v>
      </c>
      <c r="B141" s="2" t="s">
        <v>4</v>
      </c>
      <c r="C141" s="2" t="str">
        <f t="shared" si="3"/>
        <v>8303701##</v>
      </c>
      <c r="D141" s="2"/>
      <c r="E141" s="2" t="str">
        <f>IFERROR(VLOOKUP(1*LEFT(C141,7),DF!$A$1:$F$9446,2,FALSE),"")</f>
        <v>CASQ RIP NEGRO NQUEN. VISERA BORDADA RER</v>
      </c>
      <c r="F141">
        <v>8303701</v>
      </c>
      <c r="G141" t="s">
        <v>13314</v>
      </c>
      <c r="H141">
        <v>5</v>
      </c>
    </row>
    <row r="142" spans="1:8" x14ac:dyDescent="0.25">
      <c r="A142" s="2">
        <v>16522</v>
      </c>
      <c r="B142" s="2" t="s">
        <v>4</v>
      </c>
      <c r="C142" s="2" t="str">
        <f t="shared" si="3"/>
        <v>8303007##</v>
      </c>
      <c r="D142" s="2"/>
      <c r="E142" s="2" t="str">
        <f>IFERROR(VLOOKUP(1*LEFT(C142,7),DF!$A$1:$F$9446,2,FALSE),"")</f>
        <v>CASQ RIP REQUISA</v>
      </c>
      <c r="F142">
        <v>8303007</v>
      </c>
      <c r="G142" t="s">
        <v>13315</v>
      </c>
      <c r="H142">
        <v>5</v>
      </c>
    </row>
    <row r="143" spans="1:8" x14ac:dyDescent="0.25">
      <c r="A143" s="2">
        <v>16522</v>
      </c>
      <c r="B143" s="2" t="s">
        <v>4</v>
      </c>
      <c r="C143" s="2" t="str">
        <f t="shared" si="3"/>
        <v>8303133##</v>
      </c>
      <c r="D143" s="2"/>
      <c r="E143" s="2" t="str">
        <f>IFERROR(VLOOKUP(1*LEFT(C143,7),DF!$A$1:$F$9446,2,FALSE),"")</f>
        <v>CASQ RIP RURAL  C/ABROJO</v>
      </c>
      <c r="F143">
        <v>8303133</v>
      </c>
      <c r="G143" t="s">
        <v>13316</v>
      </c>
      <c r="H143">
        <v>5</v>
      </c>
    </row>
    <row r="144" spans="1:8" x14ac:dyDescent="0.25">
      <c r="A144" s="2">
        <v>16522</v>
      </c>
      <c r="B144" s="2" t="s">
        <v>4</v>
      </c>
      <c r="C144" s="2" t="str">
        <f t="shared" si="3"/>
        <v>2401101##</v>
      </c>
      <c r="D144" s="2"/>
      <c r="E144" s="2" t="str">
        <f>IFERROR(VLOOKUP(1*LEFT(C144,7),DF!$A$1:$F$9446,2,FALSE),"")</f>
        <v>CHALECO ARNES ISARELI C/REFLACTARIORRD2B</v>
      </c>
      <c r="F144">
        <v>2401101</v>
      </c>
      <c r="G144" t="s">
        <v>13317</v>
      </c>
      <c r="H144">
        <v>5</v>
      </c>
    </row>
    <row r="145" spans="1:9" x14ac:dyDescent="0.25">
      <c r="A145">
        <v>16522</v>
      </c>
      <c r="B145" t="s">
        <v>4</v>
      </c>
      <c r="C145" t="str">
        <f t="shared" si="3"/>
        <v>2401242##</v>
      </c>
      <c r="E145" t="str">
        <f>IFERROR(VLOOKUP(1*LEFT(C145,7),DF!$A$1:$F$9446,2,FALSE),"")</f>
        <v>CHALECO ARNES ISRAELI MOLLE RRD1 BLK</v>
      </c>
      <c r="F145">
        <v>2401242</v>
      </c>
      <c r="G145" t="s">
        <v>13318</v>
      </c>
      <c r="H145">
        <v>3</v>
      </c>
    </row>
    <row r="146" spans="1:9" x14ac:dyDescent="0.25">
      <c r="A146">
        <v>16522</v>
      </c>
      <c r="B146" t="s">
        <v>4</v>
      </c>
      <c r="C146" t="str">
        <f t="shared" si="3"/>
        <v>2401550##</v>
      </c>
      <c r="E146" t="str">
        <f>IFERROR(VLOOKUP(1*LEFT(C146,7),DF!$A$1:$F$9446,2,FALSE),"")</f>
        <v>CHALECO ARNES VIAL VERDE GN RRD2b BLK</v>
      </c>
      <c r="F146">
        <v>2401550</v>
      </c>
      <c r="G146" t="s">
        <v>13319</v>
      </c>
      <c r="H146">
        <v>4</v>
      </c>
    </row>
    <row r="147" spans="1:9" x14ac:dyDescent="0.25">
      <c r="A147" s="2">
        <v>16522</v>
      </c>
      <c r="B147" s="2" t="s">
        <v>4</v>
      </c>
      <c r="C147" s="2" t="str">
        <f t="shared" si="3"/>
        <v>5102001##</v>
      </c>
      <c r="D147" s="2"/>
      <c r="E147" s="2" t="str">
        <f>IFERROR(VLOOKUP(1*LEFT(C147,7),DF!$A$1:$F$9446,2,FALSE),"")</f>
        <v>CHALECO BOMBERO C/REFLECIVA RER</v>
      </c>
      <c r="F147" s="7">
        <v>5102001</v>
      </c>
      <c r="G147" t="s">
        <v>13320</v>
      </c>
      <c r="H147">
        <v>3</v>
      </c>
    </row>
    <row r="148" spans="1:9" x14ac:dyDescent="0.25">
      <c r="A148">
        <v>16522</v>
      </c>
      <c r="B148" t="s">
        <v>7</v>
      </c>
      <c r="C148" t="str">
        <f t="shared" si="3"/>
        <v>5102001##</v>
      </c>
      <c r="E148" t="str">
        <f>IFERROR(VLOOKUP(1*LEFT(C148,7),DF!$A$1:$F$9446,2,FALSE),"")</f>
        <v>CHALECO BOMBERO C/REFLECIVA RER</v>
      </c>
      <c r="F148">
        <v>5102001</v>
      </c>
      <c r="G148" t="s">
        <v>13320</v>
      </c>
      <c r="H148">
        <v>3</v>
      </c>
    </row>
    <row r="149" spans="1:9" x14ac:dyDescent="0.25">
      <c r="A149" s="2">
        <v>16522</v>
      </c>
      <c r="B149" s="2" t="s">
        <v>4</v>
      </c>
      <c r="C149" s="2" t="str">
        <f t="shared" si="3"/>
        <v>2401584##</v>
      </c>
      <c r="D149" s="2"/>
      <c r="E149" s="2" t="str">
        <f>IFERROR(VLOOKUP(1*LEFT(C149,7),DF!$A$1:$F$9446,2,FALSE),"")</f>
        <v>CHALECO C/V LANA NEGRO MILIT EMTRI007 EM</v>
      </c>
      <c r="F149" s="7">
        <v>2401584</v>
      </c>
      <c r="G149" t="s">
        <v>13321</v>
      </c>
      <c r="H149">
        <v>3</v>
      </c>
      <c r="I149">
        <v>1</v>
      </c>
    </row>
    <row r="150" spans="1:9" x14ac:dyDescent="0.25">
      <c r="A150">
        <v>19599</v>
      </c>
      <c r="B150" t="s">
        <v>7</v>
      </c>
      <c r="C150" t="str">
        <f t="shared" si="3"/>
        <v>2401584##</v>
      </c>
      <c r="E150" t="str">
        <f>IFERROR(VLOOKUP(1*LEFT(C150,7),DF!$A$1:$F$9446,2,FALSE),"")</f>
        <v>CHALECO C/V LANA NEGRO MILIT EMTRI007 EM</v>
      </c>
      <c r="F150">
        <v>2401584</v>
      </c>
      <c r="G150" t="s">
        <v>13976</v>
      </c>
      <c r="H150">
        <v>3</v>
      </c>
      <c r="I150">
        <v>1</v>
      </c>
    </row>
    <row r="151" spans="1:9" x14ac:dyDescent="0.25">
      <c r="A151" s="2">
        <v>16522</v>
      </c>
      <c r="B151" s="2" t="s">
        <v>4</v>
      </c>
      <c r="C151" s="2" t="str">
        <f t="shared" si="3"/>
        <v>2401249##</v>
      </c>
      <c r="D151" s="2"/>
      <c r="E151" s="2" t="str">
        <f>IFERROR(VLOOKUP(1*LEFT(C151,7),DF!$A$1:$F$9446,2,FALSE),"")</f>
        <v>CHALECO CARRIER C/PORTA ELEM MAZ/RRD</v>
      </c>
      <c r="F151" s="7">
        <v>2401249</v>
      </c>
      <c r="G151" t="s">
        <v>13322</v>
      </c>
      <c r="H151">
        <v>8</v>
      </c>
    </row>
    <row r="152" spans="1:9" x14ac:dyDescent="0.25">
      <c r="A152">
        <v>16522</v>
      </c>
      <c r="B152" t="s">
        <v>7</v>
      </c>
      <c r="C152" t="str">
        <f t="shared" si="3"/>
        <v>2401249##</v>
      </c>
      <c r="E152" t="str">
        <f>IFERROR(VLOOKUP(1*LEFT(C152,7),DF!$A$1:$F$9446,2,FALSE),"")</f>
        <v>CHALECO CARRIER C/PORTA ELEM MAZ/RRD</v>
      </c>
      <c r="F152">
        <v>2401249</v>
      </c>
      <c r="G152" t="s">
        <v>13322</v>
      </c>
      <c r="H152">
        <v>8</v>
      </c>
    </row>
    <row r="153" spans="1:9" x14ac:dyDescent="0.25">
      <c r="A153" s="2">
        <v>16522</v>
      </c>
      <c r="B153" s="2" t="s">
        <v>4</v>
      </c>
      <c r="C153" s="2" t="str">
        <f t="shared" si="3"/>
        <v>2401022##</v>
      </c>
      <c r="D153" s="2"/>
      <c r="E153" s="2" t="str">
        <f>IFERROR(VLOOKUP(1*LEFT(C153,7),DF!$A$1:$F$9446,2,FALSE),"")</f>
        <v>CHALECO DE TRANSPORTE RIV / RRD5 RER</v>
      </c>
      <c r="F153" s="7">
        <v>2401022</v>
      </c>
      <c r="G153" t="s">
        <v>13323</v>
      </c>
      <c r="H153">
        <v>3</v>
      </c>
    </row>
    <row r="154" spans="1:9" x14ac:dyDescent="0.25">
      <c r="A154" s="2">
        <v>16522</v>
      </c>
      <c r="B154" s="2" t="s">
        <v>4</v>
      </c>
      <c r="C154" s="2" t="str">
        <f t="shared" si="3"/>
        <v>8708116##</v>
      </c>
      <c r="D154" s="2"/>
      <c r="E154" s="2" t="str">
        <f>IFERROR(VLOOKUP(1*LEFT(C154,7),DF!$A$1:$F$9446,2,FALSE),"")</f>
        <v>CHALECO FUNDA ALBATROS 5 ELEM RRD63 BLK</v>
      </c>
      <c r="F154" s="7">
        <v>8708116</v>
      </c>
      <c r="G154" t="s">
        <v>13324</v>
      </c>
      <c r="H154">
        <v>6</v>
      </c>
      <c r="I154">
        <v>1</v>
      </c>
    </row>
    <row r="155" spans="1:9" x14ac:dyDescent="0.25">
      <c r="A155" s="2">
        <v>16522</v>
      </c>
      <c r="B155" s="2" t="s">
        <v>4</v>
      </c>
      <c r="C155" s="2" t="str">
        <f t="shared" si="3"/>
        <v>8708113##</v>
      </c>
      <c r="D155" s="2"/>
      <c r="E155" s="2" t="str">
        <f>IFERROR(VLOOKUP(1*LEFT(C155,7),DF!$A$1:$F$9446,2,FALSE),"")</f>
        <v>CHALECO FUNDA ALPHA BALISTICA RRD42 BLK</v>
      </c>
      <c r="F155" s="7">
        <v>8708113</v>
      </c>
      <c r="G155" t="s">
        <v>13325</v>
      </c>
      <c r="H155">
        <v>4</v>
      </c>
      <c r="I155">
        <v>1</v>
      </c>
    </row>
    <row r="156" spans="1:9" x14ac:dyDescent="0.25">
      <c r="A156">
        <v>16522</v>
      </c>
      <c r="B156" t="s">
        <v>7</v>
      </c>
      <c r="C156" t="str">
        <f t="shared" si="3"/>
        <v>8708113##</v>
      </c>
      <c r="E156" t="str">
        <f>IFERROR(VLOOKUP(1*LEFT(C156,7),DF!$A$1:$F$9446,2,FALSE),"")</f>
        <v>CHALECO FUNDA ALPHA BALISTICA RRD42 BLK</v>
      </c>
      <c r="F156">
        <v>8708113</v>
      </c>
      <c r="G156" t="s">
        <v>13977</v>
      </c>
      <c r="H156">
        <v>4</v>
      </c>
      <c r="I156">
        <v>1</v>
      </c>
    </row>
    <row r="157" spans="1:9" x14ac:dyDescent="0.25">
      <c r="A157" s="2">
        <v>16522</v>
      </c>
      <c r="B157" s="2" t="s">
        <v>4</v>
      </c>
      <c r="C157" s="2" t="str">
        <f t="shared" si="3"/>
        <v>2401103##</v>
      </c>
      <c r="D157" s="2"/>
      <c r="E157" s="2" t="str">
        <f>IFERROR(VLOOKUP(1*LEFT(C157,7),DF!$A$1:$F$9446,2,FALSE),"")</f>
        <v>CHALECO FUNDA BALIST MOLLE RRD4 BLK</v>
      </c>
      <c r="F157" s="7">
        <v>2401103</v>
      </c>
      <c r="G157" t="s">
        <v>13326</v>
      </c>
      <c r="H157">
        <v>4</v>
      </c>
    </row>
    <row r="158" spans="1:9" x14ac:dyDescent="0.25">
      <c r="A158">
        <v>19599</v>
      </c>
      <c r="B158" t="s">
        <v>7</v>
      </c>
      <c r="C158" t="str">
        <f t="shared" si="3"/>
        <v>2401103##</v>
      </c>
      <c r="E158" t="str">
        <f>IFERROR(VLOOKUP(1*LEFT(C158,7),DF!$A$1:$F$9446,2,FALSE),"")</f>
        <v>CHALECO FUNDA BALIST MOLLE RRD4 BLK</v>
      </c>
      <c r="F158">
        <v>2401103</v>
      </c>
      <c r="G158" t="s">
        <v>13326</v>
      </c>
      <c r="H158">
        <v>4</v>
      </c>
    </row>
    <row r="159" spans="1:9" x14ac:dyDescent="0.25">
      <c r="A159" s="2">
        <v>16522</v>
      </c>
      <c r="B159" s="2" t="s">
        <v>4</v>
      </c>
      <c r="C159" s="2" t="str">
        <f t="shared" si="3"/>
        <v>8708111##</v>
      </c>
      <c r="D159" s="2"/>
      <c r="E159" s="2" t="str">
        <f>IFERROR(VLOOKUP(1*LEFT(C159,7),DF!$A$1:$F$9446,2,FALSE),"")</f>
        <v>CHALECO FUNDA BALISTICA BASICA RRD6 BLK</v>
      </c>
      <c r="F159" s="7">
        <v>8708111</v>
      </c>
      <c r="G159" t="s">
        <v>13327</v>
      </c>
      <c r="H159">
        <v>4</v>
      </c>
    </row>
    <row r="160" spans="1:9" x14ac:dyDescent="0.25">
      <c r="A160" s="2">
        <v>16522</v>
      </c>
      <c r="B160" s="2" t="s">
        <v>4</v>
      </c>
      <c r="C160" s="2" t="str">
        <f t="shared" ref="C160:C223" si="4">CONCATENATE(F160,"##")</f>
        <v>8708112##</v>
      </c>
      <c r="D160" s="2"/>
      <c r="E160" s="2" t="str">
        <f>IFERROR(VLOOKUP(1*LEFT(C160,7),DF!$A$1:$F$9446,2,FALSE),"")</f>
        <v>CHALECO FUNDA BALISTICA COMPL RRD7 BLK</v>
      </c>
      <c r="F160" s="7">
        <v>8708112</v>
      </c>
      <c r="G160" t="s">
        <v>13328</v>
      </c>
      <c r="H160">
        <v>7</v>
      </c>
    </row>
    <row r="161" spans="1:9" x14ac:dyDescent="0.25">
      <c r="A161">
        <v>16522</v>
      </c>
      <c r="B161" t="s">
        <v>7</v>
      </c>
      <c r="C161" t="str">
        <f t="shared" si="4"/>
        <v>8708112##</v>
      </c>
      <c r="E161" t="str">
        <f>IFERROR(VLOOKUP(1*LEFT(C161,7),DF!$A$1:$F$9446,2,FALSE),"")</f>
        <v>CHALECO FUNDA BALISTICA COMPL RRD7 BLK</v>
      </c>
      <c r="F161">
        <v>8708112</v>
      </c>
      <c r="G161" t="s">
        <v>13328</v>
      </c>
      <c r="H161">
        <v>7</v>
      </c>
    </row>
    <row r="162" spans="1:9" x14ac:dyDescent="0.25">
      <c r="A162">
        <v>16522</v>
      </c>
      <c r="B162" t="s">
        <v>4</v>
      </c>
      <c r="C162" t="str">
        <f t="shared" si="4"/>
        <v>8708999##</v>
      </c>
      <c r="E162" t="str">
        <f>IFERROR(VLOOKUP(1*LEFT(C162,7),DF!$A$1:$F$9446,2,FALSE),"")</f>
        <v>CHALECO FUNDA MAGAL CHICO MOLLE RRD/ET B</v>
      </c>
      <c r="F162">
        <v>8708999</v>
      </c>
      <c r="G162" t="s">
        <v>13329</v>
      </c>
      <c r="H162">
        <v>5</v>
      </c>
    </row>
    <row r="163" spans="1:9" x14ac:dyDescent="0.25">
      <c r="A163">
        <v>16522</v>
      </c>
      <c r="B163" t="s">
        <v>4</v>
      </c>
      <c r="C163" t="str">
        <f t="shared" si="4"/>
        <v>8708888##</v>
      </c>
      <c r="E163" t="str">
        <f>IFERROR(VLOOKUP(1*LEFT(C163,7),DF!$A$1:$F$9446,2,FALSE),"")</f>
        <v>CHALECO FUNDA MAGAL GRANDE MOLLE RRD/ET</v>
      </c>
      <c r="F163">
        <v>8708888</v>
      </c>
      <c r="G163" t="s">
        <v>13330</v>
      </c>
      <c r="H163">
        <v>5</v>
      </c>
    </row>
    <row r="164" spans="1:9" x14ac:dyDescent="0.25">
      <c r="A164" s="2">
        <v>16522</v>
      </c>
      <c r="B164" s="2" t="s">
        <v>4</v>
      </c>
      <c r="C164" s="2" t="str">
        <f t="shared" si="4"/>
        <v>8708300##</v>
      </c>
      <c r="D164" s="2"/>
      <c r="E164" s="2" t="str">
        <f>IFERROR(VLOOKUP(1*LEFT(C164,7),DF!$A$1:$F$9446,2,FALSE),"")</f>
        <v>CHALECO FUNDA MOLLE</v>
      </c>
      <c r="F164" s="7">
        <v>8708300</v>
      </c>
      <c r="G164" t="s">
        <v>13331</v>
      </c>
      <c r="H164">
        <v>4</v>
      </c>
    </row>
    <row r="165" spans="1:9" x14ac:dyDescent="0.25">
      <c r="A165">
        <v>19599</v>
      </c>
      <c r="B165" t="s">
        <v>7</v>
      </c>
      <c r="C165" t="str">
        <f t="shared" si="4"/>
        <v>8708300##</v>
      </c>
      <c r="E165" t="str">
        <f>IFERROR(VLOOKUP(1*LEFT(C165,7),DF!$A$1:$F$9446,2,FALSE),"")</f>
        <v>CHALECO FUNDA MOLLE</v>
      </c>
      <c r="F165">
        <v>8708300</v>
      </c>
      <c r="G165" t="s">
        <v>13331</v>
      </c>
      <c r="H165">
        <v>4</v>
      </c>
    </row>
    <row r="166" spans="1:9" x14ac:dyDescent="0.25">
      <c r="A166" s="2">
        <v>16522</v>
      </c>
      <c r="B166" s="2" t="s">
        <v>4</v>
      </c>
      <c r="C166" s="2" t="str">
        <f t="shared" si="4"/>
        <v>8708301##</v>
      </c>
      <c r="D166" s="2"/>
      <c r="E166" s="2" t="str">
        <f>IFERROR(VLOOKUP(1*LEFT(C166,7),DF!$A$1:$F$9446,2,FALSE),"")</f>
        <v>CHALECO FUNDA MOLLE PORTA NIVEL2</v>
      </c>
      <c r="F166" s="7">
        <v>8708301</v>
      </c>
      <c r="G166" t="s">
        <v>13332</v>
      </c>
      <c r="H166">
        <v>4</v>
      </c>
      <c r="I166">
        <v>1</v>
      </c>
    </row>
    <row r="167" spans="1:9" x14ac:dyDescent="0.25">
      <c r="A167" s="2">
        <v>16522</v>
      </c>
      <c r="B167" s="2" t="s">
        <v>4</v>
      </c>
      <c r="C167" s="2" t="str">
        <f t="shared" si="4"/>
        <v>2401806##</v>
      </c>
      <c r="D167" s="2"/>
      <c r="E167" s="2" t="str">
        <f>IFERROR(VLOOKUP(1*LEFT(C167,7),DF!$A$1:$F$9446,2,FALSE),"")</f>
        <v>CHALECO ISRAELI HALCON MAZ</v>
      </c>
      <c r="F167">
        <v>2401806</v>
      </c>
      <c r="G167" t="s">
        <v>14099</v>
      </c>
      <c r="H167">
        <v>4</v>
      </c>
    </row>
    <row r="168" spans="1:9" x14ac:dyDescent="0.25">
      <c r="A168" s="2">
        <v>16522</v>
      </c>
      <c r="B168" s="2" t="s">
        <v>4</v>
      </c>
      <c r="C168" s="2" t="str">
        <f t="shared" si="4"/>
        <v>2401298##</v>
      </c>
      <c r="D168" s="2"/>
      <c r="E168" s="2" t="str">
        <f>IFERROR(VLOOKUP(1*LEFT(C168,7),DF!$A$1:$F$9446,2,FALSE),"")</f>
        <v>CHALECO LANA AZUL MILTAR RER</v>
      </c>
      <c r="F168" s="7">
        <v>2401298</v>
      </c>
      <c r="G168" t="s">
        <v>13333</v>
      </c>
      <c r="H168">
        <v>3</v>
      </c>
      <c r="I168">
        <v>1</v>
      </c>
    </row>
    <row r="169" spans="1:9" x14ac:dyDescent="0.25">
      <c r="A169">
        <v>19599</v>
      </c>
      <c r="B169" t="s">
        <v>7</v>
      </c>
      <c r="C169" t="str">
        <f t="shared" si="4"/>
        <v>2401298##</v>
      </c>
      <c r="E169" t="str">
        <f>IFERROR(VLOOKUP(1*LEFT(C169,7),DF!$A$1:$F$9446,2,FALSE),"")</f>
        <v>CHALECO LANA AZUL MILTAR RER</v>
      </c>
      <c r="F169" s="23">
        <v>2401298</v>
      </c>
      <c r="G169" t="s">
        <v>13978</v>
      </c>
      <c r="H169">
        <v>3</v>
      </c>
      <c r="I169">
        <v>1</v>
      </c>
    </row>
    <row r="170" spans="1:9" x14ac:dyDescent="0.25">
      <c r="A170">
        <v>16522</v>
      </c>
      <c r="B170" t="s">
        <v>4</v>
      </c>
      <c r="C170" t="str">
        <f t="shared" si="4"/>
        <v>8708651##</v>
      </c>
      <c r="E170" t="str">
        <f>IFERROR(VLOOKUP(1*LEFT(C170,7),DF!$A$1:$F$9446,2,FALSE),"")</f>
        <v>CHALECO TACTICO MOLLE AIRSOFT/PAINTBALL</v>
      </c>
      <c r="F170">
        <v>8708651</v>
      </c>
      <c r="G170" t="s">
        <v>13334</v>
      </c>
      <c r="H170">
        <v>5</v>
      </c>
    </row>
    <row r="171" spans="1:9" x14ac:dyDescent="0.25">
      <c r="A171" s="2">
        <v>16522</v>
      </c>
      <c r="B171" s="2" t="s">
        <v>4</v>
      </c>
      <c r="C171" s="2" t="str">
        <f t="shared" si="4"/>
        <v>2401100##</v>
      </c>
      <c r="D171" s="2"/>
      <c r="E171" s="2" t="str">
        <f>IFERROR(VLOOKUP(1*LEFT(C171,7),DF!$A$1:$F$9446,2,FALSE),"")</f>
        <v>CHALECO TACTICO RRD3 BLK</v>
      </c>
      <c r="F171" s="7">
        <v>2401100</v>
      </c>
      <c r="G171" t="s">
        <v>13335</v>
      </c>
      <c r="H171">
        <v>3</v>
      </c>
    </row>
    <row r="172" spans="1:9" x14ac:dyDescent="0.25">
      <c r="A172" s="2">
        <v>16522</v>
      </c>
      <c r="B172" s="2" t="s">
        <v>4</v>
      </c>
      <c r="C172" s="2" t="str">
        <f t="shared" si="4"/>
        <v>8307810##</v>
      </c>
      <c r="D172" s="2"/>
      <c r="E172" s="2" t="str">
        <f>IFERROR(VLOOKUP(1*LEFT(C172,7),DF!$A$1:$F$9446,2,FALSE),"")</f>
        <v>CHAMBERGO DE PELO DE LIEBRE RER</v>
      </c>
      <c r="F172" s="7">
        <v>8307810</v>
      </c>
      <c r="G172" t="s">
        <v>13336</v>
      </c>
      <c r="H172">
        <v>5</v>
      </c>
    </row>
    <row r="173" spans="1:9" x14ac:dyDescent="0.25">
      <c r="A173">
        <v>16522</v>
      </c>
      <c r="B173" t="s">
        <v>4</v>
      </c>
      <c r="C173" t="str">
        <f t="shared" si="4"/>
        <v>5320787##</v>
      </c>
      <c r="E173" t="str">
        <f>IFERROR(VLOOKUP(1*LEFT(C173,7),DF!$A$1:$F$9446,2,FALSE),"")</f>
        <v>CHAQUETILLA POLICIA/PENIT 176N0110 FC</v>
      </c>
      <c r="F173">
        <v>5320787</v>
      </c>
      <c r="G173" t="s">
        <v>13337</v>
      </c>
      <c r="H173">
        <v>3</v>
      </c>
    </row>
    <row r="174" spans="1:9" x14ac:dyDescent="0.25">
      <c r="A174" s="2">
        <v>16522</v>
      </c>
      <c r="B174" s="2" t="s">
        <v>4</v>
      </c>
      <c r="C174" s="2" t="str">
        <f t="shared" si="4"/>
        <v>2101300##</v>
      </c>
      <c r="D174" s="2"/>
      <c r="E174" s="2" t="str">
        <f>IFERROR(VLOOKUP(1*LEFT(C174,7),DF!$A$1:$F$9446,2,FALSE),"")</f>
        <v>CHOMBA MC CIERRE CIENTIFICA RER</v>
      </c>
      <c r="F174" s="7">
        <v>2101300</v>
      </c>
      <c r="G174" t="s">
        <v>13338</v>
      </c>
      <c r="H174">
        <v>3</v>
      </c>
      <c r="I174">
        <v>1</v>
      </c>
    </row>
    <row r="175" spans="1:9" x14ac:dyDescent="0.25">
      <c r="A175">
        <v>16522</v>
      </c>
      <c r="B175" t="s">
        <v>4</v>
      </c>
      <c r="C175" t="str">
        <f t="shared" si="4"/>
        <v>8601050##</v>
      </c>
      <c r="E175" t="str">
        <f>IFERROR(VLOOKUP(1*LEFT(C175,7),DF!$A$1:$F$9446,2,FALSE),"")</f>
        <v>CINTA DUCT TAPE DOBLE TELA SILVER PLATEA</v>
      </c>
      <c r="F175">
        <v>8601050</v>
      </c>
      <c r="G175" t="s">
        <v>13339</v>
      </c>
      <c r="H175">
        <v>4</v>
      </c>
    </row>
    <row r="176" spans="1:9" x14ac:dyDescent="0.25">
      <c r="A176">
        <v>16522</v>
      </c>
      <c r="B176" t="s">
        <v>4</v>
      </c>
      <c r="C176" t="str">
        <f t="shared" si="4"/>
        <v>8701093##</v>
      </c>
      <c r="E176" t="str">
        <f>IFERROR(VLOOKUP(1*LEFT(C176,7),DF!$A$1:$F$9446,2,FALSE),"")</f>
        <v>CINTO DELTA XTL 549 BEIGE XTR</v>
      </c>
      <c r="F176">
        <v>8701093</v>
      </c>
      <c r="G176" t="s">
        <v>13340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si="4"/>
        <v>8701090##</v>
      </c>
      <c r="E177" t="str">
        <f>IFERROR(VLOOKUP(1*LEFT(C177,7),DF!$A$1:$F$9446,2,FALSE),"")</f>
        <v>CINTO DELTA XTL 549 NEGRO XTR</v>
      </c>
      <c r="F177">
        <v>8701090</v>
      </c>
      <c r="G177" t="s">
        <v>13341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4"/>
        <v>8701092##</v>
      </c>
      <c r="E178" t="str">
        <f>IFERROR(VLOOKUP(1*LEFT(C178,7),DF!$A$1:$F$9446,2,FALSE),"")</f>
        <v>CINTO DELTA XTL 549 VERDE XTR</v>
      </c>
      <c r="F178">
        <v>8701092</v>
      </c>
      <c r="G178" t="s">
        <v>13342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4"/>
        <v>8701750##</v>
      </c>
      <c r="E179" t="str">
        <f>IFERROR(VLOOKUP(1*LEFT(C179,7),DF!$A$1:$F$9446,2,FALSE),"")</f>
        <v>CINTURON AMERIC GRIS T650 TB</v>
      </c>
      <c r="F179">
        <v>8701750</v>
      </c>
      <c r="G179" t="s">
        <v>13343</v>
      </c>
      <c r="H179">
        <v>2</v>
      </c>
    </row>
    <row r="180" spans="1:8" x14ac:dyDescent="0.25">
      <c r="A180">
        <v>16522</v>
      </c>
      <c r="B180" t="s">
        <v>4</v>
      </c>
      <c r="C180" t="str">
        <f t="shared" si="4"/>
        <v>8701541##</v>
      </c>
      <c r="E180" t="str">
        <f>IFERROR(VLOOKUP(1*LEFT(C180,7),DF!$A$1:$F$9446,2,FALSE),"")</f>
        <v>CINTURON AMERIC TRIPLE SEG 016 H RED RER</v>
      </c>
      <c r="F180">
        <v>8701541</v>
      </c>
      <c r="G180" t="s">
        <v>13344</v>
      </c>
      <c r="H180">
        <v>3</v>
      </c>
    </row>
    <row r="181" spans="1:8" x14ac:dyDescent="0.25">
      <c r="A181" s="2">
        <v>16522</v>
      </c>
      <c r="B181" s="2" t="s">
        <v>4</v>
      </c>
      <c r="C181" s="2" t="str">
        <f t="shared" si="4"/>
        <v>8701542##</v>
      </c>
      <c r="D181" s="2"/>
      <c r="E181" s="2" t="str">
        <f>IFERROR(VLOOKUP(1*LEFT(C181,7),DF!$A$1:$F$9446,2,FALSE),"")</f>
        <v>CINTURON AMERIC TRIPLE SEG 018 H CUA RER</v>
      </c>
      <c r="F181" s="7">
        <v>8701542</v>
      </c>
      <c r="G181" t="s">
        <v>13345</v>
      </c>
      <c r="H181">
        <v>4</v>
      </c>
    </row>
    <row r="182" spans="1:8" x14ac:dyDescent="0.25">
      <c r="A182">
        <v>16522</v>
      </c>
      <c r="B182" t="s">
        <v>4</v>
      </c>
      <c r="C182" t="str">
        <f t="shared" si="4"/>
        <v>8701999##</v>
      </c>
      <c r="E182" t="str">
        <f>IFERROR(VLOOKUP(1*LEFT(C182,7),DF!$A$1:$F$9446,2,FALSE),"")</f>
        <v>CINTURON CUERO 30 MM LMGE RER</v>
      </c>
      <c r="F182">
        <v>8701999</v>
      </c>
      <c r="G182" t="s">
        <v>13346</v>
      </c>
      <c r="H182">
        <v>4</v>
      </c>
    </row>
    <row r="183" spans="1:8" x14ac:dyDescent="0.25">
      <c r="A183">
        <v>16522</v>
      </c>
      <c r="B183" t="s">
        <v>4</v>
      </c>
      <c r="C183" t="str">
        <f t="shared" si="4"/>
        <v>8701735##</v>
      </c>
      <c r="E183" t="str">
        <f>IFERROR(VLOOKUP(1*LEFT(C183,7),DF!$A$1:$F$9446,2,FALSE),"")</f>
        <v>CINTURON CUERO OFICAL SIN DADO 1050 TB</v>
      </c>
      <c r="F183">
        <v>8701735</v>
      </c>
      <c r="G183" t="s">
        <v>13347</v>
      </c>
      <c r="H183">
        <v>4</v>
      </c>
    </row>
    <row r="184" spans="1:8" x14ac:dyDescent="0.25">
      <c r="A184">
        <v>16522</v>
      </c>
      <c r="B184" t="s">
        <v>4</v>
      </c>
      <c r="C184" t="str">
        <f t="shared" si="4"/>
        <v>8701033##</v>
      </c>
      <c r="E184" t="str">
        <f>IFERROR(VLOOKUP(1*LEFT(C184,7),DF!$A$1:$F$9446,2,FALSE),"")</f>
        <v>CINTURON CUERO OFICIAL CON DADO 1033 TB</v>
      </c>
      <c r="F184">
        <v>8701033</v>
      </c>
      <c r="G184" t="s">
        <v>13348</v>
      </c>
      <c r="H184">
        <v>3</v>
      </c>
    </row>
    <row r="185" spans="1:8" x14ac:dyDescent="0.25">
      <c r="A185">
        <v>16522</v>
      </c>
      <c r="B185" t="s">
        <v>4</v>
      </c>
      <c r="C185" t="str">
        <f t="shared" si="4"/>
        <v>8701856##</v>
      </c>
      <c r="E185" t="str">
        <f>IFERROR(VLOOKUP(1*LEFT(C185,7),DF!$A$1:$F$9446,2,FALSE),"")</f>
        <v>CINTURON RERDA DOBLEACCION GRIS RER</v>
      </c>
      <c r="F185">
        <v>8701856</v>
      </c>
      <c r="G185" t="s">
        <v>13349</v>
      </c>
      <c r="H185">
        <v>3</v>
      </c>
    </row>
    <row r="186" spans="1:8" x14ac:dyDescent="0.25">
      <c r="A186">
        <v>16522</v>
      </c>
      <c r="B186" t="s">
        <v>4</v>
      </c>
      <c r="C186" t="str">
        <f t="shared" si="4"/>
        <v>8701575##</v>
      </c>
      <c r="E186" t="str">
        <f>IFERROR(VLOOKUP(1*LEFT(C186,7),DF!$A$1:$F$9446,2,FALSE),"")</f>
        <v>CINTURON TACTICO C/HEBILLA METALICA 5575</v>
      </c>
      <c r="F186">
        <v>8701575</v>
      </c>
      <c r="G186" t="s">
        <v>13350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4"/>
        <v>8701495##</v>
      </c>
      <c r="E187" t="str">
        <f>IFERROR(VLOOKUP(1*LEFT(C187,7),DF!$A$1:$F$9446,2,FALSE),"")</f>
        <v>CINTURON TACTICO URBANO CHICO  5494/2</v>
      </c>
      <c r="F187">
        <v>8701495</v>
      </c>
      <c r="G187" t="s">
        <v>13351</v>
      </c>
      <c r="H187">
        <v>4</v>
      </c>
    </row>
    <row r="188" spans="1:8" x14ac:dyDescent="0.25">
      <c r="A188">
        <v>16522</v>
      </c>
      <c r="B188" t="s">
        <v>4</v>
      </c>
      <c r="C188" t="str">
        <f t="shared" si="4"/>
        <v>8701494##</v>
      </c>
      <c r="E188" t="str">
        <f>IFERROR(VLOOKUP(1*LEFT(C188,7),DF!$A$1:$F$9446,2,FALSE),"")</f>
        <v>CINTURON TACTICO URBANO GRANDE  5494/3</v>
      </c>
      <c r="F188">
        <v>8701494</v>
      </c>
      <c r="G188" t="s">
        <v>13352</v>
      </c>
      <c r="H188">
        <v>4</v>
      </c>
    </row>
    <row r="189" spans="1:8" x14ac:dyDescent="0.25">
      <c r="A189">
        <v>16522</v>
      </c>
      <c r="B189" t="s">
        <v>4</v>
      </c>
      <c r="C189" t="str">
        <f t="shared" si="4"/>
        <v>8614015##</v>
      </c>
      <c r="E189" t="str">
        <f>IFERROR(VLOOKUP(1*LEFT(C189,7),DF!$A$1:$F$9446,2,FALSE),"")</f>
        <v>COLCHON INFLABLE AVENLI 1 PLAZA 20411</v>
      </c>
      <c r="F189">
        <v>8614015</v>
      </c>
      <c r="G189" t="s">
        <v>13353</v>
      </c>
      <c r="H189">
        <v>5</v>
      </c>
    </row>
    <row r="190" spans="1:8" x14ac:dyDescent="0.25">
      <c r="A190">
        <v>16522</v>
      </c>
      <c r="B190" t="s">
        <v>4</v>
      </c>
      <c r="C190" t="str">
        <f t="shared" si="4"/>
        <v>8614016##</v>
      </c>
      <c r="E190" t="str">
        <f>IFERROR(VLOOKUP(1*LEFT(C190,7),DF!$A$1:$F$9446,2,FALSE),"")</f>
        <v>COLCHON INFLABLE AVENLI 2 PLAZA 20256</v>
      </c>
      <c r="F190">
        <v>8614016</v>
      </c>
      <c r="G190" t="s">
        <v>13354</v>
      </c>
      <c r="H190">
        <v>4</v>
      </c>
    </row>
    <row r="191" spans="1:8" x14ac:dyDescent="0.25">
      <c r="A191" s="2">
        <v>16522</v>
      </c>
      <c r="B191" s="2" t="s">
        <v>4</v>
      </c>
      <c r="C191" t="str">
        <f t="shared" si="4"/>
        <v>3101103##</v>
      </c>
      <c r="D191" s="2"/>
      <c r="E191" s="2" t="str">
        <f>IFERROR(VLOOKUP(1*LEFT(C191,7),DF!$A$1:$F$9446,2,FALSE),"")</f>
        <v>CONJ DEPORTIVO AGENTES INFOPE RER</v>
      </c>
      <c r="F191" s="1">
        <v>3101103</v>
      </c>
      <c r="G191" t="s">
        <v>14316</v>
      </c>
      <c r="H191">
        <v>4</v>
      </c>
    </row>
    <row r="192" spans="1:8" x14ac:dyDescent="0.25">
      <c r="A192" s="2">
        <v>16522</v>
      </c>
      <c r="B192" s="2" t="s">
        <v>4</v>
      </c>
      <c r="C192" t="str">
        <f t="shared" si="4"/>
        <v>3101024##</v>
      </c>
      <c r="D192" s="2"/>
      <c r="E192" s="2" t="str">
        <f>IFERROR(VLOOKUP(1*LEFT(C192,7),DF!$A$1:$F$9446,2,FALSE),"")</f>
        <v>CONJ DEPORTIVO AUXILIAR IUSP RER</v>
      </c>
      <c r="F192" s="1">
        <v>3101024</v>
      </c>
      <c r="G192" t="s">
        <v>14318</v>
      </c>
      <c r="H192">
        <v>4</v>
      </c>
    </row>
    <row r="193" spans="1:8" x14ac:dyDescent="0.25">
      <c r="A193" s="2">
        <v>16522</v>
      </c>
      <c r="B193" s="2" t="s">
        <v>4</v>
      </c>
      <c r="C193" t="str">
        <f t="shared" si="4"/>
        <v>3101102##</v>
      </c>
      <c r="D193" s="2"/>
      <c r="E193" s="2" t="str">
        <f>IFERROR(VLOOKUP(1*LEFT(C193,7),DF!$A$1:$F$9446,2,FALSE),"")</f>
        <v>CONJ DEPORTIVO TECNICO INFOPE RER</v>
      </c>
      <c r="F193" s="1">
        <v>3101102</v>
      </c>
      <c r="G193" t="s">
        <v>14317</v>
      </c>
      <c r="H193">
        <v>4</v>
      </c>
    </row>
    <row r="194" spans="1:8" x14ac:dyDescent="0.25">
      <c r="A194" s="2">
        <v>16522</v>
      </c>
      <c r="B194" s="2" t="s">
        <v>4</v>
      </c>
      <c r="C194" t="str">
        <f t="shared" si="4"/>
        <v>3101370##</v>
      </c>
      <c r="D194" s="2"/>
      <c r="E194" s="2" t="str">
        <f>IFERROR(VLOOKUP(1*LEFT(C194,7),DF!$A$1:$F$9446,2,FALSE),"")</f>
        <v>CONJ DEPORTIVO TECNICO IUSP RER</v>
      </c>
      <c r="F194" s="1">
        <v>3101370</v>
      </c>
      <c r="G194" t="s">
        <v>14319</v>
      </c>
      <c r="H194">
        <v>4</v>
      </c>
    </row>
    <row r="195" spans="1:8" x14ac:dyDescent="0.25">
      <c r="A195" s="2">
        <v>16522</v>
      </c>
      <c r="B195" s="2" t="s">
        <v>4</v>
      </c>
      <c r="C195" s="2" t="str">
        <f t="shared" si="4"/>
        <v>8518753##</v>
      </c>
      <c r="D195" s="2"/>
      <c r="E195" s="2" t="str">
        <f>IFERROR(VLOOKUP(1*LEFT(C195,7),DF!$A$1:$F$9446,2,FALSE),"")</f>
        <v>CONJ MASCARA NEOPRENE Y GAFAS RER</v>
      </c>
      <c r="F195">
        <v>8518753</v>
      </c>
      <c r="G195" t="s">
        <v>13355</v>
      </c>
      <c r="H195">
        <v>3</v>
      </c>
    </row>
    <row r="196" spans="1:8" x14ac:dyDescent="0.25">
      <c r="A196" s="2">
        <v>16522</v>
      </c>
      <c r="B196" s="2" t="s">
        <v>4</v>
      </c>
      <c r="C196" s="2" t="str">
        <f t="shared" si="4"/>
        <v>3101949##</v>
      </c>
      <c r="D196" s="2"/>
      <c r="E196" s="2" t="str">
        <f>IFERROR(VLOOKUP(1*LEFT(C196,7),DF!$A$1:$F$9446,2,FALSE),"")</f>
        <v>CONJUNTO 1RA PIEL NEG/VER ART 0948532016</v>
      </c>
      <c r="F196">
        <v>3101949</v>
      </c>
      <c r="G196" t="s">
        <v>13356</v>
      </c>
      <c r="H196">
        <v>2</v>
      </c>
    </row>
    <row r="197" spans="1:8" x14ac:dyDescent="0.25">
      <c r="A197">
        <v>16522</v>
      </c>
      <c r="B197" t="s">
        <v>7</v>
      </c>
      <c r="C197" t="str">
        <f t="shared" si="4"/>
        <v>3101489##</v>
      </c>
      <c r="E197" t="str">
        <f>IFERROR(VLOOKUP(1*LEFT(C197,7),DF!$A$1:$F$9446,2,FALSE),"")</f>
        <v>CONJUNTO 1RA PIEL RER</v>
      </c>
      <c r="F197">
        <v>3101489</v>
      </c>
      <c r="G197" t="s">
        <v>13983</v>
      </c>
      <c r="H197">
        <v>3</v>
      </c>
    </row>
    <row r="198" spans="1:8" x14ac:dyDescent="0.25">
      <c r="A198" s="2">
        <v>16522</v>
      </c>
      <c r="B198" s="2" t="s">
        <v>4</v>
      </c>
      <c r="C198" s="2" t="str">
        <f t="shared" si="4"/>
        <v>8515760##</v>
      </c>
      <c r="D198" s="2"/>
      <c r="E198" s="2" t="str">
        <f>IFERROR(VLOOKUP(1*LEFT(C198,7),DF!$A$1:$F$9446,2,FALSE),"")</f>
        <v>CORBATA UNIFORME GRIS JLC</v>
      </c>
      <c r="F198">
        <v>8515760</v>
      </c>
      <c r="G198" t="s">
        <v>13357</v>
      </c>
      <c r="H198">
        <v>1</v>
      </c>
    </row>
    <row r="199" spans="1:8" x14ac:dyDescent="0.25">
      <c r="A199" s="2">
        <v>16522</v>
      </c>
      <c r="B199" s="2" t="s">
        <v>4</v>
      </c>
      <c r="C199" s="2" t="str">
        <f t="shared" si="4"/>
        <v>8515749##</v>
      </c>
      <c r="D199" s="2"/>
      <c r="E199" s="2" t="str">
        <f>IFERROR(VLOOKUP(1*LEFT(C199,7),DF!$A$1:$F$9446,2,FALSE),"")</f>
        <v>CORBATA UNIFORME MARRON JLC</v>
      </c>
      <c r="F199">
        <v>8515749</v>
      </c>
      <c r="G199" t="s">
        <v>13358</v>
      </c>
      <c r="H199">
        <v>1</v>
      </c>
    </row>
    <row r="200" spans="1:8" x14ac:dyDescent="0.25">
      <c r="A200" s="2">
        <v>16522</v>
      </c>
      <c r="B200" s="2" t="s">
        <v>4</v>
      </c>
      <c r="C200" s="2" t="str">
        <f t="shared" si="4"/>
        <v>8515740##</v>
      </c>
      <c r="D200" s="2"/>
      <c r="E200" s="2" t="str">
        <f>IFERROR(VLOOKUP(1*LEFT(C200,7),DF!$A$1:$F$9446,2,FALSE),"")</f>
        <v>CORBATA UNIFORME VERDE JLC</v>
      </c>
      <c r="F200">
        <v>8515740</v>
      </c>
      <c r="G200" t="s">
        <v>13359</v>
      </c>
      <c r="H200">
        <v>1</v>
      </c>
    </row>
    <row r="201" spans="1:8" x14ac:dyDescent="0.25">
      <c r="A201">
        <v>16522</v>
      </c>
      <c r="B201" t="s">
        <v>4</v>
      </c>
      <c r="C201" t="str">
        <f t="shared" si="4"/>
        <v>8508132##</v>
      </c>
      <c r="E201" t="str">
        <f>IFERROR(VLOOKUP(1*LEFT(C201,7),DF!$A$1:$F$9446,2,FALSE),"")</f>
        <v>CREMA PARA BORCEGUIES RER</v>
      </c>
      <c r="F201">
        <v>8508132</v>
      </c>
      <c r="G201" t="s">
        <v>13360</v>
      </c>
      <c r="H201">
        <v>2</v>
      </c>
    </row>
    <row r="202" spans="1:8" x14ac:dyDescent="0.25">
      <c r="A202">
        <v>16522</v>
      </c>
      <c r="B202" t="s">
        <v>4</v>
      </c>
      <c r="C202" t="str">
        <f t="shared" si="4"/>
        <v>8521024##</v>
      </c>
      <c r="E202" t="str">
        <f>IFERROR(VLOOKUP(1*LEFT(C202,7),DF!$A$1:$F$9446,2,FALSE),"")</f>
        <v>CUCHILLO 2175 27CM</v>
      </c>
      <c r="F202">
        <v>8521024</v>
      </c>
      <c r="G202" t="s">
        <v>13361</v>
      </c>
      <c r="H202">
        <v>4</v>
      </c>
    </row>
    <row r="203" spans="1:8" x14ac:dyDescent="0.25">
      <c r="A203" s="2">
        <v>16522</v>
      </c>
      <c r="B203" s="2" t="s">
        <v>4</v>
      </c>
      <c r="C203" s="2" t="str">
        <f t="shared" si="4"/>
        <v>8521040##</v>
      </c>
      <c r="D203" s="2"/>
      <c r="E203" s="2" t="str">
        <f>IFERROR(VLOOKUP(1*LEFT(C203,7),DF!$A$1:$F$9446,2,FALSE),"")</f>
        <v>CUCHILLO DA1 FUNDA NEGRA</v>
      </c>
      <c r="F203">
        <v>8521040</v>
      </c>
      <c r="G203" t="s">
        <v>13362</v>
      </c>
      <c r="H203">
        <v>6</v>
      </c>
    </row>
    <row r="204" spans="1:8" x14ac:dyDescent="0.25">
      <c r="A204">
        <v>16522</v>
      </c>
      <c r="B204" t="s">
        <v>4</v>
      </c>
      <c r="C204" t="str">
        <f t="shared" si="4"/>
        <v>8521102##</v>
      </c>
      <c r="E204" t="str">
        <f>IFERROR(VLOOKUP(1*LEFT(C204,7),DF!$A$1:$F$9446,2,FALSE),"")</f>
        <v>CUCHILLO NEGRO C/FUNDA Y AFILADOR 0812-14 IMP</v>
      </c>
      <c r="F204">
        <v>8521102</v>
      </c>
      <c r="G204" t="s">
        <v>13363</v>
      </c>
      <c r="H204">
        <v>10</v>
      </c>
    </row>
    <row r="205" spans="1:8" x14ac:dyDescent="0.25">
      <c r="A205" s="2">
        <v>16522</v>
      </c>
      <c r="B205" s="2" t="s">
        <v>4</v>
      </c>
      <c r="C205" s="2" t="str">
        <f t="shared" si="4"/>
        <v>7709204##</v>
      </c>
      <c r="D205" s="2"/>
      <c r="E205" s="2" t="str">
        <f>IFERROR(VLOOKUP(1*LEFT(C205,7),DF!$A$1:$F$9446,2,FALSE),"")</f>
        <v>ESC BORD CATACPOL</v>
      </c>
      <c r="F205">
        <v>7709204</v>
      </c>
      <c r="G205" t="s">
        <v>13364</v>
      </c>
      <c r="H205">
        <v>1</v>
      </c>
    </row>
    <row r="206" spans="1:8" x14ac:dyDescent="0.25">
      <c r="A206" s="2">
        <v>16522</v>
      </c>
      <c r="B206" s="2" t="s">
        <v>4</v>
      </c>
      <c r="C206" s="2" t="str">
        <f t="shared" si="4"/>
        <v>7709203##</v>
      </c>
      <c r="D206" s="2"/>
      <c r="E206" s="2" t="str">
        <f>IFERROR(VLOOKUP(1*LEFT(C206,7),DF!$A$1:$F$9446,2,FALSE),"")</f>
        <v>ESC BORD CATACPOL   BAJA VISIV</v>
      </c>
      <c r="F206">
        <v>7709203</v>
      </c>
      <c r="G206" t="s">
        <v>13365</v>
      </c>
      <c r="H206">
        <v>1</v>
      </c>
    </row>
    <row r="207" spans="1:8" x14ac:dyDescent="0.25">
      <c r="A207" s="2">
        <v>16522</v>
      </c>
      <c r="B207" s="2" t="s">
        <v>4</v>
      </c>
      <c r="C207" s="2" t="str">
        <f t="shared" si="4"/>
        <v>7709440##</v>
      </c>
      <c r="D207" s="2"/>
      <c r="E207" s="2" t="str">
        <f>IFERROR(VLOOKUP(1*LEFT(C207,7),DF!$A$1:$F$9446,2,FALSE),"")</f>
        <v>ESC BORD CATAM. POL OFICIAL 36</v>
      </c>
      <c r="F207">
        <v>7709440</v>
      </c>
      <c r="G207" t="s">
        <v>13366</v>
      </c>
      <c r="H207">
        <v>1</v>
      </c>
    </row>
    <row r="208" spans="1:8" x14ac:dyDescent="0.25">
      <c r="A208">
        <v>16522</v>
      </c>
      <c r="B208" t="s">
        <v>4</v>
      </c>
      <c r="C208" t="str">
        <f t="shared" si="4"/>
        <v>7709459##</v>
      </c>
      <c r="E208" t="str">
        <f>IFERROR(VLOOKUP(1*LEFT(C208,7),DF!$A$1:$F$9446,2,FALSE),"")</f>
        <v>ESC BORD G.N.  (BRAZO)</v>
      </c>
      <c r="F208" s="7">
        <v>7709459</v>
      </c>
      <c r="G208" t="s">
        <v>13367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 t="shared" si="4"/>
        <v>7709439##</v>
      </c>
      <c r="D209" s="2"/>
      <c r="E209" s="2" t="str">
        <f>IFERROR(VLOOKUP(1*LEFT(C209,7),DF!$A$1:$F$9446,2,FALSE),"")</f>
        <v>ESC BORD JUJUY POLICIA BB TVS434-2</v>
      </c>
      <c r="F209">
        <v>7709439</v>
      </c>
      <c r="G209" t="s">
        <v>13368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 t="shared" si="4"/>
        <v>7709833##</v>
      </c>
      <c r="D210" s="2"/>
      <c r="E210" s="2" t="str">
        <f>IFERROR(VLOOKUP(1*LEFT(C210,7),DF!$A$1:$F$9446,2,FALSE),"")</f>
        <v>ESC BORD LA RIOJA POLICIA   TVS 515</v>
      </c>
      <c r="F210">
        <v>7709833</v>
      </c>
      <c r="G210" t="s">
        <v>13369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4"/>
        <v>7709654##</v>
      </c>
      <c r="E211" t="str">
        <f>IFERROR(VLOOKUP(1*LEFT(C211,7),DF!$A$1:$F$9446,2,FALSE),"")</f>
        <v>ESC BORD MZA B CIVICO    BARG</v>
      </c>
      <c r="F211" s="7">
        <v>7709654</v>
      </c>
      <c r="G211" t="s">
        <v>13370</v>
      </c>
      <c r="H211">
        <v>1</v>
      </c>
    </row>
    <row r="212" spans="1:8" x14ac:dyDescent="0.25">
      <c r="A212">
        <v>16522</v>
      </c>
      <c r="B212" t="s">
        <v>4</v>
      </c>
      <c r="C212" t="str">
        <f t="shared" si="4"/>
        <v>7709855##</v>
      </c>
      <c r="E212" t="str">
        <f>IFERROR(VLOOKUP(1*LEFT(C212,7),DF!$A$1:$F$9446,2,FALSE),"")</f>
        <v>ESC BORD MZA BANDA DE MUSICA GUSTAVO BAR</v>
      </c>
      <c r="F212" s="7">
        <v>7709855</v>
      </c>
      <c r="G212" t="s">
        <v>13371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4"/>
        <v>7709365##</v>
      </c>
      <c r="E213" s="2" t="str">
        <f>IFERROR(VLOOKUP(1*LEFT(C213,7),DF!$A$1:$F$9446,2,FALSE),"")</f>
        <v>ESC BORD MZA BOINA  INFANTERIA     BARG</v>
      </c>
      <c r="F213" s="7">
        <v>7709365</v>
      </c>
      <c r="G213" t="s">
        <v>13372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4"/>
        <v>7709101##</v>
      </c>
      <c r="E214" s="2" t="str">
        <f>IFERROR(VLOOKUP(1*LEFT(C214,7),DF!$A$1:$F$9446,2,FALSE),"")</f>
        <v>ESC BORD MZA BOINA CABALLERIA     BARG</v>
      </c>
      <c r="F214" s="7">
        <v>7709101</v>
      </c>
      <c r="G214" t="s">
        <v>13373</v>
      </c>
      <c r="H214">
        <v>1</v>
      </c>
    </row>
    <row r="215" spans="1:8" x14ac:dyDescent="0.25">
      <c r="A215">
        <v>16522</v>
      </c>
      <c r="B215" t="s">
        <v>4</v>
      </c>
      <c r="C215" t="str">
        <f t="shared" si="4"/>
        <v>7709364##</v>
      </c>
      <c r="E215" s="2" t="str">
        <f>IFERROR(VLOOKUP(1*LEFT(C215,7),DF!$A$1:$F$9446,2,FALSE),"")</f>
        <v>ESC BORD MZA BOINA CANES</v>
      </c>
      <c r="F215" s="7">
        <v>7709364</v>
      </c>
      <c r="G215" t="s">
        <v>13374</v>
      </c>
      <c r="H215">
        <v>1</v>
      </c>
    </row>
    <row r="216" spans="1:8" x14ac:dyDescent="0.25">
      <c r="A216">
        <v>16522</v>
      </c>
      <c r="B216" t="s">
        <v>4</v>
      </c>
      <c r="C216" t="str">
        <f t="shared" si="4"/>
        <v>7709021##</v>
      </c>
      <c r="E216" s="2" t="str">
        <f>IFERROR(VLOOKUP(1*LEFT(C216,7),DF!$A$1:$F$9446,2,FALSE),"")</f>
        <v>ESC BORD MZA BOINA GEOP</v>
      </c>
      <c r="F216" s="7">
        <v>7709021</v>
      </c>
      <c r="G216" t="s">
        <v>13375</v>
      </c>
      <c r="H216">
        <v>1</v>
      </c>
    </row>
    <row r="217" spans="1:8" x14ac:dyDescent="0.25">
      <c r="A217">
        <v>16522</v>
      </c>
      <c r="B217" t="s">
        <v>4</v>
      </c>
      <c r="C217" t="str">
        <f t="shared" si="4"/>
        <v>7709401##</v>
      </c>
      <c r="E217" s="2" t="str">
        <f>IFERROR(VLOOKUP(1*LEFT(C217,7),DF!$A$1:$F$9446,2,FALSE),"")</f>
        <v>ESC BORD MZA BOINA GES       BARG</v>
      </c>
      <c r="F217" s="7">
        <v>7709401</v>
      </c>
      <c r="G217" t="s">
        <v>13376</v>
      </c>
      <c r="H217">
        <v>1</v>
      </c>
    </row>
    <row r="218" spans="1:8" x14ac:dyDescent="0.25">
      <c r="A218">
        <v>16522</v>
      </c>
      <c r="B218" t="s">
        <v>4</v>
      </c>
      <c r="C218" t="str">
        <f t="shared" si="4"/>
        <v>7709233##</v>
      </c>
      <c r="E218" s="2" t="str">
        <f>IFERROR(VLOOKUP(1*LEFT(C218,7),DF!$A$1:$F$9446,2,FALSE),"")</f>
        <v>ESC BORD MZA BOINA LICEO LMGE BARG</v>
      </c>
      <c r="F218" s="7">
        <v>7709233</v>
      </c>
      <c r="G218" t="s">
        <v>13377</v>
      </c>
      <c r="H218">
        <v>1</v>
      </c>
    </row>
    <row r="219" spans="1:8" x14ac:dyDescent="0.25">
      <c r="A219">
        <v>16522</v>
      </c>
      <c r="B219" t="s">
        <v>4</v>
      </c>
      <c r="C219" t="str">
        <f t="shared" si="4"/>
        <v>7709016##</v>
      </c>
      <c r="E219" s="2" t="str">
        <f>IFERROR(VLOOKUP(1*LEFT(C219,7),DF!$A$1:$F$9446,2,FALSE),"")</f>
        <v>ESC BORD MZA BOINA MOTORIZADA   BARG</v>
      </c>
      <c r="F219" s="7">
        <v>7709016</v>
      </c>
      <c r="G219" t="s">
        <v>13378</v>
      </c>
      <c r="H219">
        <v>1</v>
      </c>
    </row>
    <row r="220" spans="1:8" x14ac:dyDescent="0.25">
      <c r="A220">
        <v>16522</v>
      </c>
      <c r="B220" t="s">
        <v>4</v>
      </c>
      <c r="C220" t="str">
        <f t="shared" si="4"/>
        <v>7709572##</v>
      </c>
      <c r="E220" t="str">
        <f>IFERROR(VLOOKUP(1*LEFT(C220,7),DF!$A$1:$F$9446,2,FALSE),"")</f>
        <v>ESC BORD MZA BOMBEROS          BARG</v>
      </c>
      <c r="F220" s="7">
        <v>7709572</v>
      </c>
      <c r="G220" t="s">
        <v>13379</v>
      </c>
      <c r="H220">
        <v>1</v>
      </c>
    </row>
    <row r="221" spans="1:8" x14ac:dyDescent="0.25">
      <c r="A221">
        <v>16522</v>
      </c>
      <c r="B221" t="s">
        <v>4</v>
      </c>
      <c r="C221" t="str">
        <f t="shared" si="4"/>
        <v>7709103##</v>
      </c>
      <c r="E221" t="str">
        <f>IFERROR(VLOOKUP(1*LEFT(C221,7),DF!$A$1:$F$9446,2,FALSE),"")</f>
        <v>ESC BORD MZA BRAZO GES</v>
      </c>
      <c r="F221" s="7">
        <v>7709103</v>
      </c>
      <c r="G221" t="s">
        <v>13380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 t="shared" si="4"/>
        <v>7709103##</v>
      </c>
      <c r="D222" s="2"/>
      <c r="E222" s="2" t="str">
        <f>IFERROR(VLOOKUP(1*LEFT(C222,7),DF!$A$1:$F$9446,2,FALSE),"")</f>
        <v>ESC BORD MZA BRAZO GES</v>
      </c>
      <c r="F222">
        <v>7709103</v>
      </c>
      <c r="G222" t="s">
        <v>13380</v>
      </c>
      <c r="H222">
        <v>1</v>
      </c>
    </row>
    <row r="223" spans="1:8" x14ac:dyDescent="0.25">
      <c r="A223">
        <v>16522</v>
      </c>
      <c r="B223" t="s">
        <v>4</v>
      </c>
      <c r="C223" t="str">
        <f t="shared" si="4"/>
        <v>7709753##</v>
      </c>
      <c r="E223" t="str">
        <f>IFERROR(VLOOKUP(1*LEFT(C223,7),DF!$A$1:$F$9446,2,FALSE),"")</f>
        <v>ESC BORD MZA CABALLERIA TV 424-14</v>
      </c>
      <c r="F223" s="7">
        <v>7709753</v>
      </c>
      <c r="G223" t="s">
        <v>13381</v>
      </c>
      <c r="H223">
        <v>1</v>
      </c>
    </row>
    <row r="224" spans="1:8" x14ac:dyDescent="0.25">
      <c r="A224">
        <v>16522</v>
      </c>
      <c r="B224" t="s">
        <v>4</v>
      </c>
      <c r="C224" t="str">
        <f t="shared" ref="C224:C287" si="5">CONCATENATE(F224,"##")</f>
        <v>7709854##</v>
      </c>
      <c r="E224" t="str">
        <f>IFERROR(VLOOKUP(1*LEFT(C224,7),DF!$A$1:$F$9446,2,FALSE),"")</f>
        <v>ESC BORD MZA CANES BRAZO</v>
      </c>
      <c r="F224" s="7">
        <v>7709854</v>
      </c>
      <c r="G224" t="s">
        <v>13382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 t="shared" si="5"/>
        <v>7709017##</v>
      </c>
      <c r="D225" s="2"/>
      <c r="E225" s="2" t="str">
        <f>IFERROR(VLOOKUP(1*LEFT(C225,7),DF!$A$1:$F$9446,2,FALSE),"")</f>
        <v>ESC BORD MZA DEFENSA CIVIL</v>
      </c>
      <c r="F225">
        <v>7709017</v>
      </c>
      <c r="G225" t="s">
        <v>13383</v>
      </c>
      <c r="H225">
        <v>1</v>
      </c>
    </row>
    <row r="226" spans="1:8" x14ac:dyDescent="0.25">
      <c r="A226">
        <v>16522</v>
      </c>
      <c r="B226" t="s">
        <v>4</v>
      </c>
      <c r="C226" t="str">
        <f t="shared" si="5"/>
        <v>7709625##</v>
      </c>
      <c r="E226" t="str">
        <f>IFERROR(VLOOKUP(1*LEFT(C226,7),DF!$A$1:$F$9446,2,FALSE),"")</f>
        <v>ESC BORD MZA INFANTERIA BAJA V. TV</v>
      </c>
      <c r="F226" s="7">
        <v>7709625</v>
      </c>
      <c r="G226" t="s">
        <v>13384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 t="shared" si="5"/>
        <v>7709158##</v>
      </c>
      <c r="D227" s="2"/>
      <c r="E227" s="2" t="str">
        <f>IFERROR(VLOOKUP(1*LEFT(C227,7),DF!$A$1:$F$9446,2,FALSE),"")</f>
        <v>ESC BORD MZA INFANTERIA BELGRANO</v>
      </c>
      <c r="F227">
        <v>7709158</v>
      </c>
      <c r="G227" t="s">
        <v>13385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 t="shared" si="5"/>
        <v>7709238##</v>
      </c>
      <c r="D228" s="2"/>
      <c r="E228" s="2" t="str">
        <f>IFERROR(VLOOKUP(1*LEFT(C228,7),DF!$A$1:$F$9446,2,FALSE),"")</f>
        <v>ESC BORD MZA IUSP B.VISIB. CUERPO INSTR.</v>
      </c>
      <c r="F228">
        <v>7709238</v>
      </c>
      <c r="G228" t="s">
        <v>13386</v>
      </c>
      <c r="H228">
        <v>1</v>
      </c>
    </row>
    <row r="229" spans="1:8" x14ac:dyDescent="0.25">
      <c r="A229">
        <v>16522</v>
      </c>
      <c r="B229" t="s">
        <v>4</v>
      </c>
      <c r="C229" t="str">
        <f t="shared" si="5"/>
        <v>7709139##</v>
      </c>
      <c r="E229" t="str">
        <f>IFERROR(VLOOKUP(1*LEFT(C229,7),DF!$A$1:$F$9446,2,FALSE),"")</f>
        <v>ESC BORD MZA IUSP BEIGE CUERPO INSTR.</v>
      </c>
      <c r="F229" s="7">
        <v>7709139</v>
      </c>
      <c r="G229" t="s">
        <v>13387</v>
      </c>
      <c r="H229">
        <v>1</v>
      </c>
    </row>
    <row r="230" spans="1:8" x14ac:dyDescent="0.25">
      <c r="A230">
        <v>16522</v>
      </c>
      <c r="B230" t="s">
        <v>4</v>
      </c>
      <c r="C230" t="str">
        <f t="shared" si="5"/>
        <v>7709138##</v>
      </c>
      <c r="E230" t="str">
        <f>IFERROR(VLOOKUP(1*LEFT(C230,7),DF!$A$1:$F$9446,2,FALSE),"")</f>
        <v>ESC BORD MZA IUSP DE BRAZO TVS413-2 16.5</v>
      </c>
      <c r="F230" s="7">
        <v>7709138</v>
      </c>
      <c r="G230" t="s">
        <v>13388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 t="shared" si="5"/>
        <v>7709137##</v>
      </c>
      <c r="D231" s="2"/>
      <c r="E231" s="2" t="str">
        <f>IFERROR(VLOOKUP(1*LEFT(C231,7),DF!$A$1:$F$9446,2,FALSE),"")</f>
        <v>ESC BORD MZA IUSP PENITENCIARIO</v>
      </c>
      <c r="F231">
        <v>7709137</v>
      </c>
      <c r="G231" t="s">
        <v>13389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 t="shared" si="5"/>
        <v>7709043##</v>
      </c>
      <c r="D232" s="2"/>
      <c r="E232" s="2" t="str">
        <f>IFERROR(VLOOKUP(1*LEFT(C232,7),DF!$A$1:$F$9446,2,FALSE),"")</f>
        <v>ESC BORD MZA JEFATURA DEPART.CORRED BARG</v>
      </c>
      <c r="F232">
        <v>7709043</v>
      </c>
      <c r="G232" t="s">
        <v>13390</v>
      </c>
      <c r="H232">
        <v>1</v>
      </c>
    </row>
    <row r="233" spans="1:8" x14ac:dyDescent="0.25">
      <c r="A233">
        <v>16522</v>
      </c>
      <c r="B233" t="s">
        <v>4</v>
      </c>
      <c r="C233" t="str">
        <f t="shared" si="5"/>
        <v>7709041##</v>
      </c>
      <c r="E233" t="str">
        <f>IFERROR(VLOOKUP(1*LEFT(C233,7),DF!$A$1:$F$9446,2,FALSE),"")</f>
        <v>ESC BORD MZA JEFATURA DEPARTAMENT</v>
      </c>
      <c r="F233" s="7">
        <v>7709041</v>
      </c>
      <c r="G233" t="s">
        <v>13391</v>
      </c>
      <c r="H233">
        <v>1</v>
      </c>
    </row>
    <row r="234" spans="1:8" x14ac:dyDescent="0.25">
      <c r="A234">
        <v>16522</v>
      </c>
      <c r="B234" t="s">
        <v>4</v>
      </c>
      <c r="C234" t="str">
        <f t="shared" si="5"/>
        <v>7709754##</v>
      </c>
      <c r="E234" t="str">
        <f>IFERROR(VLOOKUP(1*LEFT(C234,7),DF!$A$1:$F$9446,2,FALSE),"")</f>
        <v>ESC BORD MZA MOTORIZADA B VISIB.  BARG</v>
      </c>
      <c r="F234" s="7">
        <v>7709754</v>
      </c>
      <c r="G234" t="s">
        <v>13392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 t="shared" si="5"/>
        <v>7709246##</v>
      </c>
      <c r="D235" s="2"/>
      <c r="E235" s="2" t="str">
        <f>IFERROR(VLOOKUP(1*LEFT(C235,7),DF!$A$1:$F$9446,2,FALSE),"")</f>
        <v>ESC BORD MZA OF JEFES Y SUP BEIGE</v>
      </c>
      <c r="F235">
        <v>7709246</v>
      </c>
      <c r="G235" t="s">
        <v>13393</v>
      </c>
      <c r="H235">
        <v>1</v>
      </c>
    </row>
    <row r="236" spans="1:8" x14ac:dyDescent="0.25">
      <c r="A236">
        <v>16522</v>
      </c>
      <c r="B236" t="s">
        <v>4</v>
      </c>
      <c r="C236" t="str">
        <f t="shared" si="5"/>
        <v>7709245##</v>
      </c>
      <c r="E236" t="str">
        <f>IFERROR(VLOOKUP(1*LEFT(C236,7),DF!$A$1:$F$9446,2,FALSE),"")</f>
        <v>ESC BORD MZA OF. JEFES  Y SUP</v>
      </c>
      <c r="F236" s="7">
        <v>7709245</v>
      </c>
      <c r="G236" t="s">
        <v>13394</v>
      </c>
      <c r="H236">
        <v>1</v>
      </c>
    </row>
    <row r="237" spans="1:8" x14ac:dyDescent="0.25">
      <c r="A237">
        <v>16522</v>
      </c>
      <c r="B237" t="s">
        <v>4</v>
      </c>
      <c r="C237" t="str">
        <f t="shared" si="5"/>
        <v>7709867##</v>
      </c>
      <c r="E237" t="str">
        <f>IFERROR(VLOOKUP(1*LEFT(C237,7),DF!$A$1:$F$9446,2,FALSE),"")</f>
        <v>ESC BORD MZA PENIT ALMAF. BD</v>
      </c>
      <c r="F237" s="7">
        <v>7709867</v>
      </c>
      <c r="G237" t="s">
        <v>13395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5"/>
        <v>7709393##</v>
      </c>
      <c r="E238" s="2" t="str">
        <f>IFERROR(VLOOKUP(1*LEFT(C238,7),DF!$A$1:$F$9446,2,FALSE),"")</f>
        <v>ESC BORD MZA PENIT BOINA SERP BAJA VIS</v>
      </c>
      <c r="F238">
        <v>7709393</v>
      </c>
      <c r="G238" t="s">
        <v>13396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5"/>
        <v>7709394##</v>
      </c>
      <c r="E239" s="2" t="str">
        <f>IFERROR(VLOOKUP(1*LEFT(C239,7),DF!$A$1:$F$9446,2,FALSE),"")</f>
        <v>ESC BORD MZA PENIT BOINA SERP BARG</v>
      </c>
      <c r="F239" s="7">
        <v>7709394</v>
      </c>
      <c r="G239" t="s">
        <v>13397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5"/>
        <v>7709396##</v>
      </c>
      <c r="E240" t="str">
        <f>IFERROR(VLOOKUP(1*LEFT(C240,7),DF!$A$1:$F$9446,2,FALSE),"")</f>
        <v>ESC BORD MZA PENIT DIVISION TRASLADO</v>
      </c>
      <c r="F240" s="7">
        <v>7709396</v>
      </c>
      <c r="G240" t="s">
        <v>13398</v>
      </c>
      <c r="H240">
        <v>2</v>
      </c>
    </row>
    <row r="241" spans="1:8" x14ac:dyDescent="0.25">
      <c r="A241">
        <v>16522</v>
      </c>
      <c r="B241" t="s">
        <v>4</v>
      </c>
      <c r="C241" t="str">
        <f t="shared" si="5"/>
        <v>7709600##</v>
      </c>
      <c r="E241" t="str">
        <f>IFERROR(VLOOKUP(1*LEFT(C241,7),DF!$A$1:$F$9446,2,FALSE),"")</f>
        <v>ESC BORD MZA PENIT INFOPE         BARG</v>
      </c>
      <c r="F241" s="7">
        <v>7709600</v>
      </c>
      <c r="G241" t="s">
        <v>13399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5"/>
        <v>7709422##</v>
      </c>
      <c r="D242" s="2"/>
      <c r="E242" s="2" t="str">
        <f>IFERROR(VLOOKUP(1*LEFT(C242,7),DF!$A$1:$F$9446,2,FALSE),"")</f>
        <v>ESC BORD MZA PENIT SEG EXT FONDO GRIS</v>
      </c>
      <c r="F242">
        <v>7709422</v>
      </c>
      <c r="G242" t="s">
        <v>13400</v>
      </c>
      <c r="H242">
        <v>1</v>
      </c>
    </row>
    <row r="243" spans="1:8" x14ac:dyDescent="0.25">
      <c r="A243">
        <v>16522</v>
      </c>
      <c r="B243" t="s">
        <v>4</v>
      </c>
      <c r="C243" t="str">
        <f t="shared" si="5"/>
        <v>7709421##</v>
      </c>
      <c r="E243" t="str">
        <f>IFERROR(VLOOKUP(1*LEFT(C243,7),DF!$A$1:$F$9446,2,FALSE),"")</f>
        <v>ESC BORD MZA PENIT SEG EXT FONDO NEGRO</v>
      </c>
      <c r="F243" s="7">
        <v>7709421</v>
      </c>
      <c r="G243" t="s">
        <v>13401</v>
      </c>
      <c r="H243">
        <v>2</v>
      </c>
    </row>
    <row r="244" spans="1:8" x14ac:dyDescent="0.25">
      <c r="A244" s="2">
        <v>16522</v>
      </c>
      <c r="B244" s="2" t="s">
        <v>4</v>
      </c>
      <c r="C244" s="2" t="str">
        <f t="shared" si="5"/>
        <v>7709458##</v>
      </c>
      <c r="D244" s="2"/>
      <c r="E244" s="2" t="str">
        <f>IFERROR(VLOOKUP(1*LEFT(C244,7),DF!$A$1:$F$9446,2,FALSE),"")</f>
        <v>ESC BORD MZA PENIT SERP BORDO     BARG</v>
      </c>
      <c r="F244">
        <v>7709458</v>
      </c>
      <c r="G244" t="s">
        <v>13402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5"/>
        <v>7709456##</v>
      </c>
      <c r="E245" t="str">
        <f>IFERROR(VLOOKUP(1*LEFT(C245,7),DF!$A$1:$F$9446,2,FALSE),"")</f>
        <v>ESC BORD MZA PENIT SERP BV   BARG</v>
      </c>
      <c r="F245" s="7">
        <v>7709456</v>
      </c>
      <c r="G245" t="s">
        <v>13403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5"/>
        <v>7709712##</v>
      </c>
      <c r="E246" t="str">
        <f>IFERROR(VLOOKUP(1*LEFT(C246,7),DF!$A$1:$F$9446,2,FALSE),"")</f>
        <v>ESC BORD MZA PENIT. CONDOR  BARG</v>
      </c>
      <c r="F246" s="7">
        <v>7709712</v>
      </c>
      <c r="G246" t="s">
        <v>13404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5"/>
        <v>7709360##</v>
      </c>
      <c r="E247" t="str">
        <f>IFERROR(VLOOKUP(1*LEFT(C247,7),DF!$A$1:$F$9446,2,FALSE),"")</f>
        <v>ESC BORD MZA PENIT. GEOP</v>
      </c>
      <c r="F247" s="7">
        <v>7709360</v>
      </c>
      <c r="G247" t="s">
        <v>13405</v>
      </c>
      <c r="H247">
        <v>1</v>
      </c>
    </row>
    <row r="248" spans="1:8" x14ac:dyDescent="0.25">
      <c r="A248" s="2">
        <v>16522</v>
      </c>
      <c r="B248" s="2" t="s">
        <v>4</v>
      </c>
      <c r="C248" s="2" t="str">
        <f t="shared" si="5"/>
        <v>7709419##</v>
      </c>
      <c r="D248" s="2"/>
      <c r="E248" s="2" t="str">
        <f>IFERROR(VLOOKUP(1*LEFT(C248,7),DF!$A$1:$F$9446,2,FALSE),"")</f>
        <v>ESC BORD MZA PENIT.OFICIAL SUPER</v>
      </c>
      <c r="F248">
        <v>7709419</v>
      </c>
      <c r="G248" t="s">
        <v>13406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5"/>
        <v>7709547##</v>
      </c>
      <c r="E249" t="str">
        <f>IFERROR(VLOOKUP(1*LEFT(C249,7),DF!$A$1:$F$9446,2,FALSE),"")</f>
        <v>ESC BORD MZA POL BAJA VISIBILID</v>
      </c>
      <c r="F249" s="7">
        <v>7709547</v>
      </c>
      <c r="G249" t="s">
        <v>13407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5"/>
        <v>7709756##</v>
      </c>
      <c r="E250" t="str">
        <f>IFERROR(VLOOKUP(1*LEFT(C250,7),DF!$A$1:$F$9446,2,FALSE),"")</f>
        <v>ESC BORD MZA POL MOTORIZADA AZ/DOR BARG</v>
      </c>
      <c r="F250" s="7">
        <v>7709756</v>
      </c>
      <c r="G250" t="s">
        <v>13408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5"/>
        <v>7709333##</v>
      </c>
      <c r="E251" t="str">
        <f>IFERROR(VLOOKUP(1*LEFT(C251,7),DF!$A$1:$F$9446,2,FALSE),"")</f>
        <v>ESC BORD MZA POL VIEJO MODELO   BARG</v>
      </c>
      <c r="F251" s="7">
        <v>7709333</v>
      </c>
      <c r="G251" t="s">
        <v>13409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5"/>
        <v>7709665##</v>
      </c>
      <c r="E252" t="str">
        <f>IFERROR(VLOOKUP(1*LEFT(C252,7),DF!$A$1:$F$9446,2,FALSE),"")</f>
        <v>ESC BORD MZA POL. NUEVO MODELO BARG</v>
      </c>
      <c r="F252" s="7">
        <v>7709665</v>
      </c>
      <c r="G252" t="s">
        <v>13410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 t="shared" si="5"/>
        <v>7709858##</v>
      </c>
      <c r="D253" s="2"/>
      <c r="E253" s="2" t="str">
        <f>IFERROR(VLOOKUP(1*LEFT(C253,7),DF!$A$1:$F$9446,2,FALSE),"")</f>
        <v>ESC BORD MZA POLI IUSP GUARDIA</v>
      </c>
      <c r="F253">
        <v>7709858</v>
      </c>
      <c r="G253" t="s">
        <v>13411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5"/>
        <v>7709650##</v>
      </c>
      <c r="E254" t="str">
        <f>IFERROR(VLOOKUP(1*LEFT(C254,7),DF!$A$1:$F$9446,2,FALSE),"")</f>
        <v>ESC BORD MZA POLICIA CIENTIFICA</v>
      </c>
      <c r="F254" s="7">
        <v>7709650</v>
      </c>
      <c r="G254" t="s">
        <v>13412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5"/>
        <v>7709680##</v>
      </c>
      <c r="E255" t="str">
        <f>IFERROR(VLOOKUP(1*LEFT(C255,7),DF!$A$1:$F$9446,2,FALSE),"")</f>
        <v>ESC BORD MZA RURAL  MANGA TVS</v>
      </c>
      <c r="F255" s="7">
        <v>7709680</v>
      </c>
      <c r="G255" t="s">
        <v>13413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5"/>
        <v>7709943##</v>
      </c>
      <c r="E256" t="str">
        <f>IFERROR(VLOOKUP(1*LEFT(C256,7),DF!$A$1:$F$9446,2,FALSE),"")</f>
        <v>ESC BORD MZA SANIDAD POLICIAL</v>
      </c>
      <c r="F256" s="7">
        <v>7709943</v>
      </c>
      <c r="G256" t="s">
        <v>13414</v>
      </c>
      <c r="H256">
        <v>2</v>
      </c>
    </row>
    <row r="257" spans="1:8" x14ac:dyDescent="0.25">
      <c r="A257">
        <v>16522</v>
      </c>
      <c r="B257" t="s">
        <v>4</v>
      </c>
      <c r="C257" t="str">
        <f t="shared" si="5"/>
        <v>7709786##</v>
      </c>
      <c r="E257" t="str">
        <f>IFERROR(VLOOKUP(1*LEFT(C257,7),DF!$A$1:$F$9446,2,FALSE),"")</f>
        <v>ESC BORD MZA TRANVIA</v>
      </c>
      <c r="F257" s="7">
        <v>7709786</v>
      </c>
      <c r="G257" t="s">
        <v>13415</v>
      </c>
      <c r="H257">
        <v>2</v>
      </c>
    </row>
    <row r="258" spans="1:8" x14ac:dyDescent="0.25">
      <c r="A258">
        <v>16522</v>
      </c>
      <c r="B258" t="s">
        <v>4</v>
      </c>
      <c r="C258" t="str">
        <f t="shared" si="5"/>
        <v>7709330##</v>
      </c>
      <c r="E258" s="2" t="str">
        <f>IFERROR(VLOOKUP(1*LEFT(C258,7),DF!$A$1:$F$9446,2,FALSE),"")</f>
        <v>ESC BORD MZA U.A.R BOINA UNIDAD ACCION P</v>
      </c>
      <c r="F258" s="7">
        <v>7709330</v>
      </c>
      <c r="G258" t="s">
        <v>13416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5"/>
        <v>7709013##</v>
      </c>
      <c r="E259" s="2" t="str">
        <f>IFERROR(VLOOKUP(1*LEFT(C259,7),DF!$A$1:$F$9446,2,FALSE),"")</f>
        <v>ESC BORD MZA UAP BOINA</v>
      </c>
      <c r="F259">
        <v>7709013</v>
      </c>
      <c r="G259" t="s">
        <v>13417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5"/>
        <v>7709014##</v>
      </c>
      <c r="E260" s="2" t="str">
        <f>IFERROR(VLOOKUP(1*LEFT(C260,7),DF!$A$1:$F$9446,2,FALSE),"")</f>
        <v>ESC BORD MZA UCAR BOINA   UCAR</v>
      </c>
      <c r="F260" s="7">
        <v>7709014</v>
      </c>
      <c r="G260" t="s">
        <v>13418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5"/>
        <v>7709380##</v>
      </c>
      <c r="E261" t="str">
        <f>IFERROR(VLOOKUP(1*LEFT(C261,7),DF!$A$1:$F$9446,2,FALSE),"")</f>
        <v>ESC BORD MZA UCAR MANGA BB TVS424-0</v>
      </c>
      <c r="F261" s="7">
        <v>7709380</v>
      </c>
      <c r="G261" t="s">
        <v>13419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5"/>
        <v>7709661##</v>
      </c>
      <c r="E262" t="str">
        <f>IFERROR(VLOOKUP(1*LEFT(C262,7),DF!$A$1:$F$9446,2,FALSE),"")</f>
        <v>ESC BORD MZA UEP BAJA TUPUNGATO</v>
      </c>
      <c r="F262" s="7">
        <v>7709661</v>
      </c>
      <c r="G262" t="s">
        <v>13420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5"/>
        <v>7709653##</v>
      </c>
      <c r="E263" s="2" t="str">
        <f>IFERROR(VLOOKUP(1*LEFT(C263,7),DF!$A$1:$F$9446,2,FALSE),"")</f>
        <v>ESC BORD MZA UEP BOINA   BARG</v>
      </c>
      <c r="F263" s="7">
        <v>7709653</v>
      </c>
      <c r="G263" t="s">
        <v>13421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5"/>
        <v>7709662##</v>
      </c>
      <c r="E264" t="str">
        <f>IFERROR(VLOOKUP(1*LEFT(C264,7),DF!$A$1:$F$9446,2,FALSE),"")</f>
        <v>ESC BORD MZA UEP CAPITAL</v>
      </c>
      <c r="F264" s="7">
        <v>7709662</v>
      </c>
      <c r="G264" t="s">
        <v>13422</v>
      </c>
      <c r="H264">
        <v>1</v>
      </c>
    </row>
    <row r="265" spans="1:8" x14ac:dyDescent="0.25">
      <c r="A265" s="2">
        <v>16522</v>
      </c>
      <c r="B265" s="2" t="s">
        <v>4</v>
      </c>
      <c r="C265" s="2" t="str">
        <f t="shared" si="5"/>
        <v>7709671##</v>
      </c>
      <c r="D265" s="2"/>
      <c r="E265" s="2" t="str">
        <f>IFERROR(VLOOKUP(1*LEFT(C265,7),DF!$A$1:$F$9446,2,FALSE),"")</f>
        <v>ESC BORD MZA UEP SAN CARLOS</v>
      </c>
      <c r="F265">
        <v>7709671</v>
      </c>
      <c r="G265" t="s">
        <v>13423</v>
      </c>
      <c r="H265">
        <v>1</v>
      </c>
    </row>
    <row r="266" spans="1:8" x14ac:dyDescent="0.25">
      <c r="A266">
        <v>16522</v>
      </c>
      <c r="B266" t="s">
        <v>4</v>
      </c>
      <c r="C266" t="str">
        <f t="shared" si="5"/>
        <v>7709015##</v>
      </c>
      <c r="E266" s="2" t="str">
        <f>IFERROR(VLOOKUP(1*LEFT(C266,7),DF!$A$1:$F$9446,2,FALSE),"")</f>
        <v>ESC BORD MZA UMAR BOINA</v>
      </c>
      <c r="F266" s="7">
        <v>7709015</v>
      </c>
      <c r="G266" t="s">
        <v>13424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5"/>
        <v>7709420##</v>
      </c>
      <c r="E267" t="str">
        <f>IFERROR(VLOOKUP(1*LEFT(C267,7),DF!$A$1:$F$9446,2,FALSE),"")</f>
        <v>ESC BORD MZA UMAR MANGA  TVS424-0</v>
      </c>
      <c r="F267" s="7">
        <v>7709420</v>
      </c>
      <c r="G267" t="s">
        <v>13425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5"/>
        <v>7709755##</v>
      </c>
      <c r="E268" t="str">
        <f>IFERROR(VLOOKUP(1*LEFT(C268,7),DF!$A$1:$F$9446,2,FALSE),"")</f>
        <v>ESC BORD MZA UPAT</v>
      </c>
      <c r="F268" s="7">
        <v>7709755</v>
      </c>
      <c r="G268" t="s">
        <v>13426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5"/>
        <v>7709788##</v>
      </c>
      <c r="E269" s="2" t="str">
        <f>IFERROR(VLOOKUP(1*LEFT(C269,7),DF!$A$1:$F$9446,2,FALSE),"")</f>
        <v>ESC BORD MZA UPP BOINA</v>
      </c>
      <c r="F269" s="7">
        <v>7709788</v>
      </c>
      <c r="G269" t="s">
        <v>13427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5"/>
        <v>7709787##</v>
      </c>
      <c r="E270" t="str">
        <f>IFERROR(VLOOKUP(1*LEFT(C270,7),DF!$A$1:$F$9446,2,FALSE),"")</f>
        <v>ESC BORD MZA UPP PARQUE BRAZO   BARG</v>
      </c>
      <c r="F270" s="7">
        <v>7709787</v>
      </c>
      <c r="G270" t="s">
        <v>13428</v>
      </c>
      <c r="H270">
        <v>1</v>
      </c>
    </row>
    <row r="271" spans="1:8" x14ac:dyDescent="0.25">
      <c r="A271">
        <v>16522</v>
      </c>
      <c r="B271" t="s">
        <v>4</v>
      </c>
      <c r="C271" t="str">
        <f t="shared" si="5"/>
        <v>7709156##</v>
      </c>
      <c r="E271" t="str">
        <f>IFERROR(VLOOKUP(1*LEFT(C271,7),DF!$A$1:$F$9446,2,FALSE),"")</f>
        <v>ESC BORD MZA VIAL P/ BRAZO TVS424-0</v>
      </c>
      <c r="F271" s="7">
        <v>7709156</v>
      </c>
      <c r="G271" t="s">
        <v>13429</v>
      </c>
      <c r="H271">
        <v>1</v>
      </c>
    </row>
    <row r="272" spans="1:8" x14ac:dyDescent="0.25">
      <c r="A272">
        <v>16522</v>
      </c>
      <c r="B272" t="s">
        <v>4</v>
      </c>
      <c r="C272" t="str">
        <f t="shared" si="5"/>
        <v>7709852##</v>
      </c>
      <c r="E272" t="str">
        <f>IFERROR(VLOOKUP(1*LEFT(C272,7),DF!$A$1:$F$9446,2,FALSE),"")</f>
        <v>ESC BORD NQN ESC DE CADETES</v>
      </c>
      <c r="F272">
        <v>7709852</v>
      </c>
      <c r="G272" t="s">
        <v>13430</v>
      </c>
      <c r="H272">
        <v>1</v>
      </c>
    </row>
    <row r="273" spans="1:8" x14ac:dyDescent="0.25">
      <c r="A273">
        <v>16522</v>
      </c>
      <c r="B273" t="s">
        <v>4</v>
      </c>
      <c r="C273" t="str">
        <f t="shared" si="5"/>
        <v>7709789##</v>
      </c>
      <c r="E273" t="str">
        <f>IFERROR(VLOOKUP(1*LEFT(C273,7),DF!$A$1:$F$9446,2,FALSE),"")</f>
        <v>ESC BORD NQN OFICIAL/DORAD POLICIA BARG</v>
      </c>
      <c r="F273">
        <v>7709789</v>
      </c>
      <c r="G273" t="s">
        <v>13431</v>
      </c>
      <c r="H273">
        <v>1</v>
      </c>
    </row>
    <row r="274" spans="1:8" x14ac:dyDescent="0.25">
      <c r="A274">
        <v>16522</v>
      </c>
      <c r="B274" t="s">
        <v>4</v>
      </c>
      <c r="C274" t="str">
        <f t="shared" si="5"/>
        <v>7709310##</v>
      </c>
      <c r="E274" t="str">
        <f>IFERROR(VLOOKUP(1*LEFT(C274,7),DF!$A$1:$F$9446,2,FALSE),"")</f>
        <v>ESC BORD NQN P/BRAZO SEOAR</v>
      </c>
      <c r="F274">
        <v>7709310</v>
      </c>
      <c r="G274" t="s">
        <v>13432</v>
      </c>
      <c r="H274">
        <v>1</v>
      </c>
    </row>
    <row r="275" spans="1:8" x14ac:dyDescent="0.25">
      <c r="A275">
        <v>16522</v>
      </c>
      <c r="B275" t="s">
        <v>4</v>
      </c>
      <c r="C275" t="str">
        <f t="shared" si="5"/>
        <v>7709790##</v>
      </c>
      <c r="E275" t="str">
        <f>IFERROR(VLOOKUP(1*LEFT(C275,7),DF!$A$1:$F$9446,2,FALSE),"")</f>
        <v>ESC BORD NQN SUBOFICIAL/PLT POLICIA BARG</v>
      </c>
      <c r="F275">
        <v>7709790</v>
      </c>
      <c r="G275" t="s">
        <v>13433</v>
      </c>
      <c r="H275">
        <v>1</v>
      </c>
    </row>
    <row r="276" spans="1:8" x14ac:dyDescent="0.25">
      <c r="A276">
        <v>16522</v>
      </c>
      <c r="B276" t="s">
        <v>4</v>
      </c>
      <c r="C276" t="str">
        <f t="shared" si="5"/>
        <v>7709504##</v>
      </c>
      <c r="E276" t="str">
        <f>IFERROR(VLOOKUP(1*LEFT(C276,7),DF!$A$1:$F$9446,2,FALSE),"")</f>
        <v>ESC BORD NQN UNIDAD DE DETENCION  BARG</v>
      </c>
      <c r="F276">
        <v>7709504</v>
      </c>
      <c r="G276" t="s">
        <v>13434</v>
      </c>
      <c r="H276">
        <v>1</v>
      </c>
    </row>
    <row r="277" spans="1:8" x14ac:dyDescent="0.25">
      <c r="A277" s="2">
        <v>16522</v>
      </c>
      <c r="B277" s="2" t="s">
        <v>4</v>
      </c>
      <c r="C277" s="2" t="str">
        <f t="shared" si="5"/>
        <v>7709442##</v>
      </c>
      <c r="D277" s="2"/>
      <c r="E277" s="2" t="str">
        <f>IFERROR(VLOOKUP(1*LEFT(C277,7),DF!$A$1:$F$9446,2,FALSE),"")</f>
        <v>ESC BORD POL CATAMARCA ESC DE CADETES</v>
      </c>
      <c r="F277">
        <v>7709442</v>
      </c>
      <c r="G277" t="s">
        <v>13435</v>
      </c>
      <c r="H277">
        <v>1</v>
      </c>
    </row>
    <row r="278" spans="1:8" x14ac:dyDescent="0.25">
      <c r="A278" s="2">
        <v>16522</v>
      </c>
      <c r="B278" s="2" t="s">
        <v>4</v>
      </c>
      <c r="C278" s="2" t="str">
        <f t="shared" si="5"/>
        <v>7709042##</v>
      </c>
      <c r="D278" s="2"/>
      <c r="E278" s="2" t="str">
        <f>IFERROR(VLOOKUP(1*LEFT(C278,7),DF!$A$1:$F$9446,2,FALSE),"")</f>
        <v>ESC BORD POLICIA CHUBUT</v>
      </c>
      <c r="F278">
        <v>7709042</v>
      </c>
      <c r="G278" t="s">
        <v>13436</v>
      </c>
      <c r="H278">
        <v>1</v>
      </c>
    </row>
    <row r="279" spans="1:8" x14ac:dyDescent="0.25">
      <c r="A279" s="2">
        <v>16522</v>
      </c>
      <c r="B279" s="2" t="s">
        <v>4</v>
      </c>
      <c r="C279" s="2" t="str">
        <f t="shared" si="5"/>
        <v>7709032##</v>
      </c>
      <c r="D279" s="2"/>
      <c r="E279" s="2" t="str">
        <f>IFERROR(VLOOKUP(1*LEFT(C279,7),DF!$A$1:$F$9446,2,FALSE),"")</f>
        <v>ESC BORD POLICIA CHUBUT BAJA VISIBILIDAD</v>
      </c>
      <c r="F279">
        <v>7709032</v>
      </c>
      <c r="G279" t="s">
        <v>13437</v>
      </c>
      <c r="H279">
        <v>1</v>
      </c>
    </row>
    <row r="280" spans="1:8" x14ac:dyDescent="0.25">
      <c r="A280" s="2">
        <v>16522</v>
      </c>
      <c r="B280" s="2" t="s">
        <v>4</v>
      </c>
      <c r="C280" s="2" t="str">
        <f t="shared" si="5"/>
        <v>7709416##</v>
      </c>
      <c r="D280" s="2"/>
      <c r="E280" s="2" t="str">
        <f>IFERROR(VLOOKUP(1*LEFT(C280,7),DF!$A$1:$F$9446,2,FALSE),"")</f>
        <v>ESC BORD POLICIA CHUBUT CHICO BV ABROJO</v>
      </c>
      <c r="F280">
        <v>7709416</v>
      </c>
      <c r="G280" t="s">
        <v>13438</v>
      </c>
      <c r="H280">
        <v>1</v>
      </c>
    </row>
    <row r="281" spans="1:8" x14ac:dyDescent="0.25">
      <c r="A281" s="2">
        <v>16522</v>
      </c>
      <c r="B281" s="2" t="s">
        <v>4</v>
      </c>
      <c r="C281" s="2" t="str">
        <f t="shared" si="5"/>
        <v>7709415##</v>
      </c>
      <c r="D281" s="2"/>
      <c r="E281" s="2" t="str">
        <f>IFERROR(VLOOKUP(1*LEFT(C281,7),DF!$A$1:$F$9446,2,FALSE),"")</f>
        <v>ESC BORD POLICIA CHUBUT CHICO C/ABROJO</v>
      </c>
      <c r="F281">
        <v>7709415</v>
      </c>
      <c r="G281" t="s">
        <v>13439</v>
      </c>
      <c r="H281">
        <v>1</v>
      </c>
    </row>
    <row r="282" spans="1:8" x14ac:dyDescent="0.25">
      <c r="A282" s="2">
        <v>16522</v>
      </c>
      <c r="B282" s="2" t="s">
        <v>4</v>
      </c>
      <c r="C282" s="2" t="str">
        <f t="shared" si="5"/>
        <v>7709062##</v>
      </c>
      <c r="D282" s="2"/>
      <c r="E282" s="2" t="str">
        <f>IFERROR(VLOOKUP(1*LEFT(C282,7),DF!$A$1:$F$9446,2,FALSE),"")</f>
        <v>ESC BORD PSA AEROPORTUARIA</v>
      </c>
      <c r="F282">
        <v>7709062</v>
      </c>
      <c r="G282" t="s">
        <v>13440</v>
      </c>
      <c r="H282">
        <v>1</v>
      </c>
    </row>
    <row r="283" spans="1:8" x14ac:dyDescent="0.25">
      <c r="A283">
        <v>16522</v>
      </c>
      <c r="B283" t="s">
        <v>4</v>
      </c>
      <c r="C283" t="str">
        <f t="shared" si="5"/>
        <v>7709061##</v>
      </c>
      <c r="E283" s="2" t="str">
        <f>IFERROR(VLOOKUP(1*LEFT(C283,7),DF!$A$1:$F$9446,2,FALSE),"")</f>
        <v>ESC BORD PSA BOINA  BARG</v>
      </c>
      <c r="F283" s="7">
        <v>7709061</v>
      </c>
      <c r="G283" t="s">
        <v>13441</v>
      </c>
      <c r="H283">
        <v>1</v>
      </c>
    </row>
    <row r="284" spans="1:8" x14ac:dyDescent="0.25">
      <c r="A284" s="2">
        <v>16522</v>
      </c>
      <c r="B284" s="2" t="s">
        <v>4</v>
      </c>
      <c r="C284" s="2" t="str">
        <f t="shared" si="5"/>
        <v>7709228##</v>
      </c>
      <c r="D284" s="2"/>
      <c r="E284" s="2" t="str">
        <f>IFERROR(VLOOKUP(1*LEFT(C284,7),DF!$A$1:$F$9446,2,FALSE),"")</f>
        <v>ESC BORD RIO NEGRO POL BV</v>
      </c>
      <c r="F284">
        <v>7709228</v>
      </c>
      <c r="G284" t="s">
        <v>13442</v>
      </c>
      <c r="H284">
        <v>1</v>
      </c>
    </row>
    <row r="285" spans="1:8" x14ac:dyDescent="0.25">
      <c r="A285" s="2">
        <v>16522</v>
      </c>
      <c r="B285" s="2" t="s">
        <v>4</v>
      </c>
      <c r="C285" s="2" t="str">
        <f t="shared" si="5"/>
        <v>7709229##</v>
      </c>
      <c r="D285" s="2"/>
      <c r="E285" s="2" t="str">
        <f>IFERROR(VLOOKUP(1*LEFT(C285,7),DF!$A$1:$F$9446,2,FALSE),"")</f>
        <v>ESC BORD RIO NEGRO POLICIA</v>
      </c>
      <c r="F285">
        <v>7709229</v>
      </c>
      <c r="G285" t="s">
        <v>13443</v>
      </c>
      <c r="H285">
        <v>1</v>
      </c>
    </row>
    <row r="286" spans="1:8" x14ac:dyDescent="0.25">
      <c r="A286" s="2">
        <v>16522</v>
      </c>
      <c r="B286" s="2" t="s">
        <v>4</v>
      </c>
      <c r="C286" s="2" t="str">
        <f t="shared" si="5"/>
        <v>7709606##</v>
      </c>
      <c r="D286" s="2"/>
      <c r="E286" s="2" t="str">
        <f>IFERROR(VLOOKUP(1*LEFT(C286,7),DF!$A$1:$F$9446,2,FALSE),"")</f>
        <v>ESC BORD SAN JUAN POLICIA  BARG</v>
      </c>
      <c r="F286">
        <v>7709606</v>
      </c>
      <c r="G286" t="s">
        <v>13444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 t="shared" si="5"/>
        <v>7709700##</v>
      </c>
      <c r="D287" s="2"/>
      <c r="E287" s="2" t="str">
        <f>IFERROR(VLOOKUP(1*LEFT(C287,7),DF!$A$1:$F$9446,2,FALSE),"")</f>
        <v>ESC BORD SAN LUIS POLICIA TVS477-04</v>
      </c>
      <c r="F287">
        <v>7709700</v>
      </c>
      <c r="G287" t="s">
        <v>13445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 t="shared" ref="C288:C351" si="6">CONCATENATE(F288,"##")</f>
        <v>7709410##</v>
      </c>
      <c r="D288" s="2"/>
      <c r="E288" s="2" t="str">
        <f>IFERROR(VLOOKUP(1*LEFT(C288,7),DF!$A$1:$F$9446,2,FALSE),"")</f>
        <v>ESC BORD STA CRUZ  POL RER072 28</v>
      </c>
      <c r="F288">
        <v>7709410</v>
      </c>
      <c r="G288" t="s">
        <v>13446</v>
      </c>
      <c r="H288">
        <v>1</v>
      </c>
    </row>
    <row r="289" spans="1:8" x14ac:dyDescent="0.25">
      <c r="A289" s="2">
        <v>16522</v>
      </c>
      <c r="B289" s="2" t="s">
        <v>4</v>
      </c>
      <c r="C289" s="2" t="str">
        <f t="shared" si="6"/>
        <v>7709457##</v>
      </c>
      <c r="D289" s="2"/>
      <c r="E289" s="2" t="str">
        <f>IFERROR(VLOOKUP(1*LEFT(C289,7),DF!$A$1:$F$9446,2,FALSE),"")</f>
        <v>ESC BORD STA CRUZ ALCALDIA POLICIAL BV</v>
      </c>
      <c r="F289">
        <v>7709457</v>
      </c>
      <c r="G289" t="s">
        <v>13447</v>
      </c>
      <c r="H289">
        <v>1</v>
      </c>
    </row>
    <row r="290" spans="1:8" x14ac:dyDescent="0.25">
      <c r="A290" s="2">
        <v>16522</v>
      </c>
      <c r="B290" s="2" t="s">
        <v>4</v>
      </c>
      <c r="C290" s="2" t="str">
        <f t="shared" si="6"/>
        <v>7709411##</v>
      </c>
      <c r="D290" s="2"/>
      <c r="E290" s="2" t="str">
        <f>IFERROR(VLOOKUP(1*LEFT(C290,7),DF!$A$1:$F$9446,2,FALSE),"")</f>
        <v>ESC BORD STA CRUZ BAJA VISIBILIDAD</v>
      </c>
      <c r="F290">
        <v>7709411</v>
      </c>
      <c r="G290" t="s">
        <v>13448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 t="shared" si="6"/>
        <v>7709902##</v>
      </c>
      <c r="D291" s="2"/>
      <c r="E291" s="2" t="str">
        <f>IFERROR(VLOOKUP(1*LEFT(C291,7),DF!$A$1:$F$9446,2,FALSE),"")</f>
        <v>ESC BORD STA CRUZ BOMBERO TVS536-14</v>
      </c>
      <c r="F291">
        <v>7709902</v>
      </c>
      <c r="G291" t="s">
        <v>13449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 t="shared" si="6"/>
        <v>7709455##</v>
      </c>
      <c r="D292" s="2"/>
      <c r="E292" s="2" t="str">
        <f>IFERROR(VLOOKUP(1*LEFT(C292,7),DF!$A$1:$F$9446,2,FALSE),"")</f>
        <v>ESC BORD STA CRUZ GEOR BAJA VIS</v>
      </c>
      <c r="F292">
        <v>7709455</v>
      </c>
      <c r="G292" t="s">
        <v>13450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 t="shared" si="6"/>
        <v>7709800##</v>
      </c>
      <c r="D293" s="2"/>
      <c r="E293" s="2" t="str">
        <f>IFERROR(VLOOKUP(1*LEFT(C293,7),DF!$A$1:$F$9446,2,FALSE),"")</f>
        <v>ESC BORD T. FUEGO POLI DIARIO</v>
      </c>
      <c r="F293">
        <v>7709800</v>
      </c>
      <c r="G293" t="s">
        <v>13451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 t="shared" si="6"/>
        <v>7709801##</v>
      </c>
      <c r="D294" s="2"/>
      <c r="E294" s="2" t="str">
        <f>IFERROR(VLOOKUP(1*LEFT(C294,7),DF!$A$1:$F$9446,2,FALSE),"")</f>
        <v>ESC BORD T. FUEGO POLI GALA</v>
      </c>
      <c r="F294">
        <v>7709801</v>
      </c>
      <c r="G294" t="s">
        <v>13452</v>
      </c>
      <c r="H294">
        <v>1</v>
      </c>
    </row>
    <row r="295" spans="1:8" x14ac:dyDescent="0.25">
      <c r="A295">
        <v>16522</v>
      </c>
      <c r="B295" t="s">
        <v>4</v>
      </c>
      <c r="C295" t="str">
        <f t="shared" si="6"/>
        <v>7709425##</v>
      </c>
      <c r="E295" t="str">
        <f>IFERROR(VLOOKUP(1*LEFT(C295,7),DF!$A$1:$F$9446,2,FALSE),"")</f>
        <v>ESC BORD TMAN  POLICIA BARG</v>
      </c>
      <c r="F295">
        <v>7709425</v>
      </c>
      <c r="G295" t="s">
        <v>13453</v>
      </c>
      <c r="H295">
        <v>1</v>
      </c>
    </row>
    <row r="296" spans="1:8" x14ac:dyDescent="0.25">
      <c r="A296">
        <v>16522</v>
      </c>
      <c r="B296" t="s">
        <v>4</v>
      </c>
      <c r="C296" t="str">
        <f t="shared" si="6"/>
        <v>7711091##</v>
      </c>
      <c r="E296" t="str">
        <f>IFERROR(VLOOKUP(1*LEFT(C296,7),DF!$A$1:$F$9446,2,FALSE),"")</f>
        <v>ESC BORD TMAN BANANITA  BARG BI</v>
      </c>
      <c r="F296">
        <v>7711091</v>
      </c>
      <c r="G296" t="s">
        <v>13454</v>
      </c>
      <c r="H296">
        <v>1</v>
      </c>
    </row>
    <row r="297" spans="1:8" x14ac:dyDescent="0.25">
      <c r="A297">
        <v>16522</v>
      </c>
      <c r="B297" t="s">
        <v>4</v>
      </c>
      <c r="C297" t="str">
        <f t="shared" si="6"/>
        <v>7709460##</v>
      </c>
      <c r="E297" t="str">
        <f>IFERROR(VLOOKUP(1*LEFT(C297,7),DF!$A$1:$F$9446,2,FALSE),"")</f>
        <v>ESC BORD TMAN BANANITA C.E.R.O.</v>
      </c>
      <c r="F297">
        <v>7709460</v>
      </c>
      <c r="G297" t="s">
        <v>13455</v>
      </c>
      <c r="H297">
        <v>1</v>
      </c>
    </row>
    <row r="298" spans="1:8" x14ac:dyDescent="0.25">
      <c r="A298">
        <v>16522</v>
      </c>
      <c r="B298" t="s">
        <v>4</v>
      </c>
      <c r="C298" t="str">
        <f t="shared" si="6"/>
        <v>7709461##</v>
      </c>
      <c r="E298" t="str">
        <f>IFERROR(VLOOKUP(1*LEFT(C298,7),DF!$A$1:$F$9446,2,FALSE),"")</f>
        <v>ESC BORD TMAN BRAZO C.E.R.O.</v>
      </c>
      <c r="F298">
        <v>7709461</v>
      </c>
      <c r="G298" t="s">
        <v>13456</v>
      </c>
      <c r="H298">
        <v>1</v>
      </c>
    </row>
    <row r="299" spans="1:8" x14ac:dyDescent="0.25">
      <c r="A299">
        <v>16522</v>
      </c>
      <c r="B299" t="s">
        <v>4</v>
      </c>
      <c r="C299" t="str">
        <f t="shared" si="6"/>
        <v>7709465##</v>
      </c>
      <c r="E299" t="str">
        <f>IFERROR(VLOOKUP(1*LEFT(C299,7),DF!$A$1:$F$9446,2,FALSE),"")</f>
        <v>ESC BORD TMAN DIR GRAL PREV URBANA</v>
      </c>
      <c r="F299">
        <v>7709465</v>
      </c>
      <c r="G299" t="s">
        <v>13457</v>
      </c>
      <c r="H299">
        <v>1</v>
      </c>
    </row>
    <row r="300" spans="1:8" x14ac:dyDescent="0.25">
      <c r="A300">
        <v>16522</v>
      </c>
      <c r="B300" t="s">
        <v>4</v>
      </c>
      <c r="C300" t="str">
        <f t="shared" si="6"/>
        <v>7709341##</v>
      </c>
      <c r="E300" t="str">
        <f>IFERROR(VLOOKUP(1*LEFT(C300,7),DF!$A$1:$F$9446,2,FALSE),"")</f>
        <v>ESC BORD TMAN PENIT GRIS</v>
      </c>
      <c r="F300">
        <v>7709341</v>
      </c>
      <c r="G300" t="s">
        <v>13458</v>
      </c>
      <c r="H300">
        <v>1</v>
      </c>
    </row>
    <row r="301" spans="1:8" x14ac:dyDescent="0.25">
      <c r="A301">
        <v>16522</v>
      </c>
      <c r="B301" t="s">
        <v>4</v>
      </c>
      <c r="C301" t="str">
        <f t="shared" si="6"/>
        <v>7709308##</v>
      </c>
      <c r="E301" s="2" t="str">
        <f>IFERROR(VLOOKUP(1*LEFT(C301,7),DF!$A$1:$F$9446,2,FALSE),"")</f>
        <v>ESC BORD UCCEE BOINA BV</v>
      </c>
      <c r="F301">
        <v>7709308</v>
      </c>
      <c r="G301" t="s">
        <v>13459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 t="shared" si="6"/>
        <v>7710004##</v>
      </c>
      <c r="D302" s="2"/>
      <c r="E302" s="2" t="str">
        <f>IFERROR(VLOOKUP(1*LEFT(C302,7),DF!$A$1:$F$9446,2,FALSE),"")</f>
        <v>ESC GOMA CHUBUT BV</v>
      </c>
      <c r="F302">
        <v>7710004</v>
      </c>
      <c r="G302" t="s">
        <v>13460</v>
      </c>
      <c r="H302">
        <v>1</v>
      </c>
    </row>
    <row r="303" spans="1:8" x14ac:dyDescent="0.25">
      <c r="A303">
        <v>16522</v>
      </c>
      <c r="B303" t="s">
        <v>4</v>
      </c>
      <c r="C303" t="str">
        <f t="shared" si="6"/>
        <v>7710001##</v>
      </c>
      <c r="E303" t="str">
        <f>IFERROR(VLOOKUP(1*LEFT(C303,7),DF!$A$1:$F$9446,2,FALSE),"")</f>
        <v>ESC GOMA POLICIA DE MENDOZA COLOR</v>
      </c>
      <c r="F303" s="7">
        <v>7710001</v>
      </c>
      <c r="G303" t="s">
        <v>13461</v>
      </c>
      <c r="H303">
        <v>1</v>
      </c>
    </row>
    <row r="304" spans="1:8" x14ac:dyDescent="0.25">
      <c r="A304">
        <v>16522</v>
      </c>
      <c r="B304" t="s">
        <v>4</v>
      </c>
      <c r="C304" t="str">
        <f t="shared" si="6"/>
        <v>7710221##</v>
      </c>
      <c r="E304" t="str">
        <f>IFERROR(VLOOKUP(1*LEFT(C304,7),DF!$A$1:$F$9446,2,FALSE),"")</f>
        <v>ESC GOMA POLICIA NQN BAJA VISIBILIDAD</v>
      </c>
      <c r="F304">
        <v>7710221</v>
      </c>
      <c r="G304" t="s">
        <v>13462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 t="shared" si="6"/>
        <v>7710007##</v>
      </c>
      <c r="D305" s="2"/>
      <c r="E305" s="2" t="str">
        <f>IFERROR(VLOOKUP(1*LEFT(C305,7),DF!$A$1:$F$9446,2,FALSE),"")</f>
        <v>ESC GOMA POLICIA SALTA BV GOA</v>
      </c>
      <c r="F305">
        <v>7710007</v>
      </c>
      <c r="G305" t="s">
        <v>13463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 t="shared" si="6"/>
        <v>7710020##</v>
      </c>
      <c r="D306" s="2"/>
      <c r="E306" s="2" t="str">
        <f>IFERROR(VLOOKUP(1*LEFT(C306,7),DF!$A$1:$F$9446,2,FALSE),"")</f>
        <v>ESC GOMA POLICIA SANTA FE COLOR</v>
      </c>
      <c r="F306">
        <v>7710020</v>
      </c>
      <c r="G306" t="s">
        <v>13464</v>
      </c>
      <c r="H306">
        <v>1</v>
      </c>
    </row>
    <row r="307" spans="1:8" x14ac:dyDescent="0.25">
      <c r="A307">
        <v>16522</v>
      </c>
      <c r="B307" t="s">
        <v>4</v>
      </c>
      <c r="C307" t="str">
        <f t="shared" si="6"/>
        <v>7709668##</v>
      </c>
      <c r="E307" t="str">
        <f>IFERROR(VLOOKUP(1*LEFT(C307,7),DF!$A$1:$F$9446,2,FALSE),"")</f>
        <v>ESC UNIDAD CUERPOS ESPECIALES</v>
      </c>
      <c r="F307" s="7">
        <v>7709668</v>
      </c>
      <c r="G307" t="s">
        <v>13465</v>
      </c>
      <c r="H307">
        <v>1</v>
      </c>
    </row>
    <row r="308" spans="1:8" x14ac:dyDescent="0.25">
      <c r="A308">
        <v>16522</v>
      </c>
      <c r="B308" t="s">
        <v>4</v>
      </c>
      <c r="C308" t="str">
        <f t="shared" si="6"/>
        <v>8503045##</v>
      </c>
      <c r="E308" t="str">
        <f>IFERROR(VLOOKUP(1*LEFT(C308,7),DF!$A$1:$F$9446,2,FALSE),"")</f>
        <v>ESPOSAS CON BISAGRA 1211-7/3</v>
      </c>
      <c r="F308">
        <v>8503045</v>
      </c>
      <c r="G308" t="s">
        <v>13466</v>
      </c>
      <c r="H308">
        <v>3</v>
      </c>
    </row>
    <row r="309" spans="1:8" x14ac:dyDescent="0.25">
      <c r="A309" s="2">
        <v>16522</v>
      </c>
      <c r="B309" s="2" t="s">
        <v>4</v>
      </c>
      <c r="C309" s="2" t="str">
        <f t="shared" si="6"/>
        <v>8503012##</v>
      </c>
      <c r="D309" s="2"/>
      <c r="E309" s="2" t="str">
        <f>IFERROR(VLOOKUP(1*LEFT(C309,7),DF!$A$1:$F$9446,2,FALSE),"")</f>
        <v>ESPOSAS CON GANCHO EM-7/3 1211</v>
      </c>
      <c r="F309">
        <v>8503012</v>
      </c>
      <c r="G309" t="s">
        <v>14096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 t="shared" si="6"/>
        <v>8703703##</v>
      </c>
      <c r="D310" s="2"/>
      <c r="E310" s="2" t="str">
        <f>IFERROR(VLOOKUP(1*LEFT(C310,7),DF!$A$1:$F$9446,2,FALSE),"")</f>
        <v>FUNDA DE CUERO CON FLEJE 1044 TB</v>
      </c>
      <c r="F310">
        <v>8703703</v>
      </c>
      <c r="G310" t="s">
        <v>13467</v>
      </c>
      <c r="H310">
        <v>4</v>
      </c>
    </row>
    <row r="311" spans="1:8" x14ac:dyDescent="0.25">
      <c r="A311" s="2">
        <v>16522</v>
      </c>
      <c r="B311" s="2" t="s">
        <v>4</v>
      </c>
      <c r="C311" s="2" t="str">
        <f t="shared" si="6"/>
        <v>8703116##</v>
      </c>
      <c r="D311" s="2"/>
      <c r="E311" s="2" t="str">
        <f>IFERROR(VLOOKUP(1*LEFT(C311,7),DF!$A$1:$F$9446,2,FALSE),"")</f>
        <v>FUNDA FOBUS 4112 75D CZ-75D MIN</v>
      </c>
      <c r="F311">
        <v>8703116</v>
      </c>
      <c r="G311" t="s">
        <v>14061</v>
      </c>
      <c r="H311">
        <v>5</v>
      </c>
    </row>
    <row r="312" spans="1:8" x14ac:dyDescent="0.25">
      <c r="A312" s="2">
        <v>16522</v>
      </c>
      <c r="B312" s="2" t="s">
        <v>4</v>
      </c>
      <c r="C312" s="2" t="str">
        <f t="shared" si="6"/>
        <v>8703118##</v>
      </c>
      <c r="D312" s="2"/>
      <c r="E312" s="2" t="str">
        <f>IFERROR(VLOOKUP(1*LEFT(C312,7),DF!$A$1:$F$9446,2,FALSE),"")</f>
        <v>FUNDA FOBUS 4117 BRS-ND BERET PX4 ST MIN</v>
      </c>
      <c r="F312">
        <v>8703118</v>
      </c>
      <c r="G312" t="s">
        <v>13468</v>
      </c>
      <c r="H312">
        <v>5</v>
      </c>
    </row>
    <row r="313" spans="1:8" x14ac:dyDescent="0.25">
      <c r="A313" s="2">
        <v>16522</v>
      </c>
      <c r="B313" s="2" t="s">
        <v>4</v>
      </c>
      <c r="C313" s="2" t="str">
        <f t="shared" si="6"/>
        <v>8703103##</v>
      </c>
      <c r="D313" s="2"/>
      <c r="E313" s="2" t="str">
        <f>IFERROR(VLOOKUP(1*LEFT(C313,7),DF!$A$1:$F$9446,2,FALSE),"")</f>
        <v>FUNDA FOBUS 4122 SG-239/9 9MM NEWGEN MIN</v>
      </c>
      <c r="F313">
        <v>8703103</v>
      </c>
      <c r="G313" t="s">
        <v>13469</v>
      </c>
      <c r="H313">
        <v>4</v>
      </c>
    </row>
    <row r="314" spans="1:8" x14ac:dyDescent="0.25">
      <c r="A314" s="2">
        <v>16522</v>
      </c>
      <c r="B314" s="2" t="s">
        <v>4</v>
      </c>
      <c r="C314" s="2" t="str">
        <f t="shared" si="6"/>
        <v>8703157##</v>
      </c>
      <c r="D314" s="2"/>
      <c r="E314" s="2" t="str">
        <f>IFERROR(VLOOKUP(1*LEFT(C314,7),DF!$A$1:$F$9446,2,FALSE),"")</f>
        <v>FUNDA FOBUS 4147 TAURUS 24/7 C/BOT MIN</v>
      </c>
      <c r="F314">
        <v>8703157</v>
      </c>
      <c r="G314" t="s">
        <v>13470</v>
      </c>
      <c r="H314">
        <v>6</v>
      </c>
    </row>
    <row r="315" spans="1:8" x14ac:dyDescent="0.25">
      <c r="A315" s="2">
        <v>16522</v>
      </c>
      <c r="B315" s="2" t="s">
        <v>4</v>
      </c>
      <c r="C315" s="2" t="str">
        <f t="shared" si="6"/>
        <v>8703105##</v>
      </c>
      <c r="D315" s="2"/>
      <c r="E315" s="2" t="str">
        <f>IFERROR(VLOOKUP(1*LEFT(C315,7),DF!$A$1:$F$9446,2,FALSE),"")</f>
        <v>FUNDA FOBUS 4155 GLCH C BOTON LIBERA MIN</v>
      </c>
      <c r="F315">
        <v>8703105</v>
      </c>
      <c r="G315" t="s">
        <v>13471</v>
      </c>
      <c r="H315">
        <v>2</v>
      </c>
    </row>
    <row r="316" spans="1:8" x14ac:dyDescent="0.25">
      <c r="A316" s="2">
        <v>16522</v>
      </c>
      <c r="B316" s="2" t="s">
        <v>4</v>
      </c>
      <c r="C316" s="2" t="str">
        <f t="shared" si="6"/>
        <v>8703106##</v>
      </c>
      <c r="D316" s="2"/>
      <c r="E316" s="2" t="str">
        <f>IFERROR(VLOOKUP(1*LEFT(C316,7),DF!$A$1:$F$9446,2,FALSE),"")</f>
        <v>FUNDA FOBUS 4156 BRCH C BOTON MIN</v>
      </c>
      <c r="F316">
        <v>8703106</v>
      </c>
      <c r="G316" t="s">
        <v>13472</v>
      </c>
      <c r="H316">
        <v>4</v>
      </c>
    </row>
    <row r="317" spans="1:8" x14ac:dyDescent="0.25">
      <c r="A317" s="2">
        <v>16522</v>
      </c>
      <c r="B317" s="2" t="s">
        <v>4</v>
      </c>
      <c r="C317" s="2" t="str">
        <f t="shared" si="6"/>
        <v>8703107##</v>
      </c>
      <c r="D317" s="2"/>
      <c r="E317" s="2" t="str">
        <f>IFERROR(VLOOKUP(1*LEFT(C317,7),DF!$A$1:$F$9446,2,FALSE),"")</f>
        <v>FUNDA FOBUS 4157 TACHC BOTON MIN</v>
      </c>
      <c r="F317">
        <v>8703107</v>
      </c>
      <c r="G317" t="s">
        <v>13473</v>
      </c>
      <c r="H317">
        <v>5</v>
      </c>
    </row>
    <row r="318" spans="1:8" x14ac:dyDescent="0.25">
      <c r="A318" s="2">
        <v>16522</v>
      </c>
      <c r="B318" s="2" t="s">
        <v>4</v>
      </c>
      <c r="C318" s="2" t="str">
        <f t="shared" si="6"/>
        <v>8703120##</v>
      </c>
      <c r="D318" s="2"/>
      <c r="E318" s="2" t="str">
        <f>IFERROR(VLOOKUP(1*LEFT(C318,7),DF!$A$1:$F$9446,2,FALSE),"")</f>
        <v>FUNDA FOBUS UNIVERSAL IWBM HOLSTERS MIN</v>
      </c>
      <c r="F318">
        <v>8703120</v>
      </c>
      <c r="G318" t="s">
        <v>13474</v>
      </c>
      <c r="H318">
        <v>4</v>
      </c>
    </row>
    <row r="319" spans="1:8" x14ac:dyDescent="0.25">
      <c r="A319" s="2">
        <v>16522</v>
      </c>
      <c r="B319" s="2" t="s">
        <v>4</v>
      </c>
      <c r="C319" s="2" t="str">
        <f t="shared" si="6"/>
        <v>8703004##</v>
      </c>
      <c r="D319" s="2"/>
      <c r="E319" s="2" t="str">
        <f>IFERROR(VLOOKUP(1*LEFT(C319,7),DF!$A$1:$F$9446,2,FALSE),"")</f>
        <v>FUNDA GAMUZA CON FLEJE 1044 TB</v>
      </c>
      <c r="F319">
        <v>8703004</v>
      </c>
      <c r="G319" t="s">
        <v>13475</v>
      </c>
      <c r="H319">
        <v>2</v>
      </c>
    </row>
    <row r="320" spans="1:8" x14ac:dyDescent="0.25">
      <c r="A320">
        <v>16522</v>
      </c>
      <c r="B320" t="s">
        <v>4</v>
      </c>
      <c r="C320" t="str">
        <f t="shared" si="6"/>
        <v>8703613##</v>
      </c>
      <c r="E320" t="str">
        <f>IFERROR(VLOOKUP(1*LEFT(C320,7),DF!$A$1:$F$9446,2,FALSE),"")</f>
        <v>FUNDA POLIA CON PORTACARG T613 TB RER</v>
      </c>
      <c r="F320">
        <v>8703613</v>
      </c>
      <c r="G320" t="s">
        <v>13476</v>
      </c>
      <c r="H320">
        <v>3</v>
      </c>
    </row>
    <row r="321" spans="1:8" x14ac:dyDescent="0.25">
      <c r="A321" s="2">
        <v>16522</v>
      </c>
      <c r="B321" s="2" t="s">
        <v>4</v>
      </c>
      <c r="C321" s="2" t="str">
        <f t="shared" si="6"/>
        <v>8703613##</v>
      </c>
      <c r="D321" s="2"/>
      <c r="E321" s="2" t="str">
        <f>IFERROR(VLOOKUP(1*LEFT(C321,7),DF!$A$1:$F$9446,2,FALSE),"")</f>
        <v>FUNDA POLIA CON PORTACARG T613 TB RER</v>
      </c>
      <c r="F321">
        <v>8703613</v>
      </c>
      <c r="G321" t="s">
        <v>13476</v>
      </c>
      <c r="H321">
        <v>3</v>
      </c>
    </row>
    <row r="322" spans="1:8" x14ac:dyDescent="0.25">
      <c r="A322" s="2">
        <v>16522</v>
      </c>
      <c r="B322" s="2" t="s">
        <v>4</v>
      </c>
      <c r="C322" s="2" t="str">
        <f t="shared" si="6"/>
        <v>8305000##</v>
      </c>
      <c r="D322" s="2"/>
      <c r="E322" s="2" t="str">
        <f>IFERROR(VLOOKUP(1*LEFT(C322,7),DF!$A$1:$F$9446,2,FALSE),"")</f>
        <v>GORRA AZUL SIN ATRIBUTOS RER</v>
      </c>
      <c r="F322" s="7">
        <v>8305000</v>
      </c>
      <c r="G322" t="s">
        <v>13477</v>
      </c>
      <c r="H322">
        <v>3</v>
      </c>
    </row>
    <row r="323" spans="1:8" x14ac:dyDescent="0.25">
      <c r="A323" s="2">
        <v>16522</v>
      </c>
      <c r="B323" s="2" t="s">
        <v>4</v>
      </c>
      <c r="C323" s="2" t="str">
        <f t="shared" si="6"/>
        <v>8305006##</v>
      </c>
      <c r="D323" s="2"/>
      <c r="E323" s="2" t="str">
        <f>IFERROR(VLOOKUP(1*LEFT(C323,7),DF!$A$1:$F$9446,2,FALSE),"")</f>
        <v>GORRA AZUL VISERA SUB COMISA/COMISA RER</v>
      </c>
      <c r="F323" s="7">
        <v>8305006</v>
      </c>
      <c r="G323" t="s">
        <v>13478</v>
      </c>
      <c r="H323">
        <v>3</v>
      </c>
    </row>
    <row r="324" spans="1:8" x14ac:dyDescent="0.25">
      <c r="A324" s="2">
        <v>16522</v>
      </c>
      <c r="B324" s="2" t="s">
        <v>4</v>
      </c>
      <c r="C324" s="2" t="str">
        <f t="shared" si="6"/>
        <v>8305001##</v>
      </c>
      <c r="D324" s="2"/>
      <c r="E324" s="2" t="str">
        <f>IFERROR(VLOOKUP(1*LEFT(C324,7),DF!$A$1:$F$9446,2,FALSE),"")</f>
        <v>GORRA GRIS SIN ATRIBUTOS RER</v>
      </c>
      <c r="F324" s="7">
        <v>8305001</v>
      </c>
      <c r="G324" t="s">
        <v>13479</v>
      </c>
      <c r="H324">
        <v>3</v>
      </c>
    </row>
    <row r="325" spans="1:8" x14ac:dyDescent="0.25">
      <c r="A325" s="2">
        <v>16522</v>
      </c>
      <c r="B325" s="2" t="s">
        <v>4</v>
      </c>
      <c r="C325" s="2" t="str">
        <f t="shared" si="6"/>
        <v>8305002##</v>
      </c>
      <c r="D325" s="2"/>
      <c r="E325" s="2" t="str">
        <f>IFERROR(VLOOKUP(1*LEFT(C325,7),DF!$A$1:$F$9446,2,FALSE),"")</f>
        <v>GORRA NEGRA SIN ATRIBUTOS RER</v>
      </c>
      <c r="F325" s="7">
        <v>8305002</v>
      </c>
      <c r="G325" t="s">
        <v>13480</v>
      </c>
      <c r="H325">
        <v>3</v>
      </c>
    </row>
    <row r="326" spans="1:8" x14ac:dyDescent="0.25">
      <c r="A326" s="2">
        <v>16522</v>
      </c>
      <c r="B326" s="2" t="s">
        <v>4</v>
      </c>
      <c r="C326" s="2" t="str">
        <f t="shared" si="6"/>
        <v>8400010##</v>
      </c>
      <c r="D326" s="2"/>
      <c r="E326" s="2" t="str">
        <f>IFERROR(VLOOKUP(1*LEFT(C326,7),DF!$A$1:$F$9446,2,FALSE),"")</f>
        <v>GORRITA BEISBOL LISA GRIS GEI</v>
      </c>
      <c r="F326">
        <v>8400010</v>
      </c>
      <c r="G326" t="s">
        <v>14093</v>
      </c>
      <c r="H326">
        <v>2</v>
      </c>
    </row>
    <row r="327" spans="1:8" x14ac:dyDescent="0.25">
      <c r="A327">
        <v>16522</v>
      </c>
      <c r="B327" t="s">
        <v>4</v>
      </c>
      <c r="C327" t="str">
        <f t="shared" si="6"/>
        <v>8400002##</v>
      </c>
      <c r="E327" t="str">
        <f>IFERROR(VLOOKUP(1*LEFT(C327,7),DF!$A$1:$F$9446,2,FALSE),"")</f>
        <v>GORRITA BEISBOL LISA NEGRA GEI</v>
      </c>
      <c r="F327">
        <v>8400002</v>
      </c>
      <c r="G327" t="s">
        <v>13481</v>
      </c>
      <c r="H327">
        <v>2</v>
      </c>
    </row>
    <row r="328" spans="1:8" x14ac:dyDescent="0.25">
      <c r="A328" s="2">
        <v>16522</v>
      </c>
      <c r="B328" s="2" t="s">
        <v>4</v>
      </c>
      <c r="C328" s="2" t="str">
        <f t="shared" si="6"/>
        <v>8400689##</v>
      </c>
      <c r="D328" s="2"/>
      <c r="E328" s="2" t="str">
        <f>IFERROR(VLOOKUP(1*LEFT(C328,7),DF!$A$1:$F$9446,2,FALSE),"")</f>
        <v>GORRITA F1 NEGRA AJUSTABLE 4689</v>
      </c>
      <c r="F328">
        <v>8400689</v>
      </c>
      <c r="G328" t="s">
        <v>14095</v>
      </c>
      <c r="H328">
        <v>3</v>
      </c>
    </row>
    <row r="329" spans="1:8" x14ac:dyDescent="0.25">
      <c r="A329" s="2">
        <v>16522</v>
      </c>
      <c r="B329" s="2" t="s">
        <v>4</v>
      </c>
      <c r="C329" s="2" t="str">
        <f t="shared" si="6"/>
        <v>8400128##</v>
      </c>
      <c r="D329" s="2"/>
      <c r="E329" s="2" t="str">
        <f>IFERROR(VLOOKUP(1*LEFT(C329,7),DF!$A$1:$F$9446,2,FALSE),"")</f>
        <v>GORRITA F54 AZUL 6 GAJOS 5469 AJUSTABLE-</v>
      </c>
      <c r="F329">
        <v>8400128</v>
      </c>
      <c r="G329" t="s">
        <v>14094</v>
      </c>
      <c r="H329">
        <v>2</v>
      </c>
    </row>
    <row r="330" spans="1:8" x14ac:dyDescent="0.25">
      <c r="A330" s="2">
        <v>16522</v>
      </c>
      <c r="B330" s="2" t="s">
        <v>4</v>
      </c>
      <c r="C330" s="2" t="str">
        <f t="shared" si="6"/>
        <v>8400650##</v>
      </c>
      <c r="D330" s="2"/>
      <c r="E330" s="2" t="str">
        <f>IFERROR(VLOOKUP(1*LEFT(C330,7),DF!$A$1:$F$9446,2,FALSE),"")</f>
        <v>GORRITA RIO NEGRO POL OFICIAL BI</v>
      </c>
      <c r="F330" s="7">
        <v>8400650</v>
      </c>
      <c r="G330" t="s">
        <v>13482</v>
      </c>
      <c r="H330">
        <v>4</v>
      </c>
    </row>
    <row r="331" spans="1:8" x14ac:dyDescent="0.25">
      <c r="A331" s="2">
        <v>16522</v>
      </c>
      <c r="B331" s="2" t="s">
        <v>4</v>
      </c>
      <c r="C331" s="2" t="str">
        <f t="shared" si="6"/>
        <v>8400119##</v>
      </c>
      <c r="D331" s="2"/>
      <c r="E331" s="2" t="str">
        <f>IFERROR(VLOOKUP(1*LEFT(C331,7),DF!$A$1:$F$9446,2,FALSE),"")</f>
        <v>GORRITA SEGURIDAD NEGRA  BORD AMA/BLA BI</v>
      </c>
      <c r="F331">
        <v>8400119</v>
      </c>
      <c r="G331" t="s">
        <v>14092</v>
      </c>
      <c r="H331">
        <v>5</v>
      </c>
    </row>
    <row r="332" spans="1:8" x14ac:dyDescent="0.25">
      <c r="A332" s="2">
        <v>16522</v>
      </c>
      <c r="B332" s="2" t="s">
        <v>4</v>
      </c>
      <c r="C332" s="2" t="str">
        <f t="shared" si="6"/>
        <v>8306100##</v>
      </c>
      <c r="D332" s="2"/>
      <c r="E332" s="2" t="str">
        <f>IFERROR(VLOOKUP(1*LEFT(C332,7),DF!$A$1:$F$9446,2,FALSE),"")</f>
        <v>GORRO CON PIEL IMP</v>
      </c>
      <c r="F332">
        <v>8306100</v>
      </c>
      <c r="G332" t="s">
        <v>13483</v>
      </c>
      <c r="H332">
        <v>7</v>
      </c>
    </row>
    <row r="333" spans="1:8" x14ac:dyDescent="0.25">
      <c r="A333" s="2">
        <v>16522</v>
      </c>
      <c r="B333" s="2" t="s">
        <v>4</v>
      </c>
      <c r="C333" s="2" t="str">
        <f t="shared" si="6"/>
        <v>8400240##</v>
      </c>
      <c r="D333" s="2"/>
      <c r="E333" s="2" t="str">
        <f>IFERROR(VLOOKUP(1*LEFT(C333,7),DF!$A$1:$F$9446,2,FALSE),"")</f>
        <v>GORRO LANA ROCKY 53240 SIN FORRAR RER</v>
      </c>
      <c r="F333">
        <v>8400240</v>
      </c>
      <c r="G333" t="s">
        <v>13484</v>
      </c>
      <c r="H333">
        <v>1</v>
      </c>
    </row>
    <row r="334" spans="1:8" x14ac:dyDescent="0.25">
      <c r="A334" s="2">
        <v>16522</v>
      </c>
      <c r="B334" s="2" t="s">
        <v>4</v>
      </c>
      <c r="C334" s="2" t="str">
        <f t="shared" si="6"/>
        <v>8306101##</v>
      </c>
      <c r="D334" s="2"/>
      <c r="E334" s="2" t="str">
        <f>IFERROR(VLOOKUP(1*LEFT(C334,7),DF!$A$1:$F$9446,2,FALSE),"")</f>
        <v>GORRO PIEL CON REFLECTIVO IMP 1120</v>
      </c>
      <c r="F334">
        <v>8306101</v>
      </c>
      <c r="G334" t="s">
        <v>13485</v>
      </c>
      <c r="H334">
        <v>3</v>
      </c>
    </row>
    <row r="335" spans="1:8" x14ac:dyDescent="0.25">
      <c r="A335" s="2">
        <v>16522</v>
      </c>
      <c r="B335" s="2" t="s">
        <v>4</v>
      </c>
      <c r="C335" s="2" t="str">
        <f t="shared" si="6"/>
        <v>8306200##</v>
      </c>
      <c r="D335" s="2"/>
      <c r="E335" s="2" t="str">
        <f>IFERROR(VLOOKUP(1*LEFT(C335,7),DF!$A$1:$F$9446,2,FALSE),"")</f>
        <v>GORRO POLAR IMP 1163</v>
      </c>
      <c r="F335" s="7">
        <v>8306200</v>
      </c>
      <c r="G335" t="s">
        <v>13486</v>
      </c>
      <c r="H335">
        <v>2</v>
      </c>
    </row>
    <row r="336" spans="1:8" x14ac:dyDescent="0.25">
      <c r="A336" s="2">
        <v>16522</v>
      </c>
      <c r="B336" s="2" t="s">
        <v>4</v>
      </c>
      <c r="C336" s="2" t="str">
        <f t="shared" si="6"/>
        <v>8400661##</v>
      </c>
      <c r="D336" s="2"/>
      <c r="E336" s="2" t="str">
        <f>IFERROR(VLOOKUP(1*LEFT(C336,7),DF!$A$1:$F$9446,2,FALSE),"")</f>
        <v>GORRO VERDUGO RER</v>
      </c>
      <c r="F336">
        <v>8400661</v>
      </c>
      <c r="G336" t="s">
        <v>13487</v>
      </c>
      <c r="H336">
        <v>1</v>
      </c>
    </row>
    <row r="337" spans="1:9" x14ac:dyDescent="0.25">
      <c r="A337" s="2">
        <v>16522</v>
      </c>
      <c r="B337" s="2" t="s">
        <v>4</v>
      </c>
      <c r="C337" s="2" t="str">
        <f t="shared" si="6"/>
        <v>8517235##</v>
      </c>
      <c r="D337" s="2"/>
      <c r="E337" s="2" t="str">
        <f>IFERROR(VLOOKUP(1*LEFT(C337,7),DF!$A$1:$F$9446,2,FALSE),"")</f>
        <v>GUANTES BLANCOS LMGE RER</v>
      </c>
      <c r="F337" s="7">
        <v>8517235</v>
      </c>
      <c r="G337" t="s">
        <v>13488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 t="shared" si="6"/>
        <v>8517103##</v>
      </c>
      <c r="D338" s="2"/>
      <c r="E338" s="2" t="str">
        <f>IFERROR(VLOOKUP(1*LEFT(C338,7),DF!$A$1:$F$9446,2,FALSE),"")</f>
        <v>GUANTES CABRITILLA 6/14 RER</v>
      </c>
      <c r="F338" s="7">
        <v>8517103</v>
      </c>
      <c r="G338" t="s">
        <v>13489</v>
      </c>
      <c r="H338">
        <v>3</v>
      </c>
    </row>
    <row r="339" spans="1:9" x14ac:dyDescent="0.25">
      <c r="A339" s="2">
        <v>16522</v>
      </c>
      <c r="B339" s="2" t="s">
        <v>4</v>
      </c>
      <c r="C339" s="2" t="str">
        <f t="shared" si="6"/>
        <v>8717033##</v>
      </c>
      <c r="D339" s="2"/>
      <c r="E339" s="2" t="str">
        <f>IFERROR(VLOOKUP(1*LEFT(C339,7),DF!$A$1:$F$9446,2,FALSE),"")</f>
        <v>GUANTES NEOPRENE S/DEDO T S/XXL RER</v>
      </c>
      <c r="F339" s="7">
        <v>8717033</v>
      </c>
      <c r="G339" t="s">
        <v>13490</v>
      </c>
      <c r="H339">
        <v>4</v>
      </c>
      <c r="I339">
        <v>1</v>
      </c>
    </row>
    <row r="340" spans="1:9" x14ac:dyDescent="0.25">
      <c r="A340">
        <v>16522</v>
      </c>
      <c r="B340" t="s">
        <v>4</v>
      </c>
      <c r="C340" t="str">
        <f t="shared" si="6"/>
        <v>8517906##</v>
      </c>
      <c r="E340" t="str">
        <f>IFERROR(VLOOKUP(1*LEFT(C340,7),DF!$A$1:$F$9446,2,FALSE),"")</f>
        <v>GUANTES TACTICO MITON BEIGE CORTO OR</v>
      </c>
      <c r="F340">
        <v>8517906</v>
      </c>
      <c r="G340" t="s">
        <v>13491</v>
      </c>
      <c r="H340">
        <v>4</v>
      </c>
    </row>
    <row r="341" spans="1:9" x14ac:dyDescent="0.25">
      <c r="A341">
        <v>16522</v>
      </c>
      <c r="B341" t="s">
        <v>4</v>
      </c>
      <c r="C341" t="str">
        <f t="shared" si="6"/>
        <v>8517901##</v>
      </c>
      <c r="E341" t="str">
        <f>IFERROR(VLOOKUP(1*LEFT(C341,7),DF!$A$1:$F$9446,2,FALSE),"")</f>
        <v>GUANTES TACTICO MITON BEIGE LARGO OR</v>
      </c>
      <c r="F341">
        <v>8517901</v>
      </c>
      <c r="G341" t="s">
        <v>13492</v>
      </c>
      <c r="H341">
        <v>4</v>
      </c>
    </row>
    <row r="342" spans="1:9" x14ac:dyDescent="0.25">
      <c r="A342" s="2">
        <v>16522</v>
      </c>
      <c r="B342" s="2" t="s">
        <v>4</v>
      </c>
      <c r="C342" s="2" t="str">
        <f t="shared" si="6"/>
        <v>8517905##</v>
      </c>
      <c r="D342" s="2"/>
      <c r="E342" s="2" t="str">
        <f>IFERROR(VLOOKUP(1*LEFT(C342,7),DF!$A$1:$F$9446,2,FALSE),"")</f>
        <v>GUANTES TACTICO MITON NEGRO CORTO OR</v>
      </c>
      <c r="F342" s="7">
        <v>8517905</v>
      </c>
      <c r="G342" t="s">
        <v>13493</v>
      </c>
      <c r="H342">
        <v>4</v>
      </c>
    </row>
    <row r="343" spans="1:9" x14ac:dyDescent="0.25">
      <c r="A343">
        <v>16522</v>
      </c>
      <c r="B343" t="s">
        <v>4</v>
      </c>
      <c r="C343" t="str">
        <f t="shared" si="6"/>
        <v>8517900##</v>
      </c>
      <c r="E343" t="str">
        <f>IFERROR(VLOOKUP(1*LEFT(C343,7),DF!$A$1:$F$9446,2,FALSE),"")</f>
        <v>GUANTES TACTICO MITON NEGRO LARGO OR</v>
      </c>
      <c r="F343">
        <v>8517900</v>
      </c>
      <c r="G343" t="s">
        <v>13494</v>
      </c>
      <c r="H343">
        <v>2</v>
      </c>
    </row>
    <row r="344" spans="1:9" x14ac:dyDescent="0.25">
      <c r="A344">
        <v>16522</v>
      </c>
      <c r="B344" t="s">
        <v>4</v>
      </c>
      <c r="C344" t="str">
        <f t="shared" si="6"/>
        <v>8517904##</v>
      </c>
      <c r="E344" t="str">
        <f>IFERROR(VLOOKUP(1*LEFT(C344,7),DF!$A$1:$F$9446,2,FALSE),"")</f>
        <v>GUANTES TACTICO MITON VERDE CORTO OR</v>
      </c>
      <c r="F344">
        <v>8517904</v>
      </c>
      <c r="G344" t="s">
        <v>13495</v>
      </c>
      <c r="H344">
        <v>3</v>
      </c>
    </row>
    <row r="345" spans="1:9" x14ac:dyDescent="0.25">
      <c r="A345">
        <v>16522</v>
      </c>
      <c r="B345" t="s">
        <v>4</v>
      </c>
      <c r="C345" t="str">
        <f t="shared" si="6"/>
        <v>8517902##</v>
      </c>
      <c r="E345" t="str">
        <f>IFERROR(VLOOKUP(1*LEFT(C345,7),DF!$A$1:$F$9446,2,FALSE),"")</f>
        <v>GUANTES TACTICO MITON VERDE LARGO OR</v>
      </c>
      <c r="F345">
        <v>8517902</v>
      </c>
      <c r="G345" t="s">
        <v>13496</v>
      </c>
      <c r="H345">
        <v>4</v>
      </c>
    </row>
    <row r="346" spans="1:9" x14ac:dyDescent="0.25">
      <c r="A346" s="2">
        <v>16522</v>
      </c>
      <c r="B346" s="2" t="s">
        <v>4</v>
      </c>
      <c r="C346" s="2" t="str">
        <f t="shared" si="6"/>
        <v>8517000##</v>
      </c>
      <c r="D346" s="2"/>
      <c r="E346" s="2" t="str">
        <f>IFERROR(VLOOKUP(1*LEFT(C346,7),DF!$A$1:$F$9446,2,FALSE),"")</f>
        <v>GUANTES TERMICOS NEGRO RER</v>
      </c>
      <c r="F346" s="7">
        <v>8517000</v>
      </c>
      <c r="G346" t="s">
        <v>13497</v>
      </c>
      <c r="H346">
        <v>2</v>
      </c>
      <c r="I346">
        <v>1</v>
      </c>
    </row>
    <row r="347" spans="1:9" x14ac:dyDescent="0.25">
      <c r="A347">
        <v>16522</v>
      </c>
      <c r="B347" t="s">
        <v>4</v>
      </c>
      <c r="C347" t="str">
        <f t="shared" si="6"/>
        <v>7703056##</v>
      </c>
      <c r="E347" t="str">
        <f>IFERROR(VLOOKUP(1*LEFT(C347,7),DF!$A$1:$F$9446,2,FALSE),"")</f>
        <v>HOMB BI PENIT MZA 2 SOL SERR Y PALMA PREFECTO</v>
      </c>
      <c r="F347">
        <v>7703056</v>
      </c>
      <c r="G347" t="s">
        <v>13498</v>
      </c>
      <c r="H347">
        <v>1</v>
      </c>
    </row>
    <row r="348" spans="1:9" x14ac:dyDescent="0.25">
      <c r="A348">
        <v>16522</v>
      </c>
      <c r="B348" t="s">
        <v>4</v>
      </c>
      <c r="C348" t="str">
        <f t="shared" si="6"/>
        <v>7703057##</v>
      </c>
      <c r="E348" t="str">
        <f>IFERROR(VLOOKUP(1*LEFT(C348,7),DF!$A$1:$F$9446,2,FALSE),"")</f>
        <v>HOMB BI PENIT MZA 3 SOL SERR Y PALMA  PREF.GRAL.</v>
      </c>
      <c r="F348">
        <v>7703057</v>
      </c>
      <c r="G348" t="s">
        <v>13499</v>
      </c>
      <c r="H348">
        <v>1</v>
      </c>
    </row>
    <row r="349" spans="1:9" x14ac:dyDescent="0.25">
      <c r="A349">
        <v>16522</v>
      </c>
      <c r="B349" t="s">
        <v>4</v>
      </c>
      <c r="C349" t="str">
        <f t="shared" si="6"/>
        <v>7703051##</v>
      </c>
      <c r="E349" t="str">
        <f>IFERROR(VLOOKUP(1*LEFT(C349,7),DF!$A$1:$F$9446,2,FALSE),"")</f>
        <v>HOMB BI PENIT MZA ADJUTOR 2 SOL PLATEADO</v>
      </c>
      <c r="F349">
        <v>7703051</v>
      </c>
      <c r="G349" s="9" t="s">
        <v>13500</v>
      </c>
      <c r="H349">
        <v>2</v>
      </c>
    </row>
    <row r="350" spans="1:9" x14ac:dyDescent="0.25">
      <c r="A350">
        <v>16522</v>
      </c>
      <c r="B350" t="s">
        <v>4</v>
      </c>
      <c r="C350" t="str">
        <f t="shared" si="6"/>
        <v>7703052##</v>
      </c>
      <c r="E350" t="str">
        <f>IFERROR(VLOOKUP(1*LEFT(C350,7),DF!$A$1:$F$9446,2,FALSE),"")</f>
        <v>HOMB BI PENIT MZA ADJUTOR PRINCIPAL 3 SOL PLATEADO</v>
      </c>
      <c r="F350">
        <v>7703052</v>
      </c>
      <c r="G350" t="s">
        <v>13501</v>
      </c>
      <c r="H350">
        <v>1</v>
      </c>
    </row>
    <row r="351" spans="1:9" x14ac:dyDescent="0.25">
      <c r="A351">
        <v>16522</v>
      </c>
      <c r="B351" t="s">
        <v>4</v>
      </c>
      <c r="C351" t="str">
        <f t="shared" si="6"/>
        <v>7703050##</v>
      </c>
      <c r="E351" t="str">
        <f>IFERROR(VLOOKUP(1*LEFT(C351,7),DF!$A$1:$F$9446,2,FALSE),"")</f>
        <v>HOMB BI PENIT MZA SUB ADJUTOR 1 SOL PLATEADO</v>
      </c>
      <c r="F351">
        <v>7703050</v>
      </c>
      <c r="G351" s="9" t="s">
        <v>13502</v>
      </c>
      <c r="H351">
        <v>1</v>
      </c>
    </row>
    <row r="352" spans="1:9" x14ac:dyDescent="0.25">
      <c r="A352">
        <v>16522</v>
      </c>
      <c r="B352" t="s">
        <v>4</v>
      </c>
      <c r="C352" t="str">
        <f t="shared" ref="C352:C414" si="7">CONCATENATE(F352,"##")</f>
        <v>7703053##</v>
      </c>
      <c r="E352" t="str">
        <f>IFERROR(VLOOKUP(1*LEFT(C352,7),DF!$A$1:$F$9446,2,FALSE),"")</f>
        <v>HOMB BI PENIT MZA SUB ALCAIDE SERRETA 1 SOL DORADO</v>
      </c>
      <c r="F352">
        <v>7703053</v>
      </c>
      <c r="G352" t="s">
        <v>13503</v>
      </c>
      <c r="H352">
        <v>2</v>
      </c>
    </row>
    <row r="353" spans="1:8" x14ac:dyDescent="0.25">
      <c r="A353" s="2">
        <v>16522</v>
      </c>
      <c r="B353" s="2" t="s">
        <v>4</v>
      </c>
      <c r="C353" s="2" t="str">
        <f t="shared" si="7"/>
        <v>7703114##</v>
      </c>
      <c r="D353" s="2"/>
      <c r="E353" s="2" t="str">
        <f>IFERROR(VLOOKUP(1*LEFT(C353,7),DF!$A$1:$F$9446,2,FALSE),"")</f>
        <v>HOMB BI POL 1 ROMBO DORADO + 1 PLATEA</v>
      </c>
      <c r="F353">
        <v>7703114</v>
      </c>
      <c r="G353" t="s">
        <v>14320</v>
      </c>
      <c r="H353">
        <v>2</v>
      </c>
    </row>
    <row r="354" spans="1:8" x14ac:dyDescent="0.25">
      <c r="A354">
        <v>16522</v>
      </c>
      <c r="B354" t="s">
        <v>4</v>
      </c>
      <c r="C354" t="str">
        <f t="shared" si="7"/>
        <v>7703109##</v>
      </c>
      <c r="E354" t="str">
        <f>IFERROR(VLOOKUP(1*LEFT(C354,7),DF!$A$1:$F$9446,2,FALSE),"")</f>
        <v>HOMB BI POL ALCAIDE MAYOR 3SOL + SERR BI</v>
      </c>
      <c r="F354">
        <v>7703109</v>
      </c>
      <c r="G354" t="s">
        <v>13504</v>
      </c>
      <c r="H354">
        <v>1</v>
      </c>
    </row>
    <row r="355" spans="1:8" x14ac:dyDescent="0.25">
      <c r="A355">
        <v>16522</v>
      </c>
      <c r="B355" t="s">
        <v>4</v>
      </c>
      <c r="C355" t="str">
        <f t="shared" si="7"/>
        <v>7703185##</v>
      </c>
      <c r="E355" t="str">
        <f>IFERROR(VLOOKUP(1*LEFT(C355,7),DF!$A$1:$F$9446,2,FALSE),"")</f>
        <v>HOMB BI POL COMISARIO GENERAL</v>
      </c>
      <c r="F355">
        <v>7703185</v>
      </c>
      <c r="G355" t="s">
        <v>13505</v>
      </c>
      <c r="H355">
        <v>2</v>
      </c>
    </row>
    <row r="356" spans="1:8" x14ac:dyDescent="0.25">
      <c r="A356" s="2">
        <v>16522</v>
      </c>
      <c r="B356" s="2" t="s">
        <v>4</v>
      </c>
      <c r="C356" s="2" t="str">
        <f t="shared" si="7"/>
        <v>7703164##</v>
      </c>
      <c r="D356" s="2"/>
      <c r="E356" s="2" t="str">
        <f>IFERROR(VLOOKUP(1*LEFT(C356,7),DF!$A$1:$F$9446,2,FALSE),"")</f>
        <v>HOMB BI POL MZA AUX. SUPERIOR</v>
      </c>
      <c r="F356">
        <v>7703164</v>
      </c>
      <c r="G356" t="s">
        <v>13506</v>
      </c>
      <c r="H356">
        <v>2</v>
      </c>
    </row>
    <row r="357" spans="1:8" x14ac:dyDescent="0.25">
      <c r="A357">
        <v>16522</v>
      </c>
      <c r="B357" t="s">
        <v>4</v>
      </c>
      <c r="C357" t="str">
        <f t="shared" si="7"/>
        <v>7703158##</v>
      </c>
      <c r="E357" t="str">
        <f>IFERROR(VLOOKUP(1*LEFT(C357,7),DF!$A$1:$F$9446,2,FALSE),"")</f>
        <v>HOMB BORD ORO CRIO GRAL 3 ROMBOS DG</v>
      </c>
      <c r="F357">
        <v>7703158</v>
      </c>
      <c r="G357" t="s">
        <v>13507</v>
      </c>
      <c r="H357">
        <v>1</v>
      </c>
    </row>
    <row r="358" spans="1:8" x14ac:dyDescent="0.25">
      <c r="A358">
        <v>16522</v>
      </c>
      <c r="B358" t="s">
        <v>4</v>
      </c>
      <c r="C358" t="str">
        <f t="shared" si="7"/>
        <v>7703157##</v>
      </c>
      <c r="E358" t="str">
        <f>IFERROR(VLOOKUP(1*LEFT(C358,7),DF!$A$1:$F$9446,2,FALSE),"")</f>
        <v>HOMB BORD ORO CRIO GRAL 4 ROMBOS DG</v>
      </c>
      <c r="F358">
        <v>7703157</v>
      </c>
      <c r="G358" t="s">
        <v>13508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 t="shared" si="7"/>
        <v>7703815##</v>
      </c>
      <c r="D359" s="2"/>
      <c r="E359" s="2" t="str">
        <f>IFERROR(VLOOKUP(1*LEFT(C359,7),DF!$A$1:$F$9446,2,FALSE),"")</f>
        <v>HOMB GALA NUDO HUNGARO DORADA AZZ</v>
      </c>
      <c r="F359">
        <v>7703815</v>
      </c>
      <c r="G359" t="s">
        <v>13509</v>
      </c>
      <c r="H359">
        <v>2</v>
      </c>
    </row>
    <row r="360" spans="1:8" x14ac:dyDescent="0.25">
      <c r="A360" s="2">
        <v>16522</v>
      </c>
      <c r="B360" s="2" t="s">
        <v>4</v>
      </c>
      <c r="C360" s="2" t="str">
        <f t="shared" si="7"/>
        <v>7703881##</v>
      </c>
      <c r="D360" s="2"/>
      <c r="E360" s="2" t="str">
        <f>IFERROR(VLOOKUP(1*LEFT(C360,7),DF!$A$1:$F$9446,2,FALSE),"")</f>
        <v>HOMB GALA NUDO HUNGARO PLATEADA AZZ</v>
      </c>
      <c r="F360">
        <v>7703881</v>
      </c>
      <c r="G360" t="s">
        <v>13510</v>
      </c>
      <c r="H360">
        <v>2</v>
      </c>
    </row>
    <row r="361" spans="1:8" x14ac:dyDescent="0.25">
      <c r="A361">
        <v>16522</v>
      </c>
      <c r="B361" t="s">
        <v>4</v>
      </c>
      <c r="C361" t="str">
        <f t="shared" si="7"/>
        <v>7703130##</v>
      </c>
      <c r="E361" t="str">
        <f>IFERROR(VLOOKUP(1*LEFT(C361,7),DF!$A$1:$F$9446,2,FALSE),"")</f>
        <v>HOMB GALA POLICIA CINTA LAU NEGRA</v>
      </c>
      <c r="F361">
        <v>7703130</v>
      </c>
      <c r="G361" t="s">
        <v>13511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 t="shared" si="7"/>
        <v>7703702##</v>
      </c>
      <c r="D362" s="2"/>
      <c r="E362" s="2" t="str">
        <f>IFERROR(VLOOKUP(1*LEFT(C362,7),DF!$A$1:$F$9446,2,FALSE),"")</f>
        <v>HOMB NEGRA CABO 1 RER</v>
      </c>
      <c r="F362">
        <v>7703702</v>
      </c>
      <c r="G362" t="s">
        <v>13512</v>
      </c>
      <c r="H362">
        <v>2</v>
      </c>
    </row>
    <row r="363" spans="1:8" x14ac:dyDescent="0.25">
      <c r="A363" s="2">
        <v>16522</v>
      </c>
      <c r="B363" s="2" t="s">
        <v>4</v>
      </c>
      <c r="C363" s="2" t="str">
        <f t="shared" si="7"/>
        <v>7703701##</v>
      </c>
      <c r="D363" s="2"/>
      <c r="E363" s="2" t="str">
        <f>IFERROR(VLOOKUP(1*LEFT(C363,7),DF!$A$1:$F$9446,2,FALSE),"")</f>
        <v>HOMB NEGRA CABO RER</v>
      </c>
      <c r="F363">
        <v>7703701</v>
      </c>
      <c r="G363" t="s">
        <v>13513</v>
      </c>
      <c r="H363">
        <v>2</v>
      </c>
    </row>
    <row r="364" spans="1:8" x14ac:dyDescent="0.25">
      <c r="A364" s="2">
        <v>16522</v>
      </c>
      <c r="B364" s="2" t="s">
        <v>4</v>
      </c>
      <c r="C364" s="2" t="str">
        <f t="shared" si="7"/>
        <v>7703704##</v>
      </c>
      <c r="D364" s="2"/>
      <c r="E364" s="2" t="str">
        <f>IFERROR(VLOOKUP(1*LEFT(C364,7),DF!$A$1:$F$9446,2,FALSE),"")</f>
        <v>HOMB NEGRA SARGENTO 1 RER</v>
      </c>
      <c r="F364">
        <v>7703704</v>
      </c>
      <c r="G364" t="s">
        <v>13514</v>
      </c>
      <c r="H364">
        <v>3</v>
      </c>
    </row>
    <row r="365" spans="1:8" x14ac:dyDescent="0.25">
      <c r="A365" s="2">
        <v>16522</v>
      </c>
      <c r="B365" s="2" t="s">
        <v>4</v>
      </c>
      <c r="C365" s="2" t="str">
        <f t="shared" si="7"/>
        <v>7703705##</v>
      </c>
      <c r="D365" s="2"/>
      <c r="E365" s="2" t="str">
        <f>IFERROR(VLOOKUP(1*LEFT(C365,7),DF!$A$1:$F$9446,2,FALSE),"")</f>
        <v>HOMB NEGRA SARGENTO AYUDANTE RER</v>
      </c>
      <c r="F365">
        <v>7703705</v>
      </c>
      <c r="G365" t="s">
        <v>13515</v>
      </c>
      <c r="H365">
        <v>3</v>
      </c>
    </row>
    <row r="366" spans="1:8" x14ac:dyDescent="0.25">
      <c r="A366" s="2">
        <v>16522</v>
      </c>
      <c r="B366" s="2" t="s">
        <v>4</v>
      </c>
      <c r="C366" s="2" t="str">
        <f t="shared" si="7"/>
        <v>7703703##</v>
      </c>
      <c r="D366" s="2"/>
      <c r="E366" s="2" t="str">
        <f>IFERROR(VLOOKUP(1*LEFT(C366,7),DF!$A$1:$F$9446,2,FALSE),"")</f>
        <v>HOMB NEGRA SARGENTO RER</v>
      </c>
      <c r="F366">
        <v>7703703</v>
      </c>
      <c r="G366" t="s">
        <v>13516</v>
      </c>
      <c r="H366">
        <v>3</v>
      </c>
    </row>
    <row r="367" spans="1:8" x14ac:dyDescent="0.25">
      <c r="A367" s="2">
        <v>16522</v>
      </c>
      <c r="B367" s="2" t="s">
        <v>4</v>
      </c>
      <c r="C367" s="2" t="str">
        <f t="shared" si="7"/>
        <v>7703707##</v>
      </c>
      <c r="D367" s="2"/>
      <c r="E367" s="2" t="str">
        <f>IFERROR(VLOOKUP(1*LEFT(C367,7),DF!$A$1:$F$9446,2,FALSE),"")</f>
        <v>HOMB NEGRA SUB OF MAYOR RER</v>
      </c>
      <c r="F367">
        <v>7703707</v>
      </c>
      <c r="G367" t="s">
        <v>13517</v>
      </c>
      <c r="H367">
        <v>2</v>
      </c>
    </row>
    <row r="368" spans="1:8" x14ac:dyDescent="0.25">
      <c r="A368" s="2">
        <v>16522</v>
      </c>
      <c r="B368" s="2" t="s">
        <v>4</v>
      </c>
      <c r="C368" s="2" t="str">
        <f t="shared" si="7"/>
        <v>7703706##</v>
      </c>
      <c r="D368" s="2"/>
      <c r="E368" s="2" t="str">
        <f>IFERROR(VLOOKUP(1*LEFT(C368,7),DF!$A$1:$F$9446,2,FALSE),"")</f>
        <v>HOMB NEGRA SUB OP PRINCIPAL RER</v>
      </c>
      <c r="F368">
        <v>7703706</v>
      </c>
      <c r="G368" t="s">
        <v>13518</v>
      </c>
      <c r="H368">
        <v>3</v>
      </c>
    </row>
    <row r="369" spans="1:8" x14ac:dyDescent="0.25">
      <c r="A369" s="2">
        <v>16522</v>
      </c>
      <c r="B369" s="2" t="s">
        <v>4</v>
      </c>
      <c r="C369" s="2" t="str">
        <f t="shared" si="7"/>
        <v>7700100##</v>
      </c>
      <c r="D369" s="2"/>
      <c r="E369" s="2" t="str">
        <f>IFERROR(VLOOKUP(1*LEFT(C369,7),DF!$A$1:$F$9446,2,FALSE),"")</f>
        <v>INSIG AZUL CABO  COLGAR</v>
      </c>
      <c r="F369">
        <v>7700100</v>
      </c>
      <c r="G369" t="s">
        <v>13519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7"/>
        <v>7700101##</v>
      </c>
      <c r="D370" s="2"/>
      <c r="E370" s="2" t="str">
        <f>IFERROR(VLOOKUP(1*LEFT(C370,7),DF!$A$1:$F$9446,2,FALSE),"")</f>
        <v>INSIG AZUL CABO 1RO COLGAR</v>
      </c>
      <c r="F370">
        <v>7700101</v>
      </c>
      <c r="G370" t="s">
        <v>13520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7"/>
        <v>7700202##</v>
      </c>
      <c r="D371" s="2"/>
      <c r="E371" s="2" t="str">
        <f>IFERROR(VLOOKUP(1*LEFT(C371,7),DF!$A$1:$F$9446,2,FALSE),"")</f>
        <v>INSIG AZUL CABO 1RO POR PAR</v>
      </c>
      <c r="F371">
        <v>7700202</v>
      </c>
      <c r="G371" t="s">
        <v>13521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7"/>
        <v>7700200##</v>
      </c>
      <c r="D372" s="2"/>
      <c r="E372" s="2" t="str">
        <f>IFERROR(VLOOKUP(1*LEFT(C372,7),DF!$A$1:$F$9446,2,FALSE),"")</f>
        <v>INSIG AZUL CABO POR PAR</v>
      </c>
      <c r="F372">
        <v>7700200</v>
      </c>
      <c r="G372" t="s">
        <v>13522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si="7"/>
        <v>7700105##</v>
      </c>
      <c r="D373" s="2"/>
      <c r="E373" s="2" t="str">
        <f>IFERROR(VLOOKUP(1*LEFT(C373,7),DF!$A$1:$F$9446,2,FALSE),"")</f>
        <v>INSIG AZUL SARG AYTE COLGAR</v>
      </c>
      <c r="F373">
        <v>7700105</v>
      </c>
      <c r="G373" t="s">
        <v>13523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7"/>
        <v>7700104##</v>
      </c>
      <c r="D374" s="2"/>
      <c r="E374" s="2" t="str">
        <f>IFERROR(VLOOKUP(1*LEFT(C374,7),DF!$A$1:$F$9446,2,FALSE),"")</f>
        <v>INSIG AZUL SARGENTO 1RO COLGAR</v>
      </c>
      <c r="F374">
        <v>7700104</v>
      </c>
      <c r="G374" t="s">
        <v>13524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7"/>
        <v>7700204##</v>
      </c>
      <c r="D375" s="2"/>
      <c r="E375" s="2" t="str">
        <f>IFERROR(VLOOKUP(1*LEFT(C375,7),DF!$A$1:$F$9446,2,FALSE),"")</f>
        <v>INSIG AZUL SARGENTO 1RO POR PAR</v>
      </c>
      <c r="F375">
        <v>7700204</v>
      </c>
      <c r="G375" t="s">
        <v>13525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si="7"/>
        <v>7700205##</v>
      </c>
      <c r="D376" s="2"/>
      <c r="E376" s="2" t="str">
        <f>IFERROR(VLOOKUP(1*LEFT(C376,7),DF!$A$1:$F$9446,2,FALSE),"")</f>
        <v>INSIG AZUL SARGENTO AYTE POR PAR</v>
      </c>
      <c r="F376">
        <v>7700205</v>
      </c>
      <c r="G376" t="s">
        <v>13526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7"/>
        <v>7700103##</v>
      </c>
      <c r="D377" s="2"/>
      <c r="E377" s="2" t="str">
        <f>IFERROR(VLOOKUP(1*LEFT(C377,7),DF!$A$1:$F$9446,2,FALSE),"")</f>
        <v>INSIG AZUL SARGENTO COLGAR</v>
      </c>
      <c r="F377">
        <v>7700103</v>
      </c>
      <c r="G377" t="s">
        <v>13527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si="7"/>
        <v>7700203##</v>
      </c>
      <c r="D378" s="2"/>
      <c r="E378" s="2" t="str">
        <f>IFERROR(VLOOKUP(1*LEFT(C378,7),DF!$A$1:$F$9446,2,FALSE),"")</f>
        <v>INSIG AZUL SARGENTO POR PAR</v>
      </c>
      <c r="F378">
        <v>7700203</v>
      </c>
      <c r="G378" t="s">
        <v>13528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7"/>
        <v>7700207##</v>
      </c>
      <c r="D379" s="2"/>
      <c r="E379" s="2" t="str">
        <f>IFERROR(VLOOKUP(1*LEFT(C379,7),DF!$A$1:$F$9446,2,FALSE),"")</f>
        <v>INSIG AZUL SUBOF MAYOR POR PAR</v>
      </c>
      <c r="F379">
        <v>7700207</v>
      </c>
      <c r="G379" t="s">
        <v>13529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7"/>
        <v>7700106##</v>
      </c>
      <c r="D380" s="2"/>
      <c r="E380" s="2" t="str">
        <f>IFERROR(VLOOKUP(1*LEFT(C380,7),DF!$A$1:$F$9446,2,FALSE),"")</f>
        <v>INSIG AZUL SUBOF PPAL COLGAR</v>
      </c>
      <c r="F380">
        <v>7700106</v>
      </c>
      <c r="G380" t="s">
        <v>13530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 t="shared" si="7"/>
        <v>7700206##</v>
      </c>
      <c r="D381" s="2"/>
      <c r="E381" s="2" t="str">
        <f>IFERROR(VLOOKUP(1*LEFT(C381,7),DF!$A$1:$F$9446,2,FALSE),"")</f>
        <v>INSIG AZUL SUBOF PPAL POR PAR</v>
      </c>
      <c r="F381">
        <v>7700206</v>
      </c>
      <c r="G381" t="s">
        <v>13531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7"/>
        <v>8505708##</v>
      </c>
      <c r="D382" s="2"/>
      <c r="E382" s="2" t="str">
        <f>IFERROR(VLOOKUP(1*LEFT(C382,7),DF!$A$1:$F$9446,2,FALSE),"")</f>
        <v>INSIG BI CABO BEIGE BI</v>
      </c>
      <c r="F382">
        <v>8505708</v>
      </c>
      <c r="G382" t="s">
        <v>13532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 t="shared" si="7"/>
        <v>8505709##</v>
      </c>
      <c r="D383" s="2"/>
      <c r="E383" s="2" t="str">
        <f>IFERROR(VLOOKUP(1*LEFT(C383,7),DF!$A$1:$F$9446,2,FALSE),"")</f>
        <v>INSIG BI CABO PRIMERO BEIGE BI</v>
      </c>
      <c r="F383" s="7">
        <v>8505709</v>
      </c>
      <c r="G383" t="s">
        <v>13533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 t="shared" si="7"/>
        <v>8505705##</v>
      </c>
      <c r="D384" s="2"/>
      <c r="E384" s="2" t="str">
        <f>IFERROR(VLOOKUP(1*LEFT(C384,7),DF!$A$1:$F$9446,2,FALSE),"")</f>
        <v>INSIG BI SARGENTO AYUDANTE AZUL/AMARILLO</v>
      </c>
      <c r="F384">
        <v>8505705</v>
      </c>
      <c r="G384" t="s">
        <v>13534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 t="shared" si="7"/>
        <v>8505707##</v>
      </c>
      <c r="D385" s="2"/>
      <c r="E385" s="2" t="str">
        <f>IFERROR(VLOOKUP(1*LEFT(C385,7),DF!$A$1:$F$9446,2,FALSE),"")</f>
        <v>INSIG BI SUB OFICIAL MAYOR AZUL/AMARILLO</v>
      </c>
      <c r="F385">
        <v>8505707</v>
      </c>
      <c r="G385" t="s">
        <v>13535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 t="shared" si="7"/>
        <v>8505706##</v>
      </c>
      <c r="D386" s="2"/>
      <c r="E386" s="2" t="str">
        <f>IFERROR(VLOOKUP(1*LEFT(C386,7),DF!$A$1:$F$9446,2,FALSE),"")</f>
        <v>INSIG BI SUB OFICIAL PPAL AZUL/AMARILLO</v>
      </c>
      <c r="F386">
        <v>8505706</v>
      </c>
      <c r="G386" t="s">
        <v>13536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 t="shared" si="7"/>
        <v>7700702##</v>
      </c>
      <c r="D387" s="2"/>
      <c r="E387" s="2" t="str">
        <f>IFERROR(VLOOKUP(1*LEFT(C387,7),DF!$A$1:$F$9446,2,FALSE),"")</f>
        <v>INSIG BLANCA CABO P/COLGAR RER</v>
      </c>
      <c r="F387">
        <v>7700702</v>
      </c>
      <c r="G387" t="s">
        <v>13537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 t="shared" si="7"/>
        <v>7700700##</v>
      </c>
      <c r="D388" s="2"/>
      <c r="E388" s="2" t="str">
        <f>IFERROR(VLOOKUP(1*LEFT(C388,7),DF!$A$1:$F$9446,2,FALSE),"")</f>
        <v>INSIG BLANCA SARGENTO P/COLGAR RER</v>
      </c>
      <c r="F388">
        <v>7700700</v>
      </c>
      <c r="G388" t="s">
        <v>13538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 t="shared" si="7"/>
        <v>7701102##</v>
      </c>
      <c r="D389" s="2"/>
      <c r="E389" s="2" t="str">
        <f>IFERROR(VLOOKUP(1*LEFT(C389,7),DF!$A$1:$F$9446,2,FALSE),"")</f>
        <v>INSIG GOMA NEGRA CABO 1RO COLGAR GOA</v>
      </c>
      <c r="F389" s="7">
        <v>7701102</v>
      </c>
      <c r="G389" t="s">
        <v>13539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 t="shared" si="7"/>
        <v>7700505##</v>
      </c>
      <c r="D390" s="2"/>
      <c r="E390" s="2" t="str">
        <f>IFERROR(VLOOKUP(1*LEFT(C390,7),DF!$A$1:$F$9446,2,FALSE),"")</f>
        <v>INSIG ROJA CABO P/COLGAR</v>
      </c>
      <c r="F390">
        <v>7700505</v>
      </c>
      <c r="G390" t="s">
        <v>13540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 t="shared" si="7"/>
        <v>7700502##</v>
      </c>
      <c r="D391" s="2"/>
      <c r="E391" s="2" t="str">
        <f>IFERROR(VLOOKUP(1*LEFT(C391,7),DF!$A$1:$F$9446,2,FALSE),"")</f>
        <v>INSIG ROJA CABO PRIMERO P/COLGAR RER</v>
      </c>
      <c r="F391">
        <v>7700502</v>
      </c>
      <c r="G391" t="s">
        <v>13541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 t="shared" si="7"/>
        <v>7700508##</v>
      </c>
      <c r="D392" s="2"/>
      <c r="E392" s="2" t="str">
        <f>IFERROR(VLOOKUP(1*LEFT(C392,7),DF!$A$1:$F$9446,2,FALSE),"")</f>
        <v>INSIG ROJA PRINCIPAL P/COLGAR</v>
      </c>
      <c r="F392">
        <v>7700508</v>
      </c>
      <c r="G392" t="s">
        <v>13542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 t="shared" si="7"/>
        <v>7700507##</v>
      </c>
      <c r="D393" s="2"/>
      <c r="E393" s="2" t="str">
        <f>IFERROR(VLOOKUP(1*LEFT(C393,7),DF!$A$1:$F$9446,2,FALSE),"")</f>
        <v>INSIG ROJA SARGENTO 1RO P/COLGAR</v>
      </c>
      <c r="F393">
        <v>7700507</v>
      </c>
      <c r="G393" t="s">
        <v>13543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 t="shared" si="7"/>
        <v>7700501##</v>
      </c>
      <c r="D394" s="2"/>
      <c r="E394" s="2" t="str">
        <f>IFERROR(VLOOKUP(1*LEFT(C394,7),DF!$A$1:$F$9446,2,FALSE),"")</f>
        <v>INSIG ROJA SARGENTO AYTE P/COLGAR RER</v>
      </c>
      <c r="F394">
        <v>7700501</v>
      </c>
      <c r="G394" t="s">
        <v>13544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 t="shared" si="7"/>
        <v>7700501##</v>
      </c>
      <c r="D395" s="2"/>
      <c r="E395" s="2" t="str">
        <f>IFERROR(VLOOKUP(1*LEFT(C395,7),DF!$A$1:$F$9446,2,FALSE),"")</f>
        <v>INSIG ROJA SARGENTO AYTE P/COLGAR RER</v>
      </c>
      <c r="F395">
        <v>7700501</v>
      </c>
      <c r="G395" t="s">
        <v>13544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7"/>
        <v>7700506##</v>
      </c>
      <c r="D396" s="2"/>
      <c r="E396" s="2" t="str">
        <f>IFERROR(VLOOKUP(1*LEFT(C396,7),DF!$A$1:$F$9446,2,FALSE),"")</f>
        <v>INSIG ROJA SARGENTO P/COLGAR</v>
      </c>
      <c r="F396">
        <v>7700506</v>
      </c>
      <c r="G396" t="s">
        <v>13545</v>
      </c>
      <c r="H396">
        <v>1</v>
      </c>
    </row>
    <row r="397" spans="1:8" x14ac:dyDescent="0.25">
      <c r="A397">
        <v>16522</v>
      </c>
      <c r="B397" t="s">
        <v>4</v>
      </c>
      <c r="C397" t="str">
        <f t="shared" si="7"/>
        <v>8513173##</v>
      </c>
      <c r="E397" t="str">
        <f>IFERROR(VLOOKUP(1*LEFT(C397,7),DF!$A$1:$F$9446,2,FALSE),"")</f>
        <v>KIT DE LIMPIEZA ARMA CORTA-BAQUETA-CEPILLO-ACEITE-PAÑO</v>
      </c>
      <c r="F397">
        <v>8513173</v>
      </c>
      <c r="G397" t="s">
        <v>13546</v>
      </c>
      <c r="H397">
        <v>2</v>
      </c>
    </row>
    <row r="398" spans="1:8" x14ac:dyDescent="0.25">
      <c r="A398" s="2">
        <v>16522</v>
      </c>
      <c r="B398" s="2" t="s">
        <v>4</v>
      </c>
      <c r="C398" s="2" t="str">
        <f t="shared" si="7"/>
        <v>8513174##</v>
      </c>
      <c r="D398" s="2"/>
      <c r="E398" s="2" t="str">
        <f>IFERROR(VLOOKUP(1*LEFT(C398,7),DF!$A$1:$F$9446,2,FALSE),"")</f>
        <v>KIT DE LIMPIEZA LUBRI 50CC + BAQT9MM MAL</v>
      </c>
      <c r="F398">
        <v>8513174</v>
      </c>
      <c r="G398" t="s">
        <v>13547</v>
      </c>
      <c r="H398">
        <v>8</v>
      </c>
    </row>
    <row r="399" spans="1:8" x14ac:dyDescent="0.25">
      <c r="A399">
        <v>16522</v>
      </c>
      <c r="B399" t="s">
        <v>4</v>
      </c>
      <c r="C399" t="str">
        <f t="shared" si="7"/>
        <v>8503600##</v>
      </c>
      <c r="E399" t="str">
        <f>IFERROR(VLOOKUP(1*LEFT(C399,7),DF!$A$1:$F$9446,2,FALSE),"")</f>
        <v>KIT RODILLERAS Y CODERAS TACTICAS 5637-2</v>
      </c>
      <c r="F399">
        <v>8503600</v>
      </c>
      <c r="G399" t="s">
        <v>13548</v>
      </c>
      <c r="H399">
        <v>5</v>
      </c>
    </row>
    <row r="400" spans="1:8" x14ac:dyDescent="0.25">
      <c r="A400">
        <v>16522</v>
      </c>
      <c r="B400" t="s">
        <v>4</v>
      </c>
      <c r="C400" t="str">
        <f t="shared" si="7"/>
        <v>8520986##</v>
      </c>
      <c r="E400" t="str">
        <f>IFERROR(VLOOKUP(1*LEFT(C400,7),DF!$A$1:$F$9446,2,FALSE),"")</f>
        <v>LAPICERA TACTICA KUBOTAN B3</v>
      </c>
      <c r="F400">
        <v>8520986</v>
      </c>
      <c r="G400" t="s">
        <v>13549</v>
      </c>
      <c r="H400">
        <v>6</v>
      </c>
    </row>
    <row r="401" spans="1:8" x14ac:dyDescent="0.25">
      <c r="A401" s="2">
        <v>16522</v>
      </c>
      <c r="B401" s="2" t="s">
        <v>4</v>
      </c>
      <c r="C401" s="2" t="str">
        <f t="shared" si="7"/>
        <v>8520265##</v>
      </c>
      <c r="D401" s="2"/>
      <c r="E401" s="2" t="str">
        <f>IFERROR(VLOOKUP(1*LEFT(C401,7),DF!$A$1:$F$9446,2,FALSE),"")</f>
        <v>LINTERNA C/ZOOM 3X10CM 3F IMP 4733</v>
      </c>
      <c r="F401">
        <v>8520265</v>
      </c>
      <c r="G401" t="s">
        <v>14090</v>
      </c>
      <c r="H401">
        <v>2</v>
      </c>
    </row>
    <row r="402" spans="1:8" x14ac:dyDescent="0.25">
      <c r="A402">
        <v>16522</v>
      </c>
      <c r="B402" t="s">
        <v>4</v>
      </c>
      <c r="C402" t="str">
        <f t="shared" si="7"/>
        <v>8520165##</v>
      </c>
      <c r="E402" t="str">
        <f>IFERROR(VLOOKUP(1*LEFT(C402,7),DF!$A$1:$F$9446,2,FALSE),"")</f>
        <v>LINTERNA CON BALIZA RECARG. 0658</v>
      </c>
      <c r="F402">
        <v>8520165</v>
      </c>
      <c r="G402" t="s">
        <v>13550</v>
      </c>
      <c r="H402">
        <v>4</v>
      </c>
    </row>
    <row r="403" spans="1:8" x14ac:dyDescent="0.25">
      <c r="A403">
        <v>16522</v>
      </c>
      <c r="B403" t="s">
        <v>4</v>
      </c>
      <c r="C403" t="str">
        <f t="shared" si="7"/>
        <v>8520000##</v>
      </c>
      <c r="E403" t="str">
        <f>IFERROR(VLOOKUP(1*LEFT(C403,7),DF!$A$1:$F$9446,2,FALSE),"")</f>
        <v>LINTERNA MINERA RECARGABLE 0602</v>
      </c>
      <c r="F403">
        <v>8520000</v>
      </c>
      <c r="G403" t="s">
        <v>13551</v>
      </c>
      <c r="H403">
        <v>8</v>
      </c>
    </row>
    <row r="404" spans="1:8" x14ac:dyDescent="0.25">
      <c r="A404">
        <v>16522</v>
      </c>
      <c r="B404" t="s">
        <v>4</v>
      </c>
      <c r="C404" t="str">
        <f t="shared" si="7"/>
        <v>8520726##</v>
      </c>
      <c r="E404" t="str">
        <f>IFERROR(VLOOKUP(1*LEFT(C404,7),DF!$A$1:$F$9446,2,FALSE),"")</f>
        <v>LINTERNA PARA CICLISTAS USB 4726</v>
      </c>
      <c r="F404">
        <v>8520726</v>
      </c>
      <c r="G404" t="s">
        <v>13552</v>
      </c>
      <c r="H404">
        <v>6</v>
      </c>
    </row>
    <row r="405" spans="1:8" x14ac:dyDescent="0.25">
      <c r="A405" s="2">
        <v>16522</v>
      </c>
      <c r="B405" s="2" t="s">
        <v>4</v>
      </c>
      <c r="C405" s="2" t="str">
        <f t="shared" si="7"/>
        <v>8520014##</v>
      </c>
      <c r="D405" s="2"/>
      <c r="E405" s="2" t="str">
        <f>IFERROR(VLOOKUP(1*LEFT(C405,7),DF!$A$1:$F$9446,2,FALSE),"")</f>
        <v>LINTERNA RECARG USB CON CLIP 5621-1</v>
      </c>
      <c r="F405">
        <v>8520014</v>
      </c>
      <c r="G405" t="s">
        <v>14068</v>
      </c>
      <c r="H405">
        <v>4</v>
      </c>
    </row>
    <row r="406" spans="1:8" x14ac:dyDescent="0.25">
      <c r="A406" s="2">
        <v>16522</v>
      </c>
      <c r="B406" s="2" t="s">
        <v>4</v>
      </c>
      <c r="C406" s="2" t="str">
        <f t="shared" si="7"/>
        <v>8518011##</v>
      </c>
      <c r="D406" s="2"/>
      <c r="E406" s="2" t="str">
        <f>IFERROR(VLOOKUP(1*LEFT(C406,7),DF!$A$1:$F$9446,2,FALSE),"")</f>
        <v>MASCARA NEOPRENE RERDA RER</v>
      </c>
      <c r="F406">
        <v>8518011</v>
      </c>
      <c r="G406" t="s">
        <v>13553</v>
      </c>
      <c r="H406">
        <v>3</v>
      </c>
    </row>
    <row r="407" spans="1:8" x14ac:dyDescent="0.25">
      <c r="A407" s="2">
        <v>16522</v>
      </c>
      <c r="B407" s="2" t="s">
        <v>4</v>
      </c>
      <c r="C407" s="2" t="str">
        <f t="shared" si="7"/>
        <v>9003100##</v>
      </c>
      <c r="D407" s="2"/>
      <c r="E407" s="2" t="str">
        <f>IFERROR(VLOOKUP(1*LEFT(C407,7),DF!$A$1:$F$9446,2,FALSE),"")</f>
        <v>MEDIAS EXTREME RERDA CORTA RER</v>
      </c>
      <c r="F407" s="7">
        <v>9003100</v>
      </c>
      <c r="G407" t="s">
        <v>13554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 t="shared" si="7"/>
        <v>9003101##</v>
      </c>
      <c r="D408" s="2"/>
      <c r="E408" s="2" t="str">
        <f>IFERROR(VLOOKUP(1*LEFT(C408,7),DF!$A$1:$F$9446,2,FALSE),"")</f>
        <v>MEDIAS EXTREME RERDA LARGA RER</v>
      </c>
      <c r="F408" s="7">
        <v>9003101</v>
      </c>
      <c r="G408" t="s">
        <v>13555</v>
      </c>
      <c r="H408">
        <v>3</v>
      </c>
    </row>
    <row r="409" spans="1:8" x14ac:dyDescent="0.25">
      <c r="A409" s="2">
        <v>16522</v>
      </c>
      <c r="B409" s="2" t="s">
        <v>4</v>
      </c>
      <c r="C409" s="2" t="str">
        <f t="shared" si="7"/>
        <v>7707522##</v>
      </c>
      <c r="D409" s="2"/>
      <c r="E409" s="2" t="str">
        <f>IFERROR(VLOOKUP(1*LEFT(C409,7),DF!$A$1:$F$9446,2,FALSE),"")</f>
        <v>METAL ESTRELLA ANTIGUEDAD 5 PUNTAS FEM</v>
      </c>
      <c r="F409">
        <v>7707522</v>
      </c>
      <c r="G409" t="s">
        <v>14097</v>
      </c>
      <c r="H409">
        <v>1</v>
      </c>
    </row>
    <row r="410" spans="1:8" x14ac:dyDescent="0.25">
      <c r="A410" s="2">
        <v>16522</v>
      </c>
      <c r="B410" s="2" t="s">
        <v>4</v>
      </c>
      <c r="C410" s="2" t="str">
        <f t="shared" si="7"/>
        <v>7707570##</v>
      </c>
      <c r="D410" s="2"/>
      <c r="E410" s="2" t="str">
        <f>IFERROR(VLOOKUP(1*LEFT(C410,7),DF!$A$1:$F$9446,2,FALSE),"")</f>
        <v>METAL FUSILES CRUZADOS FEM</v>
      </c>
      <c r="F410">
        <v>7707570</v>
      </c>
      <c r="G410" t="s">
        <v>14098</v>
      </c>
      <c r="H410">
        <v>1</v>
      </c>
    </row>
    <row r="411" spans="1:8" x14ac:dyDescent="0.25">
      <c r="A411" s="2">
        <v>16522</v>
      </c>
      <c r="B411" s="2" t="s">
        <v>4</v>
      </c>
      <c r="C411" s="2" t="str">
        <f t="shared" si="7"/>
        <v>7707556##</v>
      </c>
      <c r="D411" s="2"/>
      <c r="E411" s="2" t="str">
        <f>IFERROR(VLOOKUP(1*LEFT(C411,7),DF!$A$1:$F$9446,2,FALSE),"")</f>
        <v>METAL ROMBO 16 MM. DORADO FEM</v>
      </c>
      <c r="F411">
        <v>7707556</v>
      </c>
      <c r="G411" t="s">
        <v>13556</v>
      </c>
      <c r="H411">
        <v>2</v>
      </c>
    </row>
    <row r="412" spans="1:8" x14ac:dyDescent="0.25">
      <c r="A412" s="2">
        <v>16522</v>
      </c>
      <c r="B412" s="2" t="s">
        <v>4</v>
      </c>
      <c r="C412" s="2" t="str">
        <f t="shared" si="7"/>
        <v>7707557##</v>
      </c>
      <c r="D412" s="2"/>
      <c r="E412" s="2" t="str">
        <f>IFERROR(VLOOKUP(1*LEFT(C412,7),DF!$A$1:$F$9446,2,FALSE),"")</f>
        <v>METAL ROMBO 16MM.PLATEADO FEM</v>
      </c>
      <c r="F412">
        <v>7707557</v>
      </c>
      <c r="G412" t="s">
        <v>13557</v>
      </c>
      <c r="H412">
        <v>2</v>
      </c>
    </row>
    <row r="413" spans="1:8" x14ac:dyDescent="0.25">
      <c r="A413" s="2">
        <v>16522</v>
      </c>
      <c r="B413" s="2" t="s">
        <v>4</v>
      </c>
      <c r="C413" s="2" t="str">
        <f t="shared" si="7"/>
        <v>7707714##</v>
      </c>
      <c r="D413" s="2"/>
      <c r="E413" s="2" t="str">
        <f>IFERROR(VLOOKUP(1*LEFT(C413,7),DF!$A$1:$F$9446,2,FALSE),"")</f>
        <v>METAL ROMBO 22 DORADO FEM</v>
      </c>
      <c r="F413">
        <v>7707714</v>
      </c>
      <c r="G413" t="s">
        <v>13558</v>
      </c>
      <c r="H413">
        <v>3</v>
      </c>
    </row>
    <row r="414" spans="1:8" x14ac:dyDescent="0.25">
      <c r="A414" s="2">
        <v>16522</v>
      </c>
      <c r="B414" s="2" t="s">
        <v>4</v>
      </c>
      <c r="C414" s="2" t="str">
        <f t="shared" si="7"/>
        <v>7707154##</v>
      </c>
      <c r="D414" s="2"/>
      <c r="E414" s="2" t="str">
        <f>IFERROR(VLOOKUP(1*LEFT(C414,7),DF!$A$1:$F$9446,2,FALSE),"")</f>
        <v>METAL ROMBO 22 PLATEADO FEM</v>
      </c>
      <c r="F414">
        <v>7707154</v>
      </c>
      <c r="G414" t="s">
        <v>13559</v>
      </c>
      <c r="H414">
        <v>3</v>
      </c>
    </row>
    <row r="415" spans="1:8" x14ac:dyDescent="0.25">
      <c r="A415" s="2">
        <v>16522</v>
      </c>
      <c r="B415" s="2" t="s">
        <v>4</v>
      </c>
      <c r="C415" s="2" t="str">
        <f t="shared" ref="C415:C478" si="8">CONCATENATE(F415,"##")</f>
        <v>7707552##</v>
      </c>
      <c r="D415" s="2"/>
      <c r="E415" s="2" t="str">
        <f>IFERROR(VLOOKUP(1*LEFT(C415,7),DF!$A$1:$F$9446,2,FALSE),"")</f>
        <v>METAL ROMBO 25MM. DORADO FEM</v>
      </c>
      <c r="F415">
        <v>7707552</v>
      </c>
      <c r="G415" t="s">
        <v>13560</v>
      </c>
      <c r="H415">
        <v>3</v>
      </c>
    </row>
    <row r="416" spans="1:8" x14ac:dyDescent="0.25">
      <c r="A416" s="2">
        <v>16522</v>
      </c>
      <c r="B416" s="2" t="s">
        <v>4</v>
      </c>
      <c r="C416" s="2" t="str">
        <f t="shared" si="8"/>
        <v>7707553##</v>
      </c>
      <c r="D416" s="2"/>
      <c r="E416" s="2" t="str">
        <f>IFERROR(VLOOKUP(1*LEFT(C416,7),DF!$A$1:$F$9446,2,FALSE),"")</f>
        <v>METAL ROMBO 25MM. PLATEADO FEM</v>
      </c>
      <c r="F416">
        <v>7707553</v>
      </c>
      <c r="G416" t="s">
        <v>13561</v>
      </c>
      <c r="H416">
        <v>3</v>
      </c>
    </row>
    <row r="417" spans="1:8" x14ac:dyDescent="0.25">
      <c r="A417">
        <v>16522</v>
      </c>
      <c r="B417" t="s">
        <v>4</v>
      </c>
      <c r="C417" t="str">
        <f t="shared" si="8"/>
        <v>7707566##</v>
      </c>
      <c r="E417" t="str">
        <f>IFERROR(VLOOKUP(1*LEFT(C417,7),DF!$A$1:$F$9446,2,FALSE),"")</f>
        <v>METAL SERRETA 8/10 ONDAS FEM</v>
      </c>
      <c r="F417">
        <v>7707566</v>
      </c>
      <c r="G417" t="s">
        <v>13562</v>
      </c>
      <c r="H417">
        <v>4</v>
      </c>
    </row>
    <row r="418" spans="1:8" x14ac:dyDescent="0.25">
      <c r="A418">
        <v>16522</v>
      </c>
      <c r="B418" t="s">
        <v>4</v>
      </c>
      <c r="C418" t="str">
        <f t="shared" si="8"/>
        <v>7707260##</v>
      </c>
      <c r="E418" t="str">
        <f>IFERROR(VLOOKUP(1*LEFT(C418,7),DF!$A$1:$F$9446,2,FALSE),"")</f>
        <v>METAL SILBATO DE RONDA FEM</v>
      </c>
      <c r="F418">
        <v>7707260</v>
      </c>
      <c r="G418" t="s">
        <v>13563</v>
      </c>
      <c r="H418">
        <v>3</v>
      </c>
    </row>
    <row r="419" spans="1:8" x14ac:dyDescent="0.25">
      <c r="A419">
        <v>16522</v>
      </c>
      <c r="B419" t="s">
        <v>4</v>
      </c>
      <c r="C419" t="str">
        <f t="shared" si="8"/>
        <v>7707562##</v>
      </c>
      <c r="E419" t="str">
        <f>IFERROR(VLOOKUP(1*LEFT(C419,7),DF!$A$1:$F$9446,2,FALSE),"")</f>
        <v>METAL SILBATO DE SALIDA FEM</v>
      </c>
      <c r="F419">
        <v>7707562</v>
      </c>
      <c r="G419" t="s">
        <v>13564</v>
      </c>
      <c r="H419">
        <v>4</v>
      </c>
    </row>
    <row r="420" spans="1:8" x14ac:dyDescent="0.25">
      <c r="A420">
        <v>16522</v>
      </c>
      <c r="B420" t="s">
        <v>4</v>
      </c>
      <c r="C420" t="str">
        <f t="shared" si="8"/>
        <v>8708638##</v>
      </c>
      <c r="E420" t="str">
        <f>IFERROR(VLOOKUP(1*LEFT(C420,7),DF!$A$1:$F$9446,2,FALSE),"")</f>
        <v>MOCHILA CHALECO MOLLE DOBLE FUNCION 9638</v>
      </c>
      <c r="F420">
        <v>8708638</v>
      </c>
      <c r="G420" t="s">
        <v>13565</v>
      </c>
      <c r="H420">
        <v>2</v>
      </c>
    </row>
    <row r="421" spans="1:8" x14ac:dyDescent="0.25">
      <c r="A421" s="2">
        <v>16522</v>
      </c>
      <c r="B421" s="2" t="s">
        <v>4</v>
      </c>
      <c r="C421" s="2" t="str">
        <f t="shared" si="8"/>
        <v>8706002##</v>
      </c>
      <c r="D421" s="2"/>
      <c r="E421" s="2" t="str">
        <f>IFERROR(VLOOKUP(1*LEFT(C421,7),DF!$A$1:$F$9446,2,FALSE),"")</f>
        <v>MORRAL MOLLE C/POUCH NEGRO ETCH 07</v>
      </c>
      <c r="F421">
        <v>8706002</v>
      </c>
      <c r="G421" t="s">
        <v>14088</v>
      </c>
      <c r="H421">
        <v>5</v>
      </c>
    </row>
    <row r="422" spans="1:8" x14ac:dyDescent="0.25">
      <c r="A422" s="2">
        <v>16522</v>
      </c>
      <c r="B422" s="2" t="s">
        <v>4</v>
      </c>
      <c r="C422" s="2" t="str">
        <f t="shared" si="8"/>
        <v>8520513##</v>
      </c>
      <c r="D422" s="2"/>
      <c r="E422" s="2" t="str">
        <f>IFERROR(VLOOKUP(1*LEFT(C422,7),DF!$A$1:$F$9446,2,FALSE),"")</f>
        <v>MOSQUETON ACERO/GRIS 9CM C/ROSCA 5565/4</v>
      </c>
      <c r="F422">
        <v>8520513</v>
      </c>
      <c r="G422" t="s">
        <v>13566</v>
      </c>
      <c r="H422">
        <v>2</v>
      </c>
    </row>
    <row r="423" spans="1:8" x14ac:dyDescent="0.25">
      <c r="A423" s="2">
        <v>16522</v>
      </c>
      <c r="B423" s="2" t="s">
        <v>4</v>
      </c>
      <c r="C423" s="2" t="str">
        <f t="shared" si="8"/>
        <v>8708211##</v>
      </c>
      <c r="D423" s="2"/>
      <c r="E423" s="2" t="str">
        <f>IFERROR(VLOOKUP(1*LEFT(C423,7),DF!$A$1:$F$9446,2,FALSE),"")</f>
        <v>MUSLERA ALFORJA 211 KAE</v>
      </c>
      <c r="F423">
        <v>8708211</v>
      </c>
      <c r="G423" t="s">
        <v>13567</v>
      </c>
      <c r="H423">
        <v>2</v>
      </c>
    </row>
    <row r="424" spans="1:8" x14ac:dyDescent="0.25">
      <c r="A424" s="2">
        <v>16522</v>
      </c>
      <c r="B424" s="2" t="s">
        <v>4</v>
      </c>
      <c r="C424" s="2" t="str">
        <f t="shared" si="8"/>
        <v>8703699##</v>
      </c>
      <c r="D424" s="2"/>
      <c r="E424" s="2" t="str">
        <f>IFERROR(VLOOKUP(1*LEFT(C424,7),DF!$A$1:$F$9446,2,FALSE),"")</f>
        <v>MUSLERA ANATOMICA C PORTA CARGAD T609 TB</v>
      </c>
      <c r="F424">
        <v>8703699</v>
      </c>
      <c r="G424" t="s">
        <v>13568</v>
      </c>
      <c r="H424">
        <v>2</v>
      </c>
    </row>
    <row r="425" spans="1:8" x14ac:dyDescent="0.25">
      <c r="A425" s="2">
        <v>16522</v>
      </c>
      <c r="B425" s="2" t="s">
        <v>4</v>
      </c>
      <c r="C425" s="2" t="str">
        <f t="shared" si="8"/>
        <v>8703779##</v>
      </c>
      <c r="D425" s="2"/>
      <c r="E425" s="2" t="str">
        <f>IFERROR(VLOOKUP(1*LEFT(C425,7),DF!$A$1:$F$9446,2,FALSE),"")</f>
        <v>MUSLERA BOTIQUIN P/ELEMENTOS RRD79</v>
      </c>
      <c r="F425">
        <v>8703779</v>
      </c>
      <c r="G425" t="s">
        <v>13569</v>
      </c>
      <c r="H425">
        <v>5</v>
      </c>
    </row>
    <row r="426" spans="1:8" x14ac:dyDescent="0.25">
      <c r="A426" s="2">
        <v>16522</v>
      </c>
      <c r="B426" s="2" t="s">
        <v>4</v>
      </c>
      <c r="C426" s="2" t="str">
        <f t="shared" si="8"/>
        <v>8703553##</v>
      </c>
      <c r="D426" s="2"/>
      <c r="E426" s="2" t="str">
        <f>IFERROR(VLOOKUP(1*LEFT(C426,7),DF!$A$1:$F$9446,2,FALSE),"")</f>
        <v>MUSLERA C/BASE Y PORTA CARG VERDE GN</v>
      </c>
      <c r="F426">
        <v>8703553</v>
      </c>
      <c r="G426" t="s">
        <v>13570</v>
      </c>
      <c r="H426">
        <v>2</v>
      </c>
    </row>
    <row r="427" spans="1:8" x14ac:dyDescent="0.25">
      <c r="A427" s="2">
        <v>16522</v>
      </c>
      <c r="B427" s="2" t="s">
        <v>4</v>
      </c>
      <c r="C427" s="2" t="str">
        <f t="shared" si="8"/>
        <v>8703641##</v>
      </c>
      <c r="D427" s="2"/>
      <c r="E427" s="2" t="str">
        <f>IFERROR(VLOOKUP(1*LEFT(C427,7),DF!$A$1:$F$9446,2,FALSE),"")</f>
        <v>MUSLERA C/PORTACARG.POLIA MAZ</v>
      </c>
      <c r="F427">
        <v>8703641</v>
      </c>
      <c r="G427" t="s">
        <v>13571</v>
      </c>
      <c r="H427">
        <v>2</v>
      </c>
    </row>
    <row r="428" spans="1:8" x14ac:dyDescent="0.25">
      <c r="A428" s="2">
        <v>16522</v>
      </c>
      <c r="B428" s="2" t="s">
        <v>4</v>
      </c>
      <c r="C428" s="2" t="str">
        <f t="shared" si="8"/>
        <v>8703163##</v>
      </c>
      <c r="D428" s="2"/>
      <c r="E428" s="2" t="str">
        <f>IFERROR(VLOOKUP(1*LEFT(C428,7),DF!$A$1:$F$9446,2,FALSE),"")</f>
        <v>MUSLERA C/REMACHE SIMPLE 043</v>
      </c>
      <c r="F428">
        <v>8703163</v>
      </c>
      <c r="G428" t="s">
        <v>13572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 t="shared" si="8"/>
        <v>8703163##</v>
      </c>
      <c r="D429" s="2"/>
      <c r="E429" s="2" t="str">
        <f>IFERROR(VLOOKUP(1*LEFT(C429,7),DF!$A$1:$F$9446,2,FALSE),"")</f>
        <v>MUSLERA C/REMACHE SIMPLE 043</v>
      </c>
      <c r="F429">
        <v>8703163</v>
      </c>
      <c r="G429" t="s">
        <v>13572</v>
      </c>
      <c r="H429">
        <v>5</v>
      </c>
    </row>
    <row r="430" spans="1:8" x14ac:dyDescent="0.25">
      <c r="A430" s="2">
        <v>16522</v>
      </c>
      <c r="B430" s="2" t="s">
        <v>4</v>
      </c>
      <c r="C430" s="2" t="str">
        <f t="shared" si="8"/>
        <v>8703197##</v>
      </c>
      <c r="D430" s="2"/>
      <c r="E430" s="2" t="str">
        <f>IFERROR(VLOOKUP(1*LEFT(C430,7),DF!$A$1:$F$9446,2,FALSE),"")</f>
        <v>MUSLERA CON P/CARGADOR STD MUS-197 KAE</v>
      </c>
      <c r="F430">
        <v>8703197</v>
      </c>
      <c r="G430" t="s">
        <v>13573</v>
      </c>
      <c r="H430">
        <v>3</v>
      </c>
    </row>
    <row r="431" spans="1:8" x14ac:dyDescent="0.25">
      <c r="A431" s="2">
        <v>16522</v>
      </c>
      <c r="B431" s="2" t="s">
        <v>4</v>
      </c>
      <c r="C431" s="2" t="str">
        <f t="shared" si="8"/>
        <v>8708213##</v>
      </c>
      <c r="D431" s="2"/>
      <c r="E431" s="2" t="str">
        <f>IFERROR(VLOOKUP(1*LEFT(C431,7),DF!$A$1:$F$9446,2,FALSE),"")</f>
        <v>MUSLERA DOUCAD MUS-213 KAE</v>
      </c>
      <c r="F431">
        <v>8708213</v>
      </c>
      <c r="G431" t="s">
        <v>13574</v>
      </c>
      <c r="H431">
        <v>2</v>
      </c>
    </row>
    <row r="432" spans="1:8" x14ac:dyDescent="0.25">
      <c r="A432" s="2">
        <v>16522</v>
      </c>
      <c r="B432" s="2" t="s">
        <v>4</v>
      </c>
      <c r="C432" s="2" t="str">
        <f t="shared" si="8"/>
        <v>8708196##</v>
      </c>
      <c r="D432" s="2"/>
      <c r="E432" s="2" t="str">
        <f>IFERROR(VLOOKUP(1*LEFT(C432,7),DF!$A$1:$F$9446,2,FALSE),"")</f>
        <v>MUSLERA ESCORPION STD MUS-196 KAE</v>
      </c>
      <c r="F432">
        <v>8708196</v>
      </c>
      <c r="G432" t="s">
        <v>13575</v>
      </c>
      <c r="H432">
        <v>4</v>
      </c>
    </row>
    <row r="433" spans="1:8" x14ac:dyDescent="0.25">
      <c r="A433" s="2">
        <v>16522</v>
      </c>
      <c r="B433" s="2" t="s">
        <v>4</v>
      </c>
      <c r="C433" s="2" t="str">
        <f t="shared" si="8"/>
        <v>8703376##</v>
      </c>
      <c r="D433" s="2"/>
      <c r="E433" s="2" t="str">
        <f>IFERROR(VLOOKUP(1*LEFT(C433,7),DF!$A$1:$F$9446,2,FALSE),"")</f>
        <v>MUSLERA GEO C/ PORTACARG MAZ</v>
      </c>
      <c r="F433">
        <v>8703376</v>
      </c>
      <c r="G433" t="s">
        <v>13576</v>
      </c>
      <c r="H433">
        <v>3</v>
      </c>
    </row>
    <row r="434" spans="1:8" x14ac:dyDescent="0.25">
      <c r="A434" s="2">
        <v>16522</v>
      </c>
      <c r="B434" s="2" t="s">
        <v>4</v>
      </c>
      <c r="C434" s="2" t="str">
        <f t="shared" si="8"/>
        <v>8703110##</v>
      </c>
      <c r="D434" s="2"/>
      <c r="E434" s="2" t="str">
        <f>IFERROR(VLOOKUP(1*LEFT(C434,7),DF!$A$1:$F$9446,2,FALSE),"")</f>
        <v>MUSLERA GEO D/SEGURO MAZ</v>
      </c>
      <c r="F434">
        <v>8703110</v>
      </c>
      <c r="G434" t="s">
        <v>13577</v>
      </c>
      <c r="H434">
        <v>3</v>
      </c>
    </row>
    <row r="435" spans="1:8" x14ac:dyDescent="0.25">
      <c r="A435" s="2">
        <v>16522</v>
      </c>
      <c r="B435" s="2" t="s">
        <v>4</v>
      </c>
      <c r="C435" s="2" t="str">
        <f t="shared" si="8"/>
        <v>8703017##</v>
      </c>
      <c r="D435" s="2"/>
      <c r="E435" s="2" t="str">
        <f>IFERROR(VLOOKUP(1*LEFT(C435,7),DF!$A$1:$F$9446,2,FALSE),"")</f>
        <v>MUSLERA P/CARG DOBLE Y P/ESPOSAS T609</v>
      </c>
      <c r="F435">
        <v>8703017</v>
      </c>
      <c r="G435" t="s">
        <v>13578</v>
      </c>
      <c r="H435">
        <v>2</v>
      </c>
    </row>
    <row r="436" spans="1:8" x14ac:dyDescent="0.25">
      <c r="A436" s="2">
        <v>16522</v>
      </c>
      <c r="B436" s="2" t="s">
        <v>4</v>
      </c>
      <c r="C436" s="2" t="str">
        <f t="shared" si="8"/>
        <v>8703162##</v>
      </c>
      <c r="D436" s="2"/>
      <c r="E436" s="2" t="str">
        <f>IFERROR(VLOOKUP(1*LEFT(C436,7),DF!$A$1:$F$9446,2,FALSE),"")</f>
        <v>MUSLERA PARA FOBUS ETCH 04 ETC</v>
      </c>
      <c r="F436">
        <v>8703162</v>
      </c>
      <c r="G436" t="s">
        <v>13579</v>
      </c>
      <c r="H436">
        <v>6</v>
      </c>
    </row>
    <row r="437" spans="1:8" x14ac:dyDescent="0.25">
      <c r="A437" s="2">
        <v>16522</v>
      </c>
      <c r="B437" s="2" t="s">
        <v>4</v>
      </c>
      <c r="C437" s="2" t="str">
        <f t="shared" si="8"/>
        <v>8703616##</v>
      </c>
      <c r="D437" s="2"/>
      <c r="E437" s="2" t="str">
        <f>IFERROR(VLOOKUP(1*LEFT(C437,7),DF!$A$1:$F$9446,2,FALSE),"")</f>
        <v>MUSLERA POLIA PORTA C DOBLE TERM T616 TB</v>
      </c>
      <c r="F437">
        <v>8703616</v>
      </c>
      <c r="G437" t="s">
        <v>13580</v>
      </c>
      <c r="H437">
        <v>2</v>
      </c>
    </row>
    <row r="438" spans="1:8" x14ac:dyDescent="0.25">
      <c r="A438" s="2">
        <v>16522</v>
      </c>
      <c r="B438" s="2" t="s">
        <v>4</v>
      </c>
      <c r="C438" s="2" t="str">
        <f t="shared" si="8"/>
        <v>8703616##</v>
      </c>
      <c r="D438" s="2"/>
      <c r="E438" s="2" t="str">
        <f>IFERROR(VLOOKUP(1*LEFT(C438,7),DF!$A$1:$F$9446,2,FALSE),"")</f>
        <v>MUSLERA POLIA PORTA C DOBLE TERM T616 TB</v>
      </c>
      <c r="F438">
        <v>8703616</v>
      </c>
      <c r="G438" t="s">
        <v>13580</v>
      </c>
      <c r="H438">
        <v>2</v>
      </c>
    </row>
    <row r="439" spans="1:8" x14ac:dyDescent="0.25">
      <c r="A439" s="2">
        <v>16522</v>
      </c>
      <c r="B439" s="2" t="s">
        <v>4</v>
      </c>
      <c r="C439" s="2" t="str">
        <f t="shared" si="8"/>
        <v>8708046##</v>
      </c>
      <c r="D439" s="2"/>
      <c r="E439" s="2" t="str">
        <f>IFERROR(VLOOKUP(1*LEFT(C439,7),DF!$A$1:$F$9446,2,FALSE),"")</f>
        <v>MUSLERA PORTA ELEMENTO AZUL ETCH 05</v>
      </c>
      <c r="F439">
        <v>8708046</v>
      </c>
      <c r="G439" t="s">
        <v>13581</v>
      </c>
      <c r="H439">
        <v>3</v>
      </c>
    </row>
    <row r="440" spans="1:8" x14ac:dyDescent="0.25">
      <c r="A440" s="2">
        <v>16522</v>
      </c>
      <c r="B440" s="2" t="s">
        <v>4</v>
      </c>
      <c r="C440" s="2" t="str">
        <f t="shared" si="8"/>
        <v>8708048##</v>
      </c>
      <c r="D440" s="2"/>
      <c r="E440" s="2" t="str">
        <f>IFERROR(VLOOKUP(1*LEFT(C440,7),DF!$A$1:$F$9446,2,FALSE),"")</f>
        <v>MUSLERA PORTA ELEMENTO CAMUFL ETCH 05</v>
      </c>
      <c r="F440">
        <v>8708048</v>
      </c>
      <c r="G440" t="s">
        <v>13582</v>
      </c>
      <c r="H440">
        <v>3</v>
      </c>
    </row>
    <row r="441" spans="1:8" x14ac:dyDescent="0.25">
      <c r="A441" s="2">
        <v>16522</v>
      </c>
      <c r="B441" s="2" t="s">
        <v>4</v>
      </c>
      <c r="C441" s="2" t="str">
        <f t="shared" si="8"/>
        <v>8708049##</v>
      </c>
      <c r="D441" s="2"/>
      <c r="E441" s="2" t="str">
        <f>IFERROR(VLOOKUP(1*LEFT(C441,7),DF!$A$1:$F$9446,2,FALSE),"")</f>
        <v>MUSLERA PORTA ELEMENTO ETCH 05</v>
      </c>
      <c r="F441">
        <v>8708049</v>
      </c>
      <c r="G441" t="s">
        <v>13583</v>
      </c>
      <c r="H441">
        <v>5</v>
      </c>
    </row>
    <row r="442" spans="1:8" x14ac:dyDescent="0.25">
      <c r="A442" s="2">
        <v>16522</v>
      </c>
      <c r="B442" s="2" t="s">
        <v>4</v>
      </c>
      <c r="C442" s="2" t="str">
        <f t="shared" si="8"/>
        <v>8708047##</v>
      </c>
      <c r="D442" s="2"/>
      <c r="E442" s="2" t="str">
        <f>IFERROR(VLOOKUP(1*LEFT(C442,7),DF!$A$1:$F$9446,2,FALSE),"")</f>
        <v>MUSLERA PORTA ELEMENTO GRIS ETCH 05</v>
      </c>
      <c r="F442">
        <v>8708047</v>
      </c>
      <c r="G442" t="s">
        <v>13584</v>
      </c>
      <c r="H442">
        <v>3</v>
      </c>
    </row>
    <row r="443" spans="1:8" x14ac:dyDescent="0.25">
      <c r="A443" s="2">
        <v>16522</v>
      </c>
      <c r="B443" s="2" t="s">
        <v>4</v>
      </c>
      <c r="C443" s="2" t="str">
        <f t="shared" si="8"/>
        <v>8708044##</v>
      </c>
      <c r="D443" s="2"/>
      <c r="E443" s="2" t="str">
        <f>IFERROR(VLOOKUP(1*LEFT(C443,7),DF!$A$1:$F$9446,2,FALSE),"")</f>
        <v>MUSLERA PORTA ELEMENTO VERDE ETCH 05</v>
      </c>
      <c r="F443">
        <v>8708044</v>
      </c>
      <c r="G443" t="s">
        <v>13585</v>
      </c>
      <c r="H443">
        <v>2</v>
      </c>
    </row>
    <row r="444" spans="1:8" x14ac:dyDescent="0.25">
      <c r="A444" s="2">
        <v>16522</v>
      </c>
      <c r="B444" s="2" t="s">
        <v>4</v>
      </c>
      <c r="C444" s="2" t="str">
        <f t="shared" si="8"/>
        <v>8703617##</v>
      </c>
      <c r="D444" s="2"/>
      <c r="E444" s="2" t="str">
        <f>IFERROR(VLOOKUP(1*LEFT(C444,7),DF!$A$1:$F$9446,2,FALSE),"")</f>
        <v>MUSLERA PORTACARG DOBLE + ESP T617 TB</v>
      </c>
      <c r="F444">
        <v>8703617</v>
      </c>
      <c r="G444" t="s">
        <v>13586</v>
      </c>
      <c r="H444">
        <v>2</v>
      </c>
    </row>
    <row r="445" spans="1:8" x14ac:dyDescent="0.25">
      <c r="A445" s="2">
        <v>16522</v>
      </c>
      <c r="B445" s="2" t="s">
        <v>4</v>
      </c>
      <c r="C445" s="2" t="str">
        <f t="shared" si="8"/>
        <v>8703018##</v>
      </c>
      <c r="D445" s="2"/>
      <c r="E445" s="2" t="str">
        <f>IFERROR(VLOOKUP(1*LEFT(C445,7),DF!$A$1:$F$9446,2,FALSE),"")</f>
        <v>MUSLERA PORTAOBJETO 2 TIRAPIERNA T618 TB</v>
      </c>
      <c r="F445">
        <v>8703018</v>
      </c>
      <c r="G445" t="s">
        <v>13587</v>
      </c>
      <c r="H445">
        <v>2</v>
      </c>
    </row>
    <row r="446" spans="1:8" x14ac:dyDescent="0.25">
      <c r="A446" s="2">
        <v>16522</v>
      </c>
      <c r="B446" s="2" t="s">
        <v>4</v>
      </c>
      <c r="C446" s="2" t="str">
        <f t="shared" si="8"/>
        <v>8708198##</v>
      </c>
      <c r="D446" s="2"/>
      <c r="E446" s="2" t="str">
        <f>IFERROR(VLOOKUP(1*LEFT(C446,7),DF!$A$1:$F$9446,2,FALSE),"")</f>
        <v>MUSLERA SW MUS-198 KAE</v>
      </c>
      <c r="F446">
        <v>8708198</v>
      </c>
      <c r="G446" t="s">
        <v>13588</v>
      </c>
      <c r="H446">
        <v>4</v>
      </c>
    </row>
    <row r="447" spans="1:8" x14ac:dyDescent="0.25">
      <c r="A447" s="2">
        <v>16522</v>
      </c>
      <c r="B447" s="2" t="s">
        <v>4</v>
      </c>
      <c r="C447" s="2" t="str">
        <f t="shared" si="8"/>
        <v>8703250##</v>
      </c>
      <c r="D447" s="2"/>
      <c r="E447" s="2" t="str">
        <f>IFERROR(VLOOKUP(1*LEFT(C447,7),DF!$A$1:$F$9446,2,FALSE),"")</f>
        <v>MUSLERA TACTICA DELTA STM2050 EZ</v>
      </c>
      <c r="F447">
        <v>8703250</v>
      </c>
      <c r="G447" t="s">
        <v>13589</v>
      </c>
      <c r="H447">
        <v>3</v>
      </c>
    </row>
    <row r="448" spans="1:8" x14ac:dyDescent="0.25">
      <c r="A448" s="2">
        <v>16522</v>
      </c>
      <c r="B448" s="2" t="s">
        <v>4</v>
      </c>
      <c r="C448" s="2" t="str">
        <f t="shared" si="8"/>
        <v>8703200##</v>
      </c>
      <c r="D448" s="2"/>
      <c r="E448" s="2" t="str">
        <f>IFERROR(VLOOKUP(1*LEFT(C448,7),DF!$A$1:$F$9446,2,FALSE),"")</f>
        <v>MUSLERA TACTICA UNIVERSAL T628</v>
      </c>
      <c r="F448">
        <v>8703200</v>
      </c>
      <c r="G448" t="s">
        <v>13590</v>
      </c>
      <c r="H448">
        <v>14</v>
      </c>
    </row>
    <row r="449" spans="1:9" x14ac:dyDescent="0.25">
      <c r="A449" s="2">
        <v>16522</v>
      </c>
      <c r="B449" s="2" t="s">
        <v>4</v>
      </c>
      <c r="C449" s="2" t="str">
        <f t="shared" si="8"/>
        <v>8703621##</v>
      </c>
      <c r="D449" s="2"/>
      <c r="E449" s="2" t="str">
        <f>IFERROR(VLOOKUP(1*LEFT(C449,7),DF!$A$1:$F$9446,2,FALSE),"")</f>
        <v>MUSLERA TERMOF C PORTA CARGADOR T621 TB</v>
      </c>
      <c r="F449">
        <v>8703621</v>
      </c>
      <c r="G449" t="s">
        <v>13591</v>
      </c>
      <c r="H449">
        <v>2</v>
      </c>
    </row>
    <row r="450" spans="1:9" x14ac:dyDescent="0.25">
      <c r="A450" s="2">
        <v>16522</v>
      </c>
      <c r="B450" s="2" t="s">
        <v>4</v>
      </c>
      <c r="C450" s="2" t="str">
        <f t="shared" si="8"/>
        <v>8703621##</v>
      </c>
      <c r="D450" s="2"/>
      <c r="E450" s="2" t="str">
        <f>IFERROR(VLOOKUP(1*LEFT(C450,7),DF!$A$1:$F$9446,2,FALSE),"")</f>
        <v>MUSLERA TERMOF C PORTA CARGADOR T621 TB</v>
      </c>
      <c r="F450">
        <v>8703621</v>
      </c>
      <c r="G450" t="s">
        <v>13591</v>
      </c>
      <c r="H450">
        <v>2</v>
      </c>
    </row>
    <row r="451" spans="1:9" x14ac:dyDescent="0.25">
      <c r="A451" s="2">
        <v>16522</v>
      </c>
      <c r="B451" s="2" t="s">
        <v>4</v>
      </c>
      <c r="C451" s="2" t="str">
        <f t="shared" si="8"/>
        <v>8703620##</v>
      </c>
      <c r="D451" s="2"/>
      <c r="E451" s="2" t="str">
        <f>IFERROR(VLOOKUP(1*LEFT(C451,7),DF!$A$1:$F$9446,2,FALSE),"")</f>
        <v>MUSLERA TERMOF SIMPLE  T620 TB</v>
      </c>
      <c r="F451">
        <v>8703620</v>
      </c>
      <c r="G451" t="s">
        <v>13592</v>
      </c>
      <c r="H451">
        <v>3</v>
      </c>
    </row>
    <row r="452" spans="1:9" x14ac:dyDescent="0.25">
      <c r="A452" s="2">
        <v>16522</v>
      </c>
      <c r="B452" s="2" t="s">
        <v>4</v>
      </c>
      <c r="C452" s="2" t="str">
        <f t="shared" si="8"/>
        <v>8703620##</v>
      </c>
      <c r="D452" s="2"/>
      <c r="E452" s="2" t="str">
        <f>IFERROR(VLOOKUP(1*LEFT(C452,7),DF!$A$1:$F$9446,2,FALSE),"")</f>
        <v>MUSLERA TERMOF SIMPLE  T620 TB</v>
      </c>
      <c r="F452">
        <v>8703620</v>
      </c>
      <c r="G452" t="s">
        <v>13592</v>
      </c>
      <c r="H452">
        <v>3</v>
      </c>
    </row>
    <row r="453" spans="1:9" x14ac:dyDescent="0.25">
      <c r="A453">
        <v>16522</v>
      </c>
      <c r="B453" t="s">
        <v>4</v>
      </c>
      <c r="C453" t="str">
        <f t="shared" si="8"/>
        <v>8520283##</v>
      </c>
      <c r="E453" t="str">
        <f>IFERROR(VLOOKUP(1*LEFT(C453,7),DF!$A$1:$F$9446,2,FALSE),"")</f>
        <v>NAVAJA 20 CM BUCK CAMUFLADA 14-28/3</v>
      </c>
      <c r="F453">
        <v>8520283</v>
      </c>
      <c r="G453" t="s">
        <v>13593</v>
      </c>
      <c r="H453">
        <v>5</v>
      </c>
    </row>
    <row r="454" spans="1:9" x14ac:dyDescent="0.25">
      <c r="A454">
        <v>16522</v>
      </c>
      <c r="B454" t="s">
        <v>4</v>
      </c>
      <c r="C454" t="str">
        <f t="shared" si="8"/>
        <v>8520802##</v>
      </c>
      <c r="E454" t="str">
        <f>IFERROR(VLOOKUP(1*LEFT(C454,7),DF!$A$1:$F$9446,2,FALSE),"")</f>
        <v>NAVAJA 2100 GRIS/MADERA BROWNING</v>
      </c>
      <c r="F454">
        <v>8520802</v>
      </c>
      <c r="G454" t="s">
        <v>13594</v>
      </c>
      <c r="H454">
        <v>3</v>
      </c>
    </row>
    <row r="455" spans="1:9" x14ac:dyDescent="0.25">
      <c r="A455">
        <v>16522</v>
      </c>
      <c r="B455" t="s">
        <v>4</v>
      </c>
      <c r="C455" t="str">
        <f t="shared" si="8"/>
        <v>8521307##</v>
      </c>
      <c r="E455" t="str">
        <f>IFERROR(VLOOKUP(1*LEFT(C455,7),DF!$A$1:$F$9446,2,FALSE),"")</f>
        <v>NAVAJA CHONGMING IMP 2022</v>
      </c>
      <c r="F455">
        <v>8521307</v>
      </c>
      <c r="G455" t="s">
        <v>13595</v>
      </c>
      <c r="H455">
        <v>4</v>
      </c>
    </row>
    <row r="456" spans="1:9" x14ac:dyDescent="0.25">
      <c r="A456">
        <v>16522</v>
      </c>
      <c r="B456" t="s">
        <v>4</v>
      </c>
      <c r="C456" t="str">
        <f t="shared" si="8"/>
        <v>8520458##</v>
      </c>
      <c r="E456" t="str">
        <f>IFERROR(VLOOKUP(1*LEFT(C456,7),DF!$A$1:$F$9446,2,FALSE),"")</f>
        <v>NAVAJA GRIS INOX 2110 16CM</v>
      </c>
      <c r="F456">
        <v>8520458</v>
      </c>
      <c r="G456" t="s">
        <v>13596</v>
      </c>
      <c r="H456">
        <v>4</v>
      </c>
    </row>
    <row r="457" spans="1:9" x14ac:dyDescent="0.25">
      <c r="A457">
        <v>16522</v>
      </c>
      <c r="B457" t="s">
        <v>4</v>
      </c>
      <c r="C457" t="str">
        <f t="shared" si="8"/>
        <v>8520710##</v>
      </c>
      <c r="E457" t="str">
        <f>IFERROR(VLOOKUP(1*LEFT(C457,7),DF!$A$1:$F$9446,2,FALSE),"")</f>
        <v>NAVAJA JEEP GRIS 21CM DA132</v>
      </c>
      <c r="F457">
        <v>8520710</v>
      </c>
      <c r="G457" t="s">
        <v>13597</v>
      </c>
      <c r="H457">
        <v>5</v>
      </c>
    </row>
    <row r="458" spans="1:9" x14ac:dyDescent="0.25">
      <c r="A458">
        <v>16522</v>
      </c>
      <c r="B458" t="s">
        <v>4</v>
      </c>
      <c r="C458" t="str">
        <f t="shared" si="8"/>
        <v>8520101##</v>
      </c>
      <c r="E458" t="str">
        <f>IFERROR(VLOOKUP(1*LEFT(C458,7),DF!$A$1:$F$9446,2,FALSE),"")</f>
        <v>NAVAJA KARAMBIT TACTICA DA46</v>
      </c>
      <c r="F458">
        <v>8520101</v>
      </c>
      <c r="G458" t="s">
        <v>13598</v>
      </c>
      <c r="H458">
        <v>6</v>
      </c>
    </row>
    <row r="459" spans="1:9" x14ac:dyDescent="0.25">
      <c r="A459">
        <v>16522</v>
      </c>
      <c r="B459" t="s">
        <v>4</v>
      </c>
      <c r="C459" t="str">
        <f t="shared" si="8"/>
        <v>8520230##</v>
      </c>
      <c r="E459" t="str">
        <f>IFERROR(VLOOKUP(1*LEFT(C459,7),DF!$A$1:$F$9446,2,FALSE),"")</f>
        <v>NAVAJA MARIPOSA GRIS  19-12/3</v>
      </c>
      <c r="F459">
        <v>8520230</v>
      </c>
      <c r="G459" t="s">
        <v>13599</v>
      </c>
      <c r="H459">
        <v>3</v>
      </c>
    </row>
    <row r="460" spans="1:9" x14ac:dyDescent="0.25">
      <c r="A460">
        <v>16522</v>
      </c>
      <c r="B460" t="s">
        <v>4</v>
      </c>
      <c r="C460" t="str">
        <f t="shared" si="8"/>
        <v>8520814##</v>
      </c>
      <c r="E460" t="str">
        <f>IFERROR(VLOOKUP(1*LEFT(C460,7),DF!$A$1:$F$9446,2,FALSE),"")</f>
        <v>NAVAJA STEEL KNIFE DA15</v>
      </c>
      <c r="F460">
        <v>8520814</v>
      </c>
      <c r="G460" t="s">
        <v>13600</v>
      </c>
      <c r="H460">
        <v>5</v>
      </c>
    </row>
    <row r="461" spans="1:9" x14ac:dyDescent="0.25">
      <c r="A461" s="2">
        <v>16522</v>
      </c>
      <c r="B461" s="2" t="s">
        <v>4</v>
      </c>
      <c r="C461" s="2" t="str">
        <f t="shared" si="8"/>
        <v>8505075##</v>
      </c>
      <c r="D461" s="2"/>
      <c r="E461" s="2" t="str">
        <f>IFERROR(VLOOKUP(1*LEFT(C461,7),DF!$A$1:$F$9446,2,FALSE),"")</f>
        <v>NOMBRE BORD INFANTERIA BI</v>
      </c>
      <c r="F461">
        <v>8505075</v>
      </c>
      <c r="G461" t="s">
        <v>14089</v>
      </c>
      <c r="H461">
        <v>1</v>
      </c>
    </row>
    <row r="462" spans="1:9" x14ac:dyDescent="0.25">
      <c r="A462">
        <v>16522</v>
      </c>
      <c r="B462" t="s">
        <v>4</v>
      </c>
      <c r="C462" t="str">
        <f t="shared" si="8"/>
        <v>8505074##</v>
      </c>
      <c r="E462" t="str">
        <f>IFERROR(VLOOKUP(1*LEFT(C462,7),DF!$A$1:$F$9446,2,FALSE),"")</f>
        <v>NOMBRE BORD MOTORIZADA BI</v>
      </c>
      <c r="F462" s="7">
        <v>8505074</v>
      </c>
      <c r="G462" t="s">
        <v>13601</v>
      </c>
      <c r="H462">
        <v>1</v>
      </c>
    </row>
    <row r="463" spans="1:9" x14ac:dyDescent="0.25">
      <c r="A463">
        <v>16522</v>
      </c>
      <c r="B463" t="s">
        <v>4</v>
      </c>
      <c r="C463" t="str">
        <f t="shared" si="8"/>
        <v>8400070##</v>
      </c>
      <c r="E463" t="str">
        <f>IFERROR(VLOOKUP(1*LEFT(C463,7),DF!$A$1:$F$9446,2,FALSE),"")</f>
        <v>OREJERAS SIN PIEL RER</v>
      </c>
      <c r="F463">
        <v>8400070</v>
      </c>
      <c r="G463" t="s">
        <v>13602</v>
      </c>
      <c r="H463">
        <v>2</v>
      </c>
    </row>
    <row r="464" spans="1:9" x14ac:dyDescent="0.25">
      <c r="A464" s="2">
        <v>16522</v>
      </c>
      <c r="B464" s="2" t="s">
        <v>4</v>
      </c>
      <c r="C464" s="2" t="str">
        <f t="shared" si="8"/>
        <v>1130008##</v>
      </c>
      <c r="D464" s="2"/>
      <c r="E464" s="2" t="str">
        <f>IFERROR(VLOOKUP(1*LEFT(C464,7),DF!$A$1:$F$9446,2,FALSE),"")</f>
        <v>OVERALL MULTIBOL GAB AZUL RER</v>
      </c>
      <c r="F464">
        <v>1130008</v>
      </c>
      <c r="G464" t="s">
        <v>13603</v>
      </c>
      <c r="H464">
        <v>2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 t="shared" si="8"/>
        <v>1130713##</v>
      </c>
      <c r="D465" s="2"/>
      <c r="E465" s="2" t="str">
        <f>IFERROR(VLOOKUP(1*LEFT(C465,7),DF!$A$1:$F$9446,2,FALSE),"")</f>
        <v>OVERALL MULTIBOL GAB GRIS</v>
      </c>
      <c r="F465">
        <v>1130713</v>
      </c>
      <c r="G465" t="s">
        <v>13604</v>
      </c>
      <c r="H465">
        <v>3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 t="shared" si="8"/>
        <v>1130009##</v>
      </c>
      <c r="D466" s="2"/>
      <c r="E466" s="2" t="str">
        <f>IFERROR(VLOOKUP(1*LEFT(C466,7),DF!$A$1:$F$9446,2,FALSE),"")</f>
        <v>OVERALL MULTIBOL GAB NEGRO RER</v>
      </c>
      <c r="F466">
        <v>1130009</v>
      </c>
      <c r="G466" t="s">
        <v>13605</v>
      </c>
      <c r="H466">
        <v>2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 t="shared" si="8"/>
        <v>1130495##</v>
      </c>
      <c r="D467" s="2"/>
      <c r="E467" s="2" t="str">
        <f>IFERROR(VLOOKUP(1*LEFT(C467,7),DF!$A$1:$F$9446,2,FALSE),"")</f>
        <v>OVERALL MULTIBOL RIP AZUL RER</v>
      </c>
      <c r="F467">
        <v>1130495</v>
      </c>
      <c r="G467" t="s">
        <v>13606</v>
      </c>
      <c r="H467">
        <v>3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 t="shared" si="8"/>
        <v>1130900##</v>
      </c>
      <c r="D468" s="2"/>
      <c r="E468" s="2" t="str">
        <f>IFERROR(VLOOKUP(1*LEFT(C468,7),DF!$A$1:$F$9446,2,FALSE),"")</f>
        <v>OVERALL MULTIBOL RIP NEGRO RER</v>
      </c>
      <c r="F468">
        <v>1130900</v>
      </c>
      <c r="G468" t="s">
        <v>13607</v>
      </c>
      <c r="H468">
        <v>15</v>
      </c>
      <c r="I468">
        <v>1</v>
      </c>
    </row>
    <row r="469" spans="1:9" x14ac:dyDescent="0.25">
      <c r="A469">
        <v>16522</v>
      </c>
      <c r="B469" t="s">
        <v>4</v>
      </c>
      <c r="C469" t="str">
        <f t="shared" si="8"/>
        <v>8513303##</v>
      </c>
      <c r="E469" t="str">
        <f>IFERROR(VLOOKUP(1*LEFT(C469,7),DF!$A$1:$F$9446,2,FALSE),"")</f>
        <v>PANIO P LIMPIAR ARMA CAL 38 AL 45 KAE</v>
      </c>
      <c r="F469">
        <v>8513303</v>
      </c>
      <c r="G469" t="s">
        <v>13608</v>
      </c>
      <c r="H469">
        <v>2</v>
      </c>
    </row>
    <row r="470" spans="1:9" x14ac:dyDescent="0.25">
      <c r="A470">
        <v>16522</v>
      </c>
      <c r="B470" t="s">
        <v>4</v>
      </c>
      <c r="C470" t="str">
        <f t="shared" si="8"/>
        <v>8505224##</v>
      </c>
      <c r="E470" t="str">
        <f>IFERROR(VLOOKUP(1*LEFT(C470,7),DF!$A$1:$F$9446,2,FALSE),"")</f>
        <v>PECT 1 ROMBO BASE FRAN PALMA C. INSP BI</v>
      </c>
      <c r="F470" s="7">
        <v>8505224</v>
      </c>
      <c r="G470" t="s">
        <v>13609</v>
      </c>
      <c r="H470">
        <v>1</v>
      </c>
    </row>
    <row r="471" spans="1:9" x14ac:dyDescent="0.25">
      <c r="A471" s="2">
        <v>16522</v>
      </c>
      <c r="B471" s="2" t="s">
        <v>4</v>
      </c>
      <c r="C471" s="2" t="str">
        <f t="shared" si="8"/>
        <v>8505224##</v>
      </c>
      <c r="D471" s="2"/>
      <c r="E471" s="2" t="str">
        <f>IFERROR(VLOOKUP(1*LEFT(C471,7),DF!$A$1:$F$9446,2,FALSE),"")</f>
        <v>PECT 1 ROMBO BASE FRAN PALMA C. INSP BI</v>
      </c>
      <c r="F471">
        <v>8505224</v>
      </c>
      <c r="G471" t="s">
        <v>13609</v>
      </c>
      <c r="H471">
        <v>1</v>
      </c>
    </row>
    <row r="472" spans="1:9" x14ac:dyDescent="0.25">
      <c r="A472" s="2">
        <v>16522</v>
      </c>
      <c r="B472" s="2" t="s">
        <v>4</v>
      </c>
      <c r="C472" s="2" t="str">
        <f t="shared" si="8"/>
        <v>8505262##</v>
      </c>
      <c r="D472" s="2"/>
      <c r="E472" s="2" t="str">
        <f>IFERROR(VLOOKUP(1*LEFT(C472,7),DF!$A$1:$F$9446,2,FALSE),"")</f>
        <v>PECT 1 ROMBO Y SERRETA SUBCOMIS BARG BI</v>
      </c>
      <c r="F472">
        <v>8505262</v>
      </c>
      <c r="G472" t="s">
        <v>13610</v>
      </c>
      <c r="H472">
        <v>1</v>
      </c>
    </row>
    <row r="473" spans="1:9" x14ac:dyDescent="0.25">
      <c r="A473" s="2">
        <v>16522</v>
      </c>
      <c r="B473" s="2" t="s">
        <v>4</v>
      </c>
      <c r="C473" s="2" t="str">
        <f t="shared" si="8"/>
        <v>8505233##</v>
      </c>
      <c r="D473" s="2"/>
      <c r="E473" s="2" t="str">
        <f>IFERROR(VLOOKUP(1*LEFT(C473,7),DF!$A$1:$F$9446,2,FALSE),"")</f>
        <v>PECT 2 ROMBOS CHICOS 1 DOR Y 1 PLA  BI</v>
      </c>
      <c r="F473">
        <v>8505233</v>
      </c>
      <c r="G473" t="s">
        <v>13611</v>
      </c>
      <c r="H473">
        <v>1</v>
      </c>
    </row>
    <row r="474" spans="1:9" x14ac:dyDescent="0.25">
      <c r="A474">
        <v>16522</v>
      </c>
      <c r="B474" t="s">
        <v>4</v>
      </c>
      <c r="C474" t="str">
        <f t="shared" si="8"/>
        <v>8505196##</v>
      </c>
      <c r="E474" t="str">
        <f>IFERROR(VLOOKUP(1*LEFT(C474,7),DF!$A$1:$F$9446,2,FALSE),"")</f>
        <v>PECT 2 ROMBOS CHICOS PLAT BARG BI</v>
      </c>
      <c r="F474" s="7">
        <v>8505196</v>
      </c>
      <c r="G474" t="s">
        <v>13612</v>
      </c>
      <c r="H474">
        <v>1</v>
      </c>
    </row>
    <row r="475" spans="1:9" x14ac:dyDescent="0.25">
      <c r="A475" s="2">
        <v>16522</v>
      </c>
      <c r="B475" s="2" t="s">
        <v>4</v>
      </c>
      <c r="C475" s="2" t="str">
        <f t="shared" si="8"/>
        <v>8505196##</v>
      </c>
      <c r="D475" s="2"/>
      <c r="E475" s="2" t="str">
        <f>IFERROR(VLOOKUP(1*LEFT(C475,7),DF!$A$1:$F$9446,2,FALSE),"")</f>
        <v>PECT 2 ROMBOS CHICOS PLAT BARG BI</v>
      </c>
      <c r="F475">
        <v>8505196</v>
      </c>
      <c r="G475" t="s">
        <v>13612</v>
      </c>
      <c r="H475">
        <v>1</v>
      </c>
    </row>
    <row r="476" spans="1:9" x14ac:dyDescent="0.25">
      <c r="A476">
        <v>16522</v>
      </c>
      <c r="B476" t="s">
        <v>4</v>
      </c>
      <c r="C476" t="str">
        <f t="shared" si="8"/>
        <v>8505329##</v>
      </c>
      <c r="E476" t="str">
        <f>IFERROR(VLOOKUP(1*LEFT(C476,7),DF!$A$1:$F$9446,2,FALSE),"")</f>
        <v>PECT 2 ROMBOS DOR/PLA  SERR CRIO BARG BI</v>
      </c>
      <c r="F476" s="7">
        <v>8505329</v>
      </c>
      <c r="G476" t="s">
        <v>13613</v>
      </c>
      <c r="H476">
        <v>1</v>
      </c>
    </row>
    <row r="477" spans="1:9" x14ac:dyDescent="0.25">
      <c r="A477" s="2">
        <v>16522</v>
      </c>
      <c r="B477" s="2" t="s">
        <v>4</v>
      </c>
      <c r="C477" s="2" t="str">
        <f t="shared" si="8"/>
        <v>8505329##</v>
      </c>
      <c r="D477" s="2"/>
      <c r="E477" s="2" t="str">
        <f>IFERROR(VLOOKUP(1*LEFT(C477,7),DF!$A$1:$F$9446,2,FALSE),"")</f>
        <v>PECT 2 ROMBOS DOR/PLA  SERR CRIO BARG BI</v>
      </c>
      <c r="F477">
        <v>8505329</v>
      </c>
      <c r="G477" t="s">
        <v>13613</v>
      </c>
      <c r="H477">
        <v>1</v>
      </c>
    </row>
    <row r="478" spans="1:9" x14ac:dyDescent="0.25">
      <c r="A478">
        <v>16522</v>
      </c>
      <c r="B478" t="s">
        <v>4</v>
      </c>
      <c r="C478" t="str">
        <f t="shared" si="8"/>
        <v>8505243##</v>
      </c>
      <c r="E478" t="str">
        <f>IFERROR(VLOOKUP(1*LEFT(C478,7),DF!$A$1:$F$9446,2,FALSE),"")</f>
        <v>PECT 3 ROMBO CHICOS OF. PPAL BARG BI</v>
      </c>
      <c r="F478" s="7">
        <v>8505243</v>
      </c>
      <c r="G478" t="s">
        <v>13614</v>
      </c>
      <c r="H478">
        <v>1</v>
      </c>
    </row>
    <row r="479" spans="1:9" x14ac:dyDescent="0.25">
      <c r="A479" s="2">
        <v>16522</v>
      </c>
      <c r="B479" s="2" t="s">
        <v>4</v>
      </c>
      <c r="C479" s="2" t="str">
        <f t="shared" ref="C479:C542" si="9">CONCATENATE(F479,"##")</f>
        <v>8505243##</v>
      </c>
      <c r="D479" s="2"/>
      <c r="E479" s="2" t="str">
        <f>IFERROR(VLOOKUP(1*LEFT(C479,7),DF!$A$1:$F$9446,2,FALSE),"")</f>
        <v>PECT 3 ROMBO CHICOS OF. PPAL BARG BI</v>
      </c>
      <c r="F479">
        <v>8505243</v>
      </c>
      <c r="G479" t="s">
        <v>13614</v>
      </c>
      <c r="H479">
        <v>1</v>
      </c>
    </row>
    <row r="480" spans="1:9" x14ac:dyDescent="0.25">
      <c r="A480" s="2">
        <v>16522</v>
      </c>
      <c r="B480" s="2" t="s">
        <v>4</v>
      </c>
      <c r="C480" s="2" t="str">
        <f t="shared" si="9"/>
        <v>8505163##</v>
      </c>
      <c r="D480" s="2"/>
      <c r="E480" s="2" t="str">
        <f>IFERROR(VLOOKUP(1*LEFT(C480,7),DF!$A$1:$F$9446,2,FALSE),"")</f>
        <v>PECT BI AUXILIAR BEIGE BI</v>
      </c>
      <c r="F480" s="7">
        <v>8505163</v>
      </c>
      <c r="G480" t="s">
        <v>13615</v>
      </c>
      <c r="H480">
        <v>1</v>
      </c>
    </row>
    <row r="481" spans="1:8" x14ac:dyDescent="0.25">
      <c r="A481" s="2">
        <v>16522</v>
      </c>
      <c r="B481" s="2" t="s">
        <v>4</v>
      </c>
      <c r="C481" s="2" t="str">
        <f t="shared" si="9"/>
        <v>8505592##</v>
      </c>
      <c r="D481" s="2"/>
      <c r="E481" s="2" t="str">
        <f>IFERROR(VLOOKUP(1*LEFT(C481,7),DF!$A$1:$F$9446,2,FALSE),"")</f>
        <v>PECT BORD AUXILIAR CUARTO</v>
      </c>
      <c r="F481">
        <v>8505592</v>
      </c>
      <c r="G481" t="s">
        <v>13616</v>
      </c>
      <c r="H481">
        <v>1</v>
      </c>
    </row>
    <row r="482" spans="1:8" x14ac:dyDescent="0.25">
      <c r="A482" s="2">
        <v>16522</v>
      </c>
      <c r="B482" s="2" t="s">
        <v>4</v>
      </c>
      <c r="C482" s="2" t="str">
        <f t="shared" si="9"/>
        <v>8505590##</v>
      </c>
      <c r="D482" s="2"/>
      <c r="E482" s="2" t="str">
        <f>IFERROR(VLOOKUP(1*LEFT(C482,7),DF!$A$1:$F$9446,2,FALSE),"")</f>
        <v>PECT BORD AUXILIAR TERCERO</v>
      </c>
      <c r="F482">
        <v>8505590</v>
      </c>
      <c r="G482" t="s">
        <v>13617</v>
      </c>
      <c r="H482">
        <v>1</v>
      </c>
    </row>
    <row r="483" spans="1:8" x14ac:dyDescent="0.25">
      <c r="A483">
        <v>16522</v>
      </c>
      <c r="B483" t="s">
        <v>4</v>
      </c>
      <c r="C483" t="str">
        <f t="shared" si="9"/>
        <v>8505101##</v>
      </c>
      <c r="E483" t="str">
        <f>IFERROR(VLOOKUP(1*LEFT(C483,7),DF!$A$1:$F$9446,2,FALSE),"")</f>
        <v>PECT BORD RUEDA ALADA POL VIAL BAND RER</v>
      </c>
      <c r="F483" s="7">
        <v>8505101</v>
      </c>
      <c r="G483" t="s">
        <v>13618</v>
      </c>
      <c r="H483">
        <v>1</v>
      </c>
    </row>
    <row r="484" spans="1:8" x14ac:dyDescent="0.25">
      <c r="A484">
        <v>16522</v>
      </c>
      <c r="B484" t="s">
        <v>4</v>
      </c>
      <c r="C484" t="str">
        <f t="shared" si="9"/>
        <v>8505109##</v>
      </c>
      <c r="E484" t="str">
        <f>IFERROR(VLOOKUP(1*LEFT(C484,7),DF!$A$1:$F$9446,2,FALSE),"")</f>
        <v>PECT BORD RUEDA ALADA VIAL BAJA VISI BI</v>
      </c>
      <c r="F484" s="7">
        <v>8505109</v>
      </c>
      <c r="G484" t="s">
        <v>13619</v>
      </c>
      <c r="H484">
        <v>1</v>
      </c>
    </row>
    <row r="485" spans="1:8" x14ac:dyDescent="0.25">
      <c r="A485">
        <v>16522</v>
      </c>
      <c r="B485" t="s">
        <v>4</v>
      </c>
      <c r="C485" t="str">
        <f t="shared" si="9"/>
        <v>8505023##</v>
      </c>
      <c r="E485" t="str">
        <f>IFERROR(VLOOKUP(1*LEFT(C485,7),DF!$A$1:$F$9446,2,FALSE),"")</f>
        <v>PECT ESC CADETES 1 BARRA AZ BI</v>
      </c>
      <c r="F485" s="7">
        <v>8505023</v>
      </c>
      <c r="G485" t="s">
        <v>13620</v>
      </c>
      <c r="H485">
        <v>1</v>
      </c>
    </row>
    <row r="486" spans="1:8" x14ac:dyDescent="0.25">
      <c r="A486" s="2">
        <v>16522</v>
      </c>
      <c r="B486" s="2" t="s">
        <v>4</v>
      </c>
      <c r="C486" s="2" t="str">
        <f t="shared" si="9"/>
        <v>8505023##</v>
      </c>
      <c r="D486" s="2"/>
      <c r="E486" s="2" t="str">
        <f>IFERROR(VLOOKUP(1*LEFT(C486,7),DF!$A$1:$F$9446,2,FALSE),"")</f>
        <v>PECT ESC CADETES 1 BARRA AZ BI</v>
      </c>
      <c r="F486">
        <v>8505023</v>
      </c>
      <c r="G486" t="s">
        <v>13620</v>
      </c>
      <c r="H486">
        <v>1</v>
      </c>
    </row>
    <row r="487" spans="1:8" x14ac:dyDescent="0.25">
      <c r="A487" s="2">
        <v>16522</v>
      </c>
      <c r="B487" s="2" t="s">
        <v>4</v>
      </c>
      <c r="C487" s="2" t="str">
        <f t="shared" si="9"/>
        <v>8505021##</v>
      </c>
      <c r="D487" s="2"/>
      <c r="E487" s="2" t="str">
        <f>IFERROR(VLOOKUP(1*LEFT(C487,7),DF!$A$1:$F$9446,2,FALSE),"")</f>
        <v>PECT ESC CADETES 1 BARRA BL OJAL BI</v>
      </c>
      <c r="F487">
        <v>8505021</v>
      </c>
      <c r="G487" t="s">
        <v>13621</v>
      </c>
      <c r="H487">
        <v>1</v>
      </c>
    </row>
    <row r="488" spans="1:8" x14ac:dyDescent="0.25">
      <c r="A488" s="2">
        <v>16522</v>
      </c>
      <c r="B488" s="2" t="s">
        <v>4</v>
      </c>
      <c r="C488" s="2" t="str">
        <f t="shared" si="9"/>
        <v>8505031##</v>
      </c>
      <c r="D488" s="2"/>
      <c r="E488" s="2" t="str">
        <f>IFERROR(VLOOKUP(1*LEFT(C488,7),DF!$A$1:$F$9446,2,FALSE),"")</f>
        <v>PECT ESC CADETES 1 BARRA NE RER</v>
      </c>
      <c r="F488">
        <v>8505031</v>
      </c>
      <c r="G488" t="s">
        <v>13622</v>
      </c>
      <c r="H488">
        <v>1</v>
      </c>
    </row>
    <row r="489" spans="1:8" x14ac:dyDescent="0.25">
      <c r="A489" s="2">
        <v>16522</v>
      </c>
      <c r="B489" s="2" t="s">
        <v>4</v>
      </c>
      <c r="C489" s="2" t="str">
        <f t="shared" si="9"/>
        <v>8505024##</v>
      </c>
      <c r="D489" s="2"/>
      <c r="E489" s="2" t="str">
        <f>IFERROR(VLOOKUP(1*LEFT(C489,7),DF!$A$1:$F$9446,2,FALSE),"")</f>
        <v>PECT ESC CADETES 2 BARRAS AZ BI</v>
      </c>
      <c r="F489">
        <v>8505024</v>
      </c>
      <c r="G489" t="s">
        <v>13623</v>
      </c>
      <c r="H489">
        <v>1</v>
      </c>
    </row>
    <row r="490" spans="1:8" x14ac:dyDescent="0.25">
      <c r="A490" s="2">
        <v>16522</v>
      </c>
      <c r="B490" s="2" t="s">
        <v>4</v>
      </c>
      <c r="C490" s="2" t="str">
        <f t="shared" si="9"/>
        <v>8505022##</v>
      </c>
      <c r="D490" s="2"/>
      <c r="E490" s="2" t="str">
        <f>IFERROR(VLOOKUP(1*LEFT(C490,7),DF!$A$1:$F$9446,2,FALSE),"")</f>
        <v>PECT ESC CADETES 2 BARRAS BL OJAL BI</v>
      </c>
      <c r="F490">
        <v>8505022</v>
      </c>
      <c r="G490" t="s">
        <v>13624</v>
      </c>
      <c r="H490">
        <v>2</v>
      </c>
    </row>
    <row r="491" spans="1:8" x14ac:dyDescent="0.25">
      <c r="A491" s="2">
        <v>16522</v>
      </c>
      <c r="B491" s="2" t="s">
        <v>4</v>
      </c>
      <c r="C491" s="2" t="str">
        <f t="shared" si="9"/>
        <v>8505032##</v>
      </c>
      <c r="D491" s="2"/>
      <c r="E491" s="2" t="str">
        <f>IFERROR(VLOOKUP(1*LEFT(C491,7),DF!$A$1:$F$9446,2,FALSE),"")</f>
        <v>PECT ESC CADETES 2 BARRAS NE RER</v>
      </c>
      <c r="F491">
        <v>8505032</v>
      </c>
      <c r="G491" t="s">
        <v>13625</v>
      </c>
      <c r="H491">
        <v>1</v>
      </c>
    </row>
    <row r="492" spans="1:8" x14ac:dyDescent="0.25">
      <c r="A492" s="2">
        <v>16522</v>
      </c>
      <c r="B492" s="2" t="s">
        <v>4</v>
      </c>
      <c r="C492" s="2" t="str">
        <f t="shared" si="9"/>
        <v>8505801##</v>
      </c>
      <c r="D492" s="2"/>
      <c r="E492" s="2" t="str">
        <f>IFERROR(VLOOKUP(1*LEFT(C492,7),DF!$A$1:$F$9446,2,FALSE),"")</f>
        <v>PECT GOMA PALABRA POLICIA PECHO</v>
      </c>
      <c r="F492">
        <v>8505801</v>
      </c>
      <c r="G492" t="s">
        <v>13626</v>
      </c>
      <c r="H492">
        <v>1</v>
      </c>
    </row>
    <row r="493" spans="1:8" x14ac:dyDescent="0.25">
      <c r="A493" s="2">
        <v>16522</v>
      </c>
      <c r="B493" s="2" t="s">
        <v>4</v>
      </c>
      <c r="C493" s="2" t="str">
        <f t="shared" si="9"/>
        <v>8505160##</v>
      </c>
      <c r="D493" s="2"/>
      <c r="E493" s="2" t="str">
        <f>IFERROR(VLOOKUP(1*LEFT(C493,7),DF!$A$1:$F$9446,2,FALSE),"")</f>
        <v>PECT. 1 ROMBO CHICO DORADO BARG BI</v>
      </c>
      <c r="F493">
        <v>8505160</v>
      </c>
      <c r="G493" t="s">
        <v>13627</v>
      </c>
      <c r="H493">
        <v>1</v>
      </c>
    </row>
    <row r="494" spans="1:8" x14ac:dyDescent="0.25">
      <c r="A494" s="2">
        <v>16522</v>
      </c>
      <c r="B494" s="2" t="s">
        <v>4</v>
      </c>
      <c r="C494" s="2" t="str">
        <f t="shared" si="9"/>
        <v>8505159##</v>
      </c>
      <c r="D494" s="2"/>
      <c r="E494" s="2" t="str">
        <f>IFERROR(VLOOKUP(1*LEFT(C494,7),DF!$A$1:$F$9446,2,FALSE),"")</f>
        <v>PECT. 1 ROMBO CHICO PLATEADO  BARG BI</v>
      </c>
      <c r="F494">
        <v>8505159</v>
      </c>
      <c r="G494" t="s">
        <v>13628</v>
      </c>
      <c r="H494">
        <v>1</v>
      </c>
    </row>
    <row r="495" spans="1:8" x14ac:dyDescent="0.25">
      <c r="A495">
        <v>16522</v>
      </c>
      <c r="B495" t="s">
        <v>4</v>
      </c>
      <c r="C495" t="str">
        <f t="shared" si="9"/>
        <v>8505367##</v>
      </c>
      <c r="E495" t="str">
        <f>IFERROR(VLOOKUP(1*LEFT(C495,7),DF!$A$1:$F$9446,2,FALSE),"")</f>
        <v>PECT. 3 ROMBOS Y PALMA  CRIO GRAL BI</v>
      </c>
      <c r="F495" s="7">
        <v>8505367</v>
      </c>
      <c r="G495" t="s">
        <v>13629</v>
      </c>
      <c r="H495">
        <v>1</v>
      </c>
    </row>
    <row r="496" spans="1:8" x14ac:dyDescent="0.25">
      <c r="A496" s="2">
        <v>16522</v>
      </c>
      <c r="B496" s="2" t="s">
        <v>4</v>
      </c>
      <c r="C496" s="2" t="str">
        <f t="shared" si="9"/>
        <v>8505367##</v>
      </c>
      <c r="D496" s="2"/>
      <c r="E496" s="2" t="str">
        <f>IFERROR(VLOOKUP(1*LEFT(C496,7),DF!$A$1:$F$9446,2,FALSE),"")</f>
        <v>PECT. 3 ROMBOS Y PALMA  CRIO GRAL BI</v>
      </c>
      <c r="F496">
        <v>8505367</v>
      </c>
      <c r="G496" t="s">
        <v>13629</v>
      </c>
      <c r="H496">
        <v>1</v>
      </c>
    </row>
    <row r="497" spans="1:8" x14ac:dyDescent="0.25">
      <c r="A497">
        <v>16522</v>
      </c>
      <c r="B497" t="s">
        <v>4</v>
      </c>
      <c r="C497" t="str">
        <f t="shared" si="9"/>
        <v>8505131##</v>
      </c>
      <c r="E497" t="str">
        <f>IFERROR(VLOOKUP(1*LEFT(C497,7),DF!$A$1:$F$9446,2,FALSE),"")</f>
        <v>PECT. ALAS BORD MOTORISTA TVS506-13 RER</v>
      </c>
      <c r="F497" s="7">
        <v>8505131</v>
      </c>
      <c r="G497" t="s">
        <v>13630</v>
      </c>
      <c r="H497">
        <v>1</v>
      </c>
    </row>
    <row r="498" spans="1:8" x14ac:dyDescent="0.25">
      <c r="A498">
        <v>16522</v>
      </c>
      <c r="B498" t="s">
        <v>4</v>
      </c>
      <c r="C498" t="str">
        <f t="shared" si="9"/>
        <v>8505130##</v>
      </c>
      <c r="E498" t="str">
        <f>IFERROR(VLOOKUP(1*LEFT(C498,7),DF!$A$1:$F$9446,2,FALSE),"")</f>
        <v>PECT. ALAS DE CHOFER TVS 465-02 BI</v>
      </c>
      <c r="F498" s="7">
        <v>8505130</v>
      </c>
      <c r="G498" t="s">
        <v>13631</v>
      </c>
      <c r="H498">
        <v>1</v>
      </c>
    </row>
    <row r="499" spans="1:8" x14ac:dyDescent="0.25">
      <c r="A499">
        <v>16522</v>
      </c>
      <c r="B499" t="s">
        <v>4</v>
      </c>
      <c r="C499" t="str">
        <f t="shared" si="9"/>
        <v>8505120##</v>
      </c>
      <c r="E499" t="str">
        <f>IFERROR(VLOOKUP(1*LEFT(C499,7),DF!$A$1:$F$9446,2,FALSE),"")</f>
        <v>PECT. BORD LMGE GIMNASIA 1ER ANIO BI</v>
      </c>
      <c r="F499" s="7">
        <v>8505120</v>
      </c>
      <c r="G499" t="s">
        <v>13632</v>
      </c>
      <c r="H499">
        <v>1</v>
      </c>
    </row>
    <row r="500" spans="1:8" x14ac:dyDescent="0.25">
      <c r="A500">
        <v>16522</v>
      </c>
      <c r="B500" t="s">
        <v>4</v>
      </c>
      <c r="C500" t="str">
        <f t="shared" si="9"/>
        <v>8505134##</v>
      </c>
      <c r="E500" t="str">
        <f>IFERROR(VLOOKUP(1*LEFT(C500,7),DF!$A$1:$F$9446,2,FALSE),"")</f>
        <v>PECT. BORD LMGE GIMNASIA 2DO ANIO BI</v>
      </c>
      <c r="F500" s="7">
        <v>8505134</v>
      </c>
      <c r="G500" t="s">
        <v>13633</v>
      </c>
      <c r="H500">
        <v>1</v>
      </c>
    </row>
    <row r="501" spans="1:8" x14ac:dyDescent="0.25">
      <c r="A501">
        <v>16522</v>
      </c>
      <c r="B501" t="s">
        <v>4</v>
      </c>
      <c r="C501" t="str">
        <f t="shared" si="9"/>
        <v>8505135##</v>
      </c>
      <c r="E501" t="str">
        <f>IFERROR(VLOOKUP(1*LEFT(C501,7),DF!$A$1:$F$9446,2,FALSE),"")</f>
        <v>PECT. BORD LMGE GIMNASIA 3ER ANIO BI</v>
      </c>
      <c r="F501" s="7">
        <v>8505135</v>
      </c>
      <c r="G501" t="s">
        <v>13634</v>
      </c>
      <c r="H501">
        <v>1</v>
      </c>
    </row>
    <row r="502" spans="1:8" x14ac:dyDescent="0.25">
      <c r="A502">
        <v>16522</v>
      </c>
      <c r="B502" t="s">
        <v>4</v>
      </c>
      <c r="C502" t="str">
        <f t="shared" si="9"/>
        <v>8505136##</v>
      </c>
      <c r="E502" t="str">
        <f>IFERROR(VLOOKUP(1*LEFT(C502,7),DF!$A$1:$F$9446,2,FALSE),"")</f>
        <v>PECT. BORD LMGE GIMNASIA 4TO ANIO BI</v>
      </c>
      <c r="F502" s="7">
        <v>8505136</v>
      </c>
      <c r="G502" t="s">
        <v>13635</v>
      </c>
      <c r="H502">
        <v>1</v>
      </c>
    </row>
    <row r="503" spans="1:8" x14ac:dyDescent="0.25">
      <c r="A503">
        <v>16522</v>
      </c>
      <c r="B503" t="s">
        <v>4</v>
      </c>
      <c r="C503" t="str">
        <f t="shared" si="9"/>
        <v>8505137##</v>
      </c>
      <c r="E503" t="str">
        <f>IFERROR(VLOOKUP(1*LEFT(C503,7),DF!$A$1:$F$9446,2,FALSE),"")</f>
        <v>PECT. BORD LMGE GIMNASIA 5TO ANIO BI</v>
      </c>
      <c r="F503" s="7">
        <v>8505137</v>
      </c>
      <c r="G503" t="s">
        <v>13636</v>
      </c>
      <c r="H503">
        <v>1</v>
      </c>
    </row>
    <row r="504" spans="1:8" x14ac:dyDescent="0.25">
      <c r="A504">
        <v>16522</v>
      </c>
      <c r="B504" t="s">
        <v>4</v>
      </c>
      <c r="C504" t="str">
        <f t="shared" si="9"/>
        <v>8505138##</v>
      </c>
      <c r="E504" t="str">
        <f>IFERROR(VLOOKUP(1*LEFT(C504,7),DF!$A$1:$F$9446,2,FALSE),"")</f>
        <v>PECT. BORD LMGE GIMNASIA 6TO ANIO BI</v>
      </c>
      <c r="F504" s="7">
        <v>8505138</v>
      </c>
      <c r="G504" t="s">
        <v>13637</v>
      </c>
      <c r="H504">
        <v>1</v>
      </c>
    </row>
    <row r="505" spans="1:8" x14ac:dyDescent="0.25">
      <c r="A505">
        <v>16522</v>
      </c>
      <c r="B505" t="s">
        <v>4</v>
      </c>
      <c r="C505" t="str">
        <f t="shared" si="9"/>
        <v>7709065##</v>
      </c>
      <c r="E505" t="str">
        <f>IFERROR(VLOOKUP(1*LEFT(C505,7),DF!$A$1:$F$9446,2,FALSE),"")</f>
        <v>PECT. BORD. 1 SOL P.S.AEROPORTUA PSA BI</v>
      </c>
      <c r="F505" s="7">
        <v>7709065</v>
      </c>
      <c r="G505" t="s">
        <v>13638</v>
      </c>
      <c r="H505">
        <v>1</v>
      </c>
    </row>
    <row r="506" spans="1:8" x14ac:dyDescent="0.25">
      <c r="A506">
        <v>16522</v>
      </c>
      <c r="B506" t="s">
        <v>4</v>
      </c>
      <c r="C506" t="str">
        <f t="shared" si="9"/>
        <v>7709068##</v>
      </c>
      <c r="E506" t="str">
        <f>IFERROR(VLOOKUP(1*LEFT(C506,7),DF!$A$1:$F$9446,2,FALSE),"")</f>
        <v>PECT. BORD. 1 SOL Y SERRETA PSA BI</v>
      </c>
      <c r="F506" s="7">
        <v>7709068</v>
      </c>
      <c r="G506" t="s">
        <v>13639</v>
      </c>
      <c r="H506">
        <v>1</v>
      </c>
    </row>
    <row r="507" spans="1:8" x14ac:dyDescent="0.25">
      <c r="A507">
        <v>16522</v>
      </c>
      <c r="B507" t="s">
        <v>4</v>
      </c>
      <c r="C507" t="str">
        <f t="shared" si="9"/>
        <v>7709064##</v>
      </c>
      <c r="E507" t="str">
        <f>IFERROR(VLOOKUP(1*LEFT(C507,7),DF!$A$1:$F$9446,2,FALSE),"")</f>
        <v>PECT. BORD. 2 SOL P.S.AEROPORTUA PSA BI</v>
      </c>
      <c r="F507" s="7">
        <v>7709064</v>
      </c>
      <c r="G507" t="s">
        <v>13640</v>
      </c>
      <c r="H507">
        <v>1</v>
      </c>
    </row>
    <row r="508" spans="1:8" x14ac:dyDescent="0.25">
      <c r="A508">
        <v>16522</v>
      </c>
      <c r="B508" t="s">
        <v>4</v>
      </c>
      <c r="C508" t="str">
        <f t="shared" si="9"/>
        <v>7709069##</v>
      </c>
      <c r="E508" t="str">
        <f>IFERROR(VLOOKUP(1*LEFT(C508,7),DF!$A$1:$F$9446,2,FALSE),"")</f>
        <v>PECT. BORD. 2 SOL Y SERRETA PSA BI</v>
      </c>
      <c r="F508" s="7">
        <v>7709069</v>
      </c>
      <c r="G508" t="s">
        <v>13641</v>
      </c>
      <c r="H508">
        <v>1</v>
      </c>
    </row>
    <row r="509" spans="1:8" x14ac:dyDescent="0.25">
      <c r="A509">
        <v>16522</v>
      </c>
      <c r="B509" t="s">
        <v>4</v>
      </c>
      <c r="C509" t="str">
        <f t="shared" si="9"/>
        <v>7709066##</v>
      </c>
      <c r="E509" t="str">
        <f>IFERROR(VLOOKUP(1*LEFT(C509,7),DF!$A$1:$F$9446,2,FALSE),"")</f>
        <v>PECT. BORD. 3 SOL P.S.AEROPORTUA PSA BI</v>
      </c>
      <c r="F509" s="7">
        <v>7709066</v>
      </c>
      <c r="G509" t="s">
        <v>13642</v>
      </c>
      <c r="H509">
        <v>1</v>
      </c>
    </row>
    <row r="510" spans="1:8" x14ac:dyDescent="0.25">
      <c r="A510">
        <v>16522</v>
      </c>
      <c r="B510" t="s">
        <v>4</v>
      </c>
      <c r="C510" t="str">
        <f t="shared" si="9"/>
        <v>7709067##</v>
      </c>
      <c r="E510" t="str">
        <f>IFERROR(VLOOKUP(1*LEFT(C510,7),DF!$A$1:$F$9446,2,FALSE),"")</f>
        <v>PECT. BORD. 4 SOL P.S.AEROPORTUA PSA BI</v>
      </c>
      <c r="F510" s="7">
        <v>7709067</v>
      </c>
      <c r="G510" t="s">
        <v>13643</v>
      </c>
      <c r="H510">
        <v>1</v>
      </c>
    </row>
    <row r="511" spans="1:8" x14ac:dyDescent="0.25">
      <c r="A511">
        <v>16522</v>
      </c>
      <c r="B511" t="s">
        <v>4</v>
      </c>
      <c r="C511" t="str">
        <f t="shared" si="9"/>
        <v>8505156##</v>
      </c>
      <c r="E511" t="str">
        <f>IFERROR(VLOOKUP(1*LEFT(C511,7),DF!$A$1:$F$9446,2,FALSE),"")</f>
        <v>PECT. BORD. AUXILIAR   11 BI</v>
      </c>
      <c r="F511" s="7">
        <v>8505156</v>
      </c>
      <c r="G511" t="s">
        <v>13644</v>
      </c>
      <c r="H511">
        <v>1</v>
      </c>
    </row>
    <row r="512" spans="1:8" x14ac:dyDescent="0.25">
      <c r="A512">
        <v>16522</v>
      </c>
      <c r="B512" t="s">
        <v>4</v>
      </c>
      <c r="C512" t="str">
        <f t="shared" si="9"/>
        <v>8505158##</v>
      </c>
      <c r="E512" t="str">
        <f>IFERROR(VLOOKUP(1*LEFT(C512,7),DF!$A$1:$F$9446,2,FALSE),"")</f>
        <v>PECT. BORD. AUXILIAR MAYOR BI</v>
      </c>
      <c r="F512" s="7">
        <v>8505158</v>
      </c>
      <c r="G512" t="s">
        <v>13645</v>
      </c>
      <c r="H512">
        <v>1</v>
      </c>
    </row>
    <row r="513" spans="1:8" x14ac:dyDescent="0.25">
      <c r="A513">
        <v>16522</v>
      </c>
      <c r="B513" t="s">
        <v>4</v>
      </c>
      <c r="C513" t="str">
        <f t="shared" si="9"/>
        <v>8505157##</v>
      </c>
      <c r="E513" t="str">
        <f>IFERROR(VLOOKUP(1*LEFT(C513,7),DF!$A$1:$F$9446,2,FALSE),"")</f>
        <v>PECT. BORD. AUXILIAR PRIMERO    12 BI</v>
      </c>
      <c r="F513" s="7">
        <v>8505157</v>
      </c>
      <c r="G513" t="s">
        <v>13646</v>
      </c>
      <c r="H513">
        <v>1</v>
      </c>
    </row>
    <row r="514" spans="1:8" x14ac:dyDescent="0.25">
      <c r="A514">
        <v>16522</v>
      </c>
      <c r="B514" t="s">
        <v>4</v>
      </c>
      <c r="C514" t="str">
        <f t="shared" si="9"/>
        <v>8505789##</v>
      </c>
      <c r="E514" t="str">
        <f>IFERROR(VLOOKUP(1*LEFT(C514,7),DF!$A$1:$F$9446,2,FALSE),"")</f>
        <v>PECT. BORD. AUXILIAR SEGUNDO BI</v>
      </c>
      <c r="F514" s="7">
        <v>8505789</v>
      </c>
      <c r="G514" t="s">
        <v>13647</v>
      </c>
      <c r="H514">
        <v>1</v>
      </c>
    </row>
    <row r="515" spans="1:8" x14ac:dyDescent="0.25">
      <c r="A515" s="2">
        <v>16522</v>
      </c>
      <c r="B515" s="2" t="s">
        <v>4</v>
      </c>
      <c r="C515" s="2" t="str">
        <f t="shared" si="9"/>
        <v>8505175##</v>
      </c>
      <c r="D515" s="2"/>
      <c r="E515" s="2" t="str">
        <f>IFERROR(VLOOKUP(1*LEFT(C515,7),DF!$A$1:$F$9446,2,FALSE),"")</f>
        <v>PECT. BORD. AUXILIAR SUPERIOR BI</v>
      </c>
      <c r="F515">
        <v>8505175</v>
      </c>
      <c r="G515" t="s">
        <v>13648</v>
      </c>
      <c r="H515">
        <v>1</v>
      </c>
    </row>
    <row r="516" spans="1:8" x14ac:dyDescent="0.25">
      <c r="A516" s="2">
        <v>16522</v>
      </c>
      <c r="B516" s="2" t="s">
        <v>4</v>
      </c>
      <c r="C516" s="2" t="str">
        <f t="shared" si="9"/>
        <v>8505142##</v>
      </c>
      <c r="D516" s="2"/>
      <c r="E516" s="2" t="str">
        <f>IFERROR(VLOOKUP(1*LEFT(C516,7),DF!$A$1:$F$9446,2,FALSE),"")</f>
        <v>PECT. BORD. B. VISB. AUX. MAYOR BI</v>
      </c>
      <c r="F516" s="7">
        <v>8505142</v>
      </c>
      <c r="G516" t="s">
        <v>13649</v>
      </c>
      <c r="H516">
        <v>1</v>
      </c>
    </row>
    <row r="517" spans="1:8" x14ac:dyDescent="0.25">
      <c r="A517">
        <v>16522</v>
      </c>
      <c r="B517" t="s">
        <v>4</v>
      </c>
      <c r="C517" t="str">
        <f t="shared" si="9"/>
        <v>8505139##</v>
      </c>
      <c r="E517" t="str">
        <f>IFERROR(VLOOKUP(1*LEFT(C517,7),DF!$A$1:$F$9446,2,FALSE),"")</f>
        <v>PECT. BORD. B. VISIB. AUX. BI</v>
      </c>
      <c r="F517" s="7">
        <v>8505139</v>
      </c>
      <c r="G517" t="s">
        <v>13650</v>
      </c>
      <c r="H517">
        <v>1</v>
      </c>
    </row>
    <row r="518" spans="1:8" x14ac:dyDescent="0.25">
      <c r="A518" s="2">
        <v>16522</v>
      </c>
      <c r="B518" s="2" t="s">
        <v>4</v>
      </c>
      <c r="C518" s="2" t="str">
        <f t="shared" si="9"/>
        <v>8505141##</v>
      </c>
      <c r="D518" s="2"/>
      <c r="E518" s="2" t="str">
        <f>IFERROR(VLOOKUP(1*LEFT(C518,7),DF!$A$1:$F$9446,2,FALSE),"")</f>
        <v>PECT. BORD. B. VISIB. AUX. SEGUNDO BI</v>
      </c>
      <c r="F518" s="7">
        <v>8505141</v>
      </c>
      <c r="G518" t="s">
        <v>13651</v>
      </c>
      <c r="H518">
        <v>1</v>
      </c>
    </row>
    <row r="519" spans="1:8" x14ac:dyDescent="0.25">
      <c r="A519">
        <v>16522</v>
      </c>
      <c r="B519" t="s">
        <v>4</v>
      </c>
      <c r="C519" t="str">
        <f t="shared" si="9"/>
        <v>8505140##</v>
      </c>
      <c r="E519" t="str">
        <f>IFERROR(VLOOKUP(1*LEFT(C519,7),DF!$A$1:$F$9446,2,FALSE),"")</f>
        <v>PECT. BORD. B. VISIB. AUXILIAR 1 BI</v>
      </c>
      <c r="F519" s="7">
        <v>8505140</v>
      </c>
      <c r="G519" t="s">
        <v>13652</v>
      </c>
      <c r="H519">
        <v>1</v>
      </c>
    </row>
    <row r="520" spans="1:8" x14ac:dyDescent="0.25">
      <c r="A520" s="2">
        <v>16522</v>
      </c>
      <c r="B520" s="2" t="s">
        <v>4</v>
      </c>
      <c r="C520" s="2" t="str">
        <f t="shared" si="9"/>
        <v>8505129##</v>
      </c>
      <c r="D520" s="2"/>
      <c r="E520" s="2" t="str">
        <f>IFERROR(VLOOKUP(1*LEFT(C520,7),DF!$A$1:$F$9446,2,FALSE),"")</f>
        <v>PECT. BORD. PENIT. ALAS SERP  BARG BI</v>
      </c>
      <c r="F520">
        <v>8505129</v>
      </c>
      <c r="G520" t="s">
        <v>13653</v>
      </c>
      <c r="H520">
        <v>1</v>
      </c>
    </row>
    <row r="521" spans="1:8" x14ac:dyDescent="0.25">
      <c r="A521">
        <v>16522</v>
      </c>
      <c r="B521" t="s">
        <v>4</v>
      </c>
      <c r="C521" t="str">
        <f t="shared" si="9"/>
        <v>8505127##</v>
      </c>
      <c r="E521" t="str">
        <f>IFERROR(VLOOKUP(1*LEFT(C521,7),DF!$A$1:$F$9446,2,FALSE),"")</f>
        <v>PECT. BORD. PENIT. SERP RER</v>
      </c>
      <c r="F521" s="7">
        <v>8505127</v>
      </c>
      <c r="G521" t="s">
        <v>13654</v>
      </c>
      <c r="H521">
        <v>1</v>
      </c>
    </row>
    <row r="522" spans="1:8" x14ac:dyDescent="0.25">
      <c r="A522">
        <v>16522</v>
      </c>
      <c r="B522" t="s">
        <v>4</v>
      </c>
      <c r="C522" t="str">
        <f t="shared" si="9"/>
        <v>7707266##</v>
      </c>
      <c r="E522" t="str">
        <f>IFERROR(VLOOKUP(1*LEFT(C522,7),DF!$A$1:$F$9446,2,FALSE),"")</f>
        <v>PECT. EJERCITO ARGENTINO   BARG BI</v>
      </c>
      <c r="F522" s="7">
        <v>7707266</v>
      </c>
      <c r="G522" t="s">
        <v>13655</v>
      </c>
      <c r="H522">
        <v>1</v>
      </c>
    </row>
    <row r="523" spans="1:8" x14ac:dyDescent="0.25">
      <c r="A523" s="2">
        <v>16522</v>
      </c>
      <c r="B523" s="2" t="s">
        <v>4</v>
      </c>
      <c r="C523" s="2" t="str">
        <f t="shared" si="9"/>
        <v>7709135##</v>
      </c>
      <c r="D523" s="2"/>
      <c r="E523" s="2" t="str">
        <f>IFERROR(VLOOKUP(1*LEFT(C523,7),DF!$A$1:$F$9446,2,FALSE),"")</f>
        <v>PECT. POLICIA BORDADO BAJA VISIBILIDAD</v>
      </c>
      <c r="F523" s="7">
        <v>7709135</v>
      </c>
      <c r="G523" t="s">
        <v>13656</v>
      </c>
      <c r="H523">
        <v>1</v>
      </c>
    </row>
    <row r="524" spans="1:8" x14ac:dyDescent="0.25">
      <c r="A524">
        <v>16522</v>
      </c>
      <c r="B524" t="s">
        <v>4</v>
      </c>
      <c r="C524" t="str">
        <f t="shared" si="9"/>
        <v>8521374##</v>
      </c>
      <c r="E524" t="str">
        <f>IFERROR(VLOOKUP(1*LEFT(C524,7),DF!$A$1:$F$9446,2,FALSE),"")</f>
        <v>PINZA NAVAJA  MULTIFUNCION TACTICA 3526 GB</v>
      </c>
      <c r="F524">
        <v>8521374</v>
      </c>
      <c r="G524" t="s">
        <v>13657</v>
      </c>
      <c r="H524">
        <v>4</v>
      </c>
    </row>
    <row r="525" spans="1:8" x14ac:dyDescent="0.25">
      <c r="A525">
        <v>16522</v>
      </c>
      <c r="B525" t="s">
        <v>4</v>
      </c>
      <c r="C525" t="str">
        <f t="shared" si="9"/>
        <v>8521499##</v>
      </c>
      <c r="E525" t="str">
        <f>IFERROR(VLOOKUP(1*LEFT(C525,7),DF!$A$1:$F$9446,2,FALSE),"")</f>
        <v>PINZA NAVAJA MULTIFUNCION 3019</v>
      </c>
      <c r="F525">
        <v>8521499</v>
      </c>
      <c r="G525" t="s">
        <v>13658</v>
      </c>
      <c r="H525">
        <v>3</v>
      </c>
    </row>
    <row r="526" spans="1:8" x14ac:dyDescent="0.25">
      <c r="A526" s="2">
        <v>16522</v>
      </c>
      <c r="B526" s="2" t="s">
        <v>4</v>
      </c>
      <c r="C526" s="2" t="str">
        <f t="shared" si="9"/>
        <v>8703557##</v>
      </c>
      <c r="D526" s="2"/>
      <c r="E526" s="2" t="str">
        <f>IFERROR(VLOOKUP(1*LEFT(C526,7),DF!$A$1:$F$9446,2,FALSE),"")</f>
        <v>PIST ANATOM BERSA MINITHUND XTL 557A XTR</v>
      </c>
      <c r="F526">
        <v>8703557</v>
      </c>
      <c r="G526" t="s">
        <v>13659</v>
      </c>
      <c r="H526">
        <v>3</v>
      </c>
    </row>
    <row r="527" spans="1:8" x14ac:dyDescent="0.25">
      <c r="A527" s="2">
        <v>16522</v>
      </c>
      <c r="B527" s="2" t="s">
        <v>4</v>
      </c>
      <c r="C527" s="2" t="str">
        <f t="shared" si="9"/>
        <v>8703036##</v>
      </c>
      <c r="D527" s="2"/>
      <c r="E527" s="2" t="str">
        <f>IFERROR(VLOOKUP(1*LEFT(C527,7),DF!$A$1:$F$9446,2,FALSE),"")</f>
        <v>PIST CUERO PANQUEQ CORTA 1036 TB</v>
      </c>
      <c r="F527" s="7">
        <v>8703036</v>
      </c>
      <c r="G527" t="s">
        <v>13660</v>
      </c>
      <c r="H527">
        <v>5</v>
      </c>
    </row>
    <row r="528" spans="1:8" x14ac:dyDescent="0.25">
      <c r="A528">
        <v>16522</v>
      </c>
      <c r="B528" t="s">
        <v>4</v>
      </c>
      <c r="C528" t="str">
        <f t="shared" si="9"/>
        <v>8703570##</v>
      </c>
      <c r="E528" t="str">
        <f>IFERROR(VLOOKUP(1*LEFT(C528,7),DF!$A$1:$F$9446,2,FALSE),"")</f>
        <v>PIST NIVEL 1 + PORT CARG BERSA/PT92/BROW</v>
      </c>
      <c r="F528">
        <v>8703570</v>
      </c>
      <c r="G528" t="s">
        <v>13661</v>
      </c>
      <c r="H528">
        <v>7</v>
      </c>
    </row>
    <row r="529" spans="1:8" x14ac:dyDescent="0.25">
      <c r="A529" s="2">
        <v>16522</v>
      </c>
      <c r="B529" s="2" t="s">
        <v>4</v>
      </c>
      <c r="C529" s="2" t="str">
        <f t="shared" si="9"/>
        <v>8703570##</v>
      </c>
      <c r="D529" s="2"/>
      <c r="E529" s="2" t="str">
        <f>IFERROR(VLOOKUP(1*LEFT(C529,7),DF!$A$1:$F$9446,2,FALSE),"")</f>
        <v>PIST NIVEL 1 + PORT CARG BERSA/PT92/BROW</v>
      </c>
      <c r="F529">
        <v>8703570</v>
      </c>
      <c r="G529" t="s">
        <v>13661</v>
      </c>
      <c r="H529">
        <v>7</v>
      </c>
    </row>
    <row r="530" spans="1:8" x14ac:dyDescent="0.25">
      <c r="A530" s="2">
        <v>16522</v>
      </c>
      <c r="B530" s="2" t="s">
        <v>4</v>
      </c>
      <c r="C530" s="2" t="str">
        <f t="shared" si="9"/>
        <v>8703244##</v>
      </c>
      <c r="D530" s="2"/>
      <c r="E530" s="2" t="str">
        <f>IFERROR(VLOOKUP(1*LEFT(C530,7),DF!$A$1:$F$9446,2,FALSE),"")</f>
        <v>PIST NIVEL 2 H.N2-40/BS BERETA92 T92 FUN</v>
      </c>
      <c r="F530">
        <v>8703244</v>
      </c>
      <c r="G530" t="s">
        <v>13662</v>
      </c>
      <c r="H530">
        <v>5</v>
      </c>
    </row>
    <row r="531" spans="1:8" x14ac:dyDescent="0.25">
      <c r="A531" s="2">
        <v>16522</v>
      </c>
      <c r="B531" s="2" t="s">
        <v>4</v>
      </c>
      <c r="C531" s="2" t="str">
        <f t="shared" si="9"/>
        <v>8703531##</v>
      </c>
      <c r="D531" s="2"/>
      <c r="E531" s="2" t="str">
        <f>IFERROR(VLOOKUP(1*LEFT(C531,7),DF!$A$1:$F$9446,2,FALSE),"")</f>
        <v>PIST NIVEL 2 TAURUS 809/TH9 B0</v>
      </c>
      <c r="F531">
        <v>8703531</v>
      </c>
      <c r="G531" t="s">
        <v>13663</v>
      </c>
      <c r="H531">
        <v>5</v>
      </c>
    </row>
    <row r="532" spans="1:8" x14ac:dyDescent="0.25">
      <c r="A532" s="2">
        <v>16522</v>
      </c>
      <c r="B532" s="2" t="s">
        <v>4</v>
      </c>
      <c r="C532" s="2" t="str">
        <f t="shared" si="9"/>
        <v>8703955##</v>
      </c>
      <c r="D532" s="2"/>
      <c r="E532" s="2" t="str">
        <f>IFERROR(VLOOKUP(1*LEFT(C532,7),DF!$A$1:$F$9446,2,FALSE),"")</f>
        <v>PIST NIVEL 2 ZURDA BERSA THUNDER PRO XTR</v>
      </c>
      <c r="F532">
        <v>8703955</v>
      </c>
      <c r="G532" t="s">
        <v>14083</v>
      </c>
      <c r="H532">
        <v>2</v>
      </c>
    </row>
    <row r="533" spans="1:8" x14ac:dyDescent="0.25">
      <c r="A533" s="2">
        <v>16522</v>
      </c>
      <c r="B533" s="2" t="s">
        <v>4</v>
      </c>
      <c r="C533" s="2" t="str">
        <f t="shared" si="9"/>
        <v>8703600##</v>
      </c>
      <c r="D533" s="2"/>
      <c r="E533" s="2" t="str">
        <f>IFERROR(VLOOKUP(1*LEFT(C533,7),DF!$A$1:$F$9446,2,FALSE),"")</f>
        <v>PIST POLIA GUERRILLERA UNIVERSAL T600 T</v>
      </c>
      <c r="F533">
        <v>8703600</v>
      </c>
      <c r="G533" t="s">
        <v>13664</v>
      </c>
      <c r="H533">
        <v>5</v>
      </c>
    </row>
    <row r="534" spans="1:8" x14ac:dyDescent="0.25">
      <c r="A534" s="2">
        <v>16522</v>
      </c>
      <c r="B534" s="2" t="s">
        <v>4</v>
      </c>
      <c r="C534" s="2" t="str">
        <f t="shared" si="9"/>
        <v>8703038##</v>
      </c>
      <c r="D534" s="2"/>
      <c r="E534" s="2" t="str">
        <f>IFERROR(VLOOKUP(1*LEFT(C534,7),DF!$A$1:$F$9446,2,FALSE),"")</f>
        <v>PIST. CUERO AVENGER/TAU/BE 1038 TB</v>
      </c>
      <c r="F534" s="7">
        <v>8703038</v>
      </c>
      <c r="G534" t="s">
        <v>13665</v>
      </c>
      <c r="H534">
        <v>6</v>
      </c>
    </row>
    <row r="535" spans="1:8" x14ac:dyDescent="0.25">
      <c r="A535" s="2">
        <v>16522</v>
      </c>
      <c r="B535" s="2" t="s">
        <v>4</v>
      </c>
      <c r="C535" s="2" t="str">
        <f t="shared" si="9"/>
        <v>8703041##</v>
      </c>
      <c r="D535" s="2"/>
      <c r="E535" s="2" t="str">
        <f>IFERROR(VLOOKUP(1*LEFT(C535,7),DF!$A$1:$F$9446,2,FALSE),"")</f>
        <v>PIST. CUERO SAQUE RAPID 1041 TB TB</v>
      </c>
      <c r="F535">
        <v>8703041</v>
      </c>
      <c r="G535" t="s">
        <v>13666</v>
      </c>
      <c r="H535">
        <v>2</v>
      </c>
    </row>
    <row r="536" spans="1:8" x14ac:dyDescent="0.25">
      <c r="A536" s="2">
        <v>16522</v>
      </c>
      <c r="B536" s="2" t="s">
        <v>4</v>
      </c>
      <c r="C536" s="2" t="str">
        <f t="shared" si="9"/>
        <v>8703051##</v>
      </c>
      <c r="D536" s="2"/>
      <c r="E536" s="2" t="str">
        <f>IFERROR(VLOOKUP(1*LEFT(C536,7),DF!$A$1:$F$9446,2,FALSE),"")</f>
        <v>PIST. CUERO TODO CALIBRE 1051 TB</v>
      </c>
      <c r="F536">
        <v>8703051</v>
      </c>
      <c r="G536" t="s">
        <v>13667</v>
      </c>
      <c r="H536">
        <v>6</v>
      </c>
    </row>
    <row r="537" spans="1:8" x14ac:dyDescent="0.25">
      <c r="A537" s="2">
        <v>16522</v>
      </c>
      <c r="B537" s="2" t="s">
        <v>4</v>
      </c>
      <c r="C537" s="2" t="str">
        <f t="shared" si="9"/>
        <v>8703042##</v>
      </c>
      <c r="D537" s="2"/>
      <c r="E537" s="2" t="str">
        <f>IFERROR(VLOOKUP(1*LEFT(C537,7),DF!$A$1:$F$9446,2,FALSE),"")</f>
        <v>PIST. CUERO UNIVERSAL 1042 TB</v>
      </c>
      <c r="F537">
        <v>8703042</v>
      </c>
      <c r="G537" t="s">
        <v>13668</v>
      </c>
      <c r="H537">
        <v>2</v>
      </c>
    </row>
    <row r="538" spans="1:8" x14ac:dyDescent="0.25">
      <c r="A538" s="2">
        <v>16522</v>
      </c>
      <c r="B538" s="2" t="s">
        <v>4</v>
      </c>
      <c r="C538" s="2" t="str">
        <f t="shared" si="9"/>
        <v>8703400##</v>
      </c>
      <c r="D538" s="2"/>
      <c r="E538" s="2" t="str">
        <f>IFERROR(VLOOKUP(1*LEFT(C538,7),DF!$A$1:$F$9446,2,FALSE),"")</f>
        <v>PIST. EXTERNA KYDEX BERETTA/TAU9MM KY40E</v>
      </c>
      <c r="F538">
        <v>8703400</v>
      </c>
      <c r="G538" t="s">
        <v>13669</v>
      </c>
      <c r="H538">
        <v>4</v>
      </c>
    </row>
    <row r="539" spans="1:8" x14ac:dyDescent="0.25">
      <c r="A539" s="2">
        <v>16522</v>
      </c>
      <c r="B539" s="2" t="s">
        <v>4</v>
      </c>
      <c r="C539" s="2" t="str">
        <f t="shared" si="9"/>
        <v>8703405##</v>
      </c>
      <c r="D539" s="2"/>
      <c r="E539" s="2" t="str">
        <f>IFERROR(VLOOKUP(1*LEFT(C539,7),DF!$A$1:$F$9446,2,FALSE),"")</f>
        <v>PIST. EXTERNA/ROTAT. KYDEX TAU92 KY40ER</v>
      </c>
      <c r="F539">
        <v>8703405</v>
      </c>
      <c r="G539" t="s">
        <v>13670</v>
      </c>
      <c r="H539">
        <v>4</v>
      </c>
    </row>
    <row r="540" spans="1:8" x14ac:dyDescent="0.25">
      <c r="A540" s="2">
        <v>16522</v>
      </c>
      <c r="B540" s="2" t="s">
        <v>4</v>
      </c>
      <c r="C540" s="2" t="str">
        <f t="shared" si="9"/>
        <v>8703573##</v>
      </c>
      <c r="D540" s="2"/>
      <c r="E540" s="2" t="str">
        <f>IFERROR(VLOOKUP(1*LEFT(C540,7),DF!$A$1:$F$9446,2,FALSE),"")</f>
        <v>PIST. MODELO QM BERSA PRO / GLOCK 5573-8</v>
      </c>
      <c r="F540">
        <v>8703573</v>
      </c>
      <c r="G540" t="s">
        <v>14079</v>
      </c>
      <c r="H540">
        <v>6</v>
      </c>
    </row>
    <row r="541" spans="1:8" x14ac:dyDescent="0.25">
      <c r="A541" s="2">
        <v>16522</v>
      </c>
      <c r="B541" s="2" t="s">
        <v>4</v>
      </c>
      <c r="C541" s="2" t="str">
        <f t="shared" si="9"/>
        <v>8707113##</v>
      </c>
      <c r="D541" s="2"/>
      <c r="E541" s="2" t="str">
        <f>IFERROR(VLOOKUP(1*LEFT(C541,7),DF!$A$1:$F$9446,2,FALSE),"")</f>
        <v>PIST. MOLLE RRD11 BLK</v>
      </c>
      <c r="F541" s="7">
        <v>8707113</v>
      </c>
      <c r="G541" t="s">
        <v>13671</v>
      </c>
      <c r="H541">
        <v>3</v>
      </c>
    </row>
    <row r="542" spans="1:8" x14ac:dyDescent="0.25">
      <c r="A542" s="2">
        <v>16522</v>
      </c>
      <c r="B542" s="2" t="s">
        <v>4</v>
      </c>
      <c r="C542" s="2" t="str">
        <f t="shared" si="9"/>
        <v>8703208##</v>
      </c>
      <c r="D542" s="2"/>
      <c r="E542" s="2" t="str">
        <f>IFERROR(VLOOKUP(1*LEFT(C542,7),DF!$A$1:$F$9446,2,FALSE),"")</f>
        <v>PIST. N5 AH BERSA THUNDER PRO AUTOM DEG</v>
      </c>
      <c r="F542">
        <v>8703208</v>
      </c>
      <c r="G542" t="s">
        <v>14071</v>
      </c>
      <c r="H542">
        <v>9</v>
      </c>
    </row>
    <row r="543" spans="1:8" x14ac:dyDescent="0.25">
      <c r="A543" s="2">
        <v>16522</v>
      </c>
      <c r="B543" s="2" t="s">
        <v>4</v>
      </c>
      <c r="C543" s="2" t="str">
        <f t="shared" ref="C543:C606" si="10">CONCATENATE(F543,"##")</f>
        <v>8703205##</v>
      </c>
      <c r="D543" s="2"/>
      <c r="E543" s="2" t="str">
        <f>IFERROR(VLOOKUP(1*LEFT(C543,7),DF!$A$1:$F$9446,2,FALSE),"")</f>
        <v>PIST. N5 AH FS92 AUTOMATIC HOLSTER DEG</v>
      </c>
      <c r="F543">
        <v>8703205</v>
      </c>
      <c r="G543" t="s">
        <v>14072</v>
      </c>
      <c r="H543">
        <v>14</v>
      </c>
    </row>
    <row r="544" spans="1:8" x14ac:dyDescent="0.25">
      <c r="A544" s="2">
        <v>16522</v>
      </c>
      <c r="B544" s="2" t="s">
        <v>4</v>
      </c>
      <c r="C544" s="2" t="str">
        <f t="shared" si="10"/>
        <v>8703206##</v>
      </c>
      <c r="D544" s="2"/>
      <c r="E544" s="2" t="str">
        <f>IFERROR(VLOOKUP(1*LEFT(C544,7),DF!$A$1:$F$9446,2,FALSE),"")</f>
        <v>PIST. N5 AH GLOCK AUTOMATIC HOLSTER DEG</v>
      </c>
      <c r="F544">
        <v>8703206</v>
      </c>
      <c r="G544" t="s">
        <v>14080</v>
      </c>
      <c r="H544">
        <v>11</v>
      </c>
    </row>
    <row r="545" spans="1:8" x14ac:dyDescent="0.25">
      <c r="A545">
        <v>16522</v>
      </c>
      <c r="B545" t="s">
        <v>4</v>
      </c>
      <c r="C545" t="str">
        <f t="shared" si="10"/>
        <v>8703207##</v>
      </c>
      <c r="E545" t="str">
        <f>IFERROR(VLOOKUP(1*LEFT(C545,7),DF!$A$1:$F$9446,2,FALSE),"")</f>
        <v>PIST. N5 AH PX4 AUTOMATIC HOLSTER DEG</v>
      </c>
      <c r="F545">
        <v>8703207</v>
      </c>
      <c r="G545" t="s">
        <v>13672</v>
      </c>
      <c r="H545">
        <v>12</v>
      </c>
    </row>
    <row r="546" spans="1:8" x14ac:dyDescent="0.25">
      <c r="A546">
        <v>16522</v>
      </c>
      <c r="B546" t="s">
        <v>4</v>
      </c>
      <c r="C546" t="str">
        <f t="shared" si="10"/>
        <v>8703950##</v>
      </c>
      <c r="E546" t="str">
        <f>IFERROR(VLOOKUP(1*LEFT(C546,7),DF!$A$1:$F$9446,2,FALSE),"")</f>
        <v>PIST. NIVEL 2 BERETTA 92/96 XTR</v>
      </c>
      <c r="F546">
        <v>8703950</v>
      </c>
      <c r="G546" t="s">
        <v>13673</v>
      </c>
      <c r="H546">
        <v>7</v>
      </c>
    </row>
    <row r="547" spans="1:8" x14ac:dyDescent="0.25">
      <c r="A547" s="2">
        <v>16522</v>
      </c>
      <c r="B547" s="2" t="s">
        <v>4</v>
      </c>
      <c r="C547" s="2" t="str">
        <f t="shared" si="10"/>
        <v>8703667##</v>
      </c>
      <c r="D547" s="2"/>
      <c r="E547" s="2" t="str">
        <f>IFERROR(VLOOKUP(1*LEFT(C547,7),DF!$A$1:$F$9446,2,FALSE),"")</f>
        <v>PIST. NIVEL 2 BERSA AJUSTABLE 92GB HOLST</v>
      </c>
      <c r="F547">
        <v>8703667</v>
      </c>
      <c r="G547" t="s">
        <v>14076</v>
      </c>
      <c r="H547">
        <v>4</v>
      </c>
    </row>
    <row r="548" spans="1:8" x14ac:dyDescent="0.25">
      <c r="A548" s="2">
        <v>16522</v>
      </c>
      <c r="B548" s="2" t="s">
        <v>4</v>
      </c>
      <c r="C548" s="2" t="str">
        <f t="shared" si="10"/>
        <v>8703662##</v>
      </c>
      <c r="D548" s="2"/>
      <c r="E548" s="2" t="str">
        <f>IFERROR(VLOOKUP(1*LEFT(C548,7),DF!$A$1:$F$9446,2,FALSE),"")</f>
        <v>PIST. NIVEL 2 BERSA PRO/THU HOLSTER 5662</v>
      </c>
      <c r="F548" s="7">
        <v>8703662</v>
      </c>
      <c r="G548" t="s">
        <v>13674</v>
      </c>
      <c r="H548">
        <v>5</v>
      </c>
    </row>
    <row r="549" spans="1:8" x14ac:dyDescent="0.25">
      <c r="A549" s="2">
        <v>16522</v>
      </c>
      <c r="B549" s="2" t="s">
        <v>4</v>
      </c>
      <c r="C549" s="2" t="str">
        <f t="shared" si="10"/>
        <v>8703656##</v>
      </c>
      <c r="D549" s="2"/>
      <c r="E549" s="2" t="str">
        <f>IFERROR(VLOOKUP(1*LEFT(C549,7),DF!$A$1:$F$9446,2,FALSE),"")</f>
        <v>PIST. NIVEL 2 BERSA PRO/THUNDMODM92 5656</v>
      </c>
      <c r="F549">
        <v>8703656</v>
      </c>
      <c r="G549" t="s">
        <v>14073</v>
      </c>
      <c r="H549">
        <v>5</v>
      </c>
    </row>
    <row r="550" spans="1:8" x14ac:dyDescent="0.25">
      <c r="A550" s="2">
        <v>16522</v>
      </c>
      <c r="B550" s="2" t="s">
        <v>4</v>
      </c>
      <c r="C550" s="2" t="str">
        <f t="shared" si="10"/>
        <v>8703350##</v>
      </c>
      <c r="D550" s="2"/>
      <c r="E550" s="2" t="str">
        <f>IFERROR(VLOOKUP(1*LEFT(C550,7),DF!$A$1:$F$9446,2,FALSE),"")</f>
        <v>PIST. NIVEL 2 BERSA THUNDER JA.BAR TB P010</v>
      </c>
      <c r="F550">
        <v>8703350</v>
      </c>
      <c r="G550" t="s">
        <v>13675</v>
      </c>
      <c r="H550">
        <v>3</v>
      </c>
    </row>
    <row r="551" spans="1:8" x14ac:dyDescent="0.25">
      <c r="A551" s="2">
        <v>16522</v>
      </c>
      <c r="B551" s="2" t="s">
        <v>4</v>
      </c>
      <c r="C551" s="2" t="str">
        <f t="shared" si="10"/>
        <v>8703954##</v>
      </c>
      <c r="D551" s="2"/>
      <c r="E551" s="2" t="str">
        <f>IFERROR(VLOOKUP(1*LEFT(C551,7),DF!$A$1:$F$9446,2,FALSE),"")</f>
        <v>PIST. NIVEL 2 BERSA THUNDER PRO 9/40 XTR</v>
      </c>
      <c r="F551">
        <v>8703954</v>
      </c>
      <c r="G551" t="s">
        <v>13676</v>
      </c>
      <c r="H551">
        <v>4</v>
      </c>
    </row>
    <row r="552" spans="1:8" x14ac:dyDescent="0.25">
      <c r="A552" s="2">
        <v>16522</v>
      </c>
      <c r="B552" s="2" t="s">
        <v>4</v>
      </c>
      <c r="C552" s="2" t="str">
        <f t="shared" si="10"/>
        <v>8703352##</v>
      </c>
      <c r="D552" s="2"/>
      <c r="E552" s="2" t="str">
        <f>IFERROR(VLOOKUP(1*LEFT(C552,7),DF!$A$1:$F$9446,2,FALSE),"")</f>
        <v>PIST. NIVEL 2 BERSA TPR9 JA.BAR TB P011</v>
      </c>
      <c r="F552">
        <v>8703352</v>
      </c>
      <c r="G552" t="s">
        <v>13677</v>
      </c>
      <c r="H552">
        <v>6</v>
      </c>
    </row>
    <row r="553" spans="1:8" x14ac:dyDescent="0.25">
      <c r="A553" s="2">
        <v>16522</v>
      </c>
      <c r="B553" s="2" t="s">
        <v>4</v>
      </c>
      <c r="C553" s="2" t="str">
        <f t="shared" si="10"/>
        <v>8703679##</v>
      </c>
      <c r="D553" s="2"/>
      <c r="E553" s="2" t="str">
        <f>IFERROR(VLOOKUP(1*LEFT(C553,7),DF!$A$1:$F$9446,2,FALSE),"")</f>
        <v>PIST. NIVEL 2 BLCKHAWKGLOCK HOLSTER 5679</v>
      </c>
      <c r="F553">
        <v>8703679</v>
      </c>
      <c r="G553" t="s">
        <v>14078</v>
      </c>
      <c r="H553">
        <v>3</v>
      </c>
    </row>
    <row r="554" spans="1:8" x14ac:dyDescent="0.25">
      <c r="A554" s="2">
        <v>16522</v>
      </c>
      <c r="B554" s="2" t="s">
        <v>4</v>
      </c>
      <c r="C554" s="2" t="str">
        <f t="shared" si="10"/>
        <v>8703351##</v>
      </c>
      <c r="D554" s="2"/>
      <c r="E554" s="2" t="str">
        <f>IFERROR(VLOOKUP(1*LEFT(C554,7),DF!$A$1:$F$9446,2,FALSE),"")</f>
        <v>PIST. NIVEL 2 BROWNING FM9 JA.BAR P012</v>
      </c>
      <c r="F554">
        <v>8703351</v>
      </c>
      <c r="G554" t="s">
        <v>13678</v>
      </c>
      <c r="H554">
        <v>7</v>
      </c>
    </row>
    <row r="555" spans="1:8" x14ac:dyDescent="0.25">
      <c r="A555" s="2">
        <v>16522</v>
      </c>
      <c r="B555" s="2" t="s">
        <v>4</v>
      </c>
      <c r="C555" s="2" t="str">
        <f t="shared" si="10"/>
        <v>8703240##</v>
      </c>
      <c r="D555" s="2"/>
      <c r="E555" s="2" t="str">
        <f>IFERROR(VLOOKUP(1*LEFT(C555,7),DF!$A$1:$F$9446,2,FALSE),"")</f>
        <v>PIST. NIVEL 2 H.N240 TAU PT92/B92/96 FUN</v>
      </c>
      <c r="F555">
        <v>8703240</v>
      </c>
      <c r="G555" t="s">
        <v>14075</v>
      </c>
      <c r="H555">
        <v>4</v>
      </c>
    </row>
    <row r="556" spans="1:8" x14ac:dyDescent="0.25">
      <c r="A556">
        <v>16522</v>
      </c>
      <c r="B556" t="s">
        <v>4</v>
      </c>
      <c r="C556" t="str">
        <f t="shared" si="10"/>
        <v>8703245##</v>
      </c>
      <c r="E556" t="str">
        <f>IFERROR(VLOOKUP(1*LEFT(C556,7),DF!$A$1:$F$9446,2,FALSE),"")</f>
        <v>PIST. NIVEL 2 H.N2TPR9 BERSA TPR9 FUN</v>
      </c>
      <c r="F556" s="3">
        <v>8703245</v>
      </c>
      <c r="G556" t="s">
        <v>13679</v>
      </c>
      <c r="H556">
        <v>4</v>
      </c>
    </row>
    <row r="557" spans="1:8" x14ac:dyDescent="0.25">
      <c r="A557" s="2">
        <v>16522</v>
      </c>
      <c r="B557" s="2" t="s">
        <v>4</v>
      </c>
      <c r="C557" s="2" t="str">
        <f t="shared" si="10"/>
        <v>8703241##</v>
      </c>
      <c r="D557" s="2"/>
      <c r="E557" s="2" t="str">
        <f>IFERROR(VLOOKUP(1*LEFT(C557,7),DF!$A$1:$F$9446,2,FALSE),"")</f>
        <v>PIST. NIVEL 2 HN2-41 BERSA THUND/PRO FUN</v>
      </c>
      <c r="F557">
        <v>8703241</v>
      </c>
      <c r="G557" t="s">
        <v>14074</v>
      </c>
      <c r="H557">
        <v>6</v>
      </c>
    </row>
    <row r="558" spans="1:8" x14ac:dyDescent="0.25">
      <c r="A558" s="2">
        <v>16522</v>
      </c>
      <c r="B558" s="2" t="s">
        <v>4</v>
      </c>
      <c r="C558" s="2" t="str">
        <f t="shared" si="10"/>
        <v>8703669##</v>
      </c>
      <c r="D558" s="2"/>
      <c r="E558" s="2" t="str">
        <f>IFERROR(VLOOKUP(1*LEFT(C558,7),DF!$A$1:$F$9446,2,FALSE),"")</f>
        <v>PIST. NIVEL 2 ROTATIVA BERSA 98 HOLSTER</v>
      </c>
      <c r="F558">
        <v>8703669</v>
      </c>
      <c r="G558" t="s">
        <v>14081</v>
      </c>
      <c r="H558">
        <v>4</v>
      </c>
    </row>
    <row r="559" spans="1:8" x14ac:dyDescent="0.25">
      <c r="A559" s="2">
        <v>16522</v>
      </c>
      <c r="B559" s="2" t="s">
        <v>4</v>
      </c>
      <c r="C559" s="2" t="str">
        <f t="shared" si="10"/>
        <v>8703660##</v>
      </c>
      <c r="D559" s="2"/>
      <c r="E559" s="2" t="str">
        <f>IFERROR(VLOOKUP(1*LEFT(C559,7),DF!$A$1:$F$9446,2,FALSE),"")</f>
        <v>PIST. NIVEL 2 TAU809/GLOCK 17 5660 ZURDA</v>
      </c>
      <c r="F559">
        <v>8703660</v>
      </c>
      <c r="G559" t="s">
        <v>14077</v>
      </c>
      <c r="H559">
        <v>4</v>
      </c>
    </row>
    <row r="560" spans="1:8" x14ac:dyDescent="0.25">
      <c r="A560" s="2">
        <v>16522</v>
      </c>
      <c r="B560" s="2" t="s">
        <v>4</v>
      </c>
      <c r="C560" s="2" t="str">
        <f t="shared" si="10"/>
        <v>8703956##</v>
      </c>
      <c r="D560" s="2"/>
      <c r="E560" s="2" t="str">
        <f>IFERROR(VLOOKUP(1*LEFT(C560,7),DF!$A$1:$F$9446,2,FALSE),"")</f>
        <v>PIST. NIVEL 2 TAURUS PT92 XTR</v>
      </c>
      <c r="F560">
        <v>8703956</v>
      </c>
      <c r="G560" t="s">
        <v>14082</v>
      </c>
      <c r="H560">
        <v>6</v>
      </c>
    </row>
    <row r="561" spans="1:8" x14ac:dyDescent="0.25">
      <c r="A561" s="2">
        <v>16522</v>
      </c>
      <c r="B561" s="2" t="s">
        <v>4</v>
      </c>
      <c r="C561" s="2" t="str">
        <f t="shared" si="10"/>
        <v>8703665##</v>
      </c>
      <c r="D561" s="2"/>
      <c r="E561" s="2" t="str">
        <f>IFERROR(VLOOKUP(1*LEFT(C561,7),DF!$A$1:$F$9446,2,FALSE),"")</f>
        <v>PIST. NIVEL2 BERSA MUSLERA 92G HOLSTER 5</v>
      </c>
      <c r="F561">
        <v>8703665</v>
      </c>
      <c r="G561" t="s">
        <v>13680</v>
      </c>
      <c r="H561">
        <v>3</v>
      </c>
    </row>
    <row r="562" spans="1:8" x14ac:dyDescent="0.25">
      <c r="A562" s="2">
        <v>16522</v>
      </c>
      <c r="B562" s="2" t="s">
        <v>4</v>
      </c>
      <c r="C562" s="2" t="str">
        <f t="shared" si="10"/>
        <v>8703665##</v>
      </c>
      <c r="D562" s="2"/>
      <c r="E562" s="2" t="str">
        <f>IFERROR(VLOOKUP(1*LEFT(C562,7),DF!$A$1:$F$9446,2,FALSE),"")</f>
        <v>PIST. NIVEL2 BERSA MUSLERA 92G HOLSTER 5</v>
      </c>
      <c r="F562">
        <v>8703665</v>
      </c>
      <c r="G562" t="s">
        <v>13680</v>
      </c>
      <c r="H562">
        <v>3</v>
      </c>
    </row>
    <row r="563" spans="1:8" x14ac:dyDescent="0.25">
      <c r="A563" s="2">
        <v>16522</v>
      </c>
      <c r="B563" s="2" t="s">
        <v>4</v>
      </c>
      <c r="C563" s="2" t="str">
        <f t="shared" si="10"/>
        <v>8703812##</v>
      </c>
      <c r="D563" s="2"/>
      <c r="E563" s="2" t="str">
        <f>IFERROR(VLOOKUP(1*LEFT(C563,7),DF!$A$1:$F$9446,2,FALSE),"")</f>
        <v>PIST. POLIA CON PORTACARD MAZ</v>
      </c>
      <c r="F563">
        <v>8703812</v>
      </c>
      <c r="G563" t="s">
        <v>13681</v>
      </c>
      <c r="H563">
        <v>3</v>
      </c>
    </row>
    <row r="564" spans="1:8" x14ac:dyDescent="0.25">
      <c r="A564" s="2">
        <v>16522</v>
      </c>
      <c r="B564" s="2" t="s">
        <v>4</v>
      </c>
      <c r="C564" s="2" t="str">
        <f t="shared" si="10"/>
        <v>8703550##</v>
      </c>
      <c r="D564" s="2"/>
      <c r="E564" s="2" t="str">
        <f>IFERROR(VLOOKUP(1*LEFT(C564,7),DF!$A$1:$F$9446,2,FALSE),"")</f>
        <v>PIST. POLIA DOBLE PROPOS VERDE GN</v>
      </c>
      <c r="F564">
        <v>8703550</v>
      </c>
      <c r="G564" t="s">
        <v>13682</v>
      </c>
      <c r="H564">
        <v>4</v>
      </c>
    </row>
    <row r="565" spans="1:8" x14ac:dyDescent="0.25">
      <c r="A565" s="2">
        <v>16522</v>
      </c>
      <c r="B565" s="2" t="s">
        <v>4</v>
      </c>
      <c r="C565" s="2" t="str">
        <f t="shared" si="10"/>
        <v>8703601##</v>
      </c>
      <c r="D565" s="2"/>
      <c r="E565" s="2" t="str">
        <f>IFERROR(VLOOKUP(1*LEFT(C565,7),DF!$A$1:$F$9446,2,FALSE),"")</f>
        <v>PIST. POLIA FUNDA INT UNIVERSAL T601 TB</v>
      </c>
      <c r="F565">
        <v>8703601</v>
      </c>
      <c r="G565" t="s">
        <v>13683</v>
      </c>
      <c r="H565">
        <v>2</v>
      </c>
    </row>
    <row r="566" spans="1:8" x14ac:dyDescent="0.25">
      <c r="A566" s="2">
        <v>16522</v>
      </c>
      <c r="B566" s="2" t="s">
        <v>4</v>
      </c>
      <c r="C566" s="2" t="str">
        <f t="shared" si="10"/>
        <v>8703811##</v>
      </c>
      <c r="D566" s="2"/>
      <c r="E566" s="2" t="str">
        <f>IFERROR(VLOOKUP(1*LEFT(C566,7),DF!$A$1:$F$9446,2,FALSE),"")</f>
        <v>PIST. POLIA GEO CON PORTACARG MAZ</v>
      </c>
      <c r="F566">
        <v>8703811</v>
      </c>
      <c r="G566" t="s">
        <v>13684</v>
      </c>
      <c r="H566">
        <v>3</v>
      </c>
    </row>
    <row r="567" spans="1:8" x14ac:dyDescent="0.25">
      <c r="A567" s="2">
        <v>16522</v>
      </c>
      <c r="B567" s="2" t="s">
        <v>4</v>
      </c>
      <c r="C567" s="2" t="str">
        <f t="shared" si="10"/>
        <v>8703810##</v>
      </c>
      <c r="D567" s="2"/>
      <c r="E567" s="2" t="str">
        <f>IFERROR(VLOOKUP(1*LEFT(C567,7),DF!$A$1:$F$9446,2,FALSE),"")</f>
        <v>PIST. POLIA GEO MAZ</v>
      </c>
      <c r="F567">
        <v>8703810</v>
      </c>
      <c r="G567" t="s">
        <v>13685</v>
      </c>
      <c r="H567">
        <v>4</v>
      </c>
    </row>
    <row r="568" spans="1:8" x14ac:dyDescent="0.25">
      <c r="A568" s="2">
        <v>16522</v>
      </c>
      <c r="B568" s="2" t="s">
        <v>4</v>
      </c>
      <c r="C568" s="2" t="str">
        <f t="shared" si="10"/>
        <v>8703750##</v>
      </c>
      <c r="D568" s="2"/>
      <c r="E568" s="2" t="str">
        <f>IFERROR(VLOOKUP(1*LEFT(C568,7),DF!$A$1:$F$9446,2,FALSE),"")</f>
        <v>PIST. POLIA GUERR. UNIV GRIS MAZ RER</v>
      </c>
      <c r="F568">
        <v>8703750</v>
      </c>
      <c r="G568" t="s">
        <v>13686</v>
      </c>
      <c r="H568">
        <v>3</v>
      </c>
    </row>
    <row r="569" spans="1:8" x14ac:dyDescent="0.25">
      <c r="A569" s="2">
        <v>16522</v>
      </c>
      <c r="B569" s="2" t="s">
        <v>4</v>
      </c>
      <c r="C569" s="2" t="str">
        <f t="shared" si="10"/>
        <v>8703702##</v>
      </c>
      <c r="D569" s="2"/>
      <c r="E569" s="2" t="str">
        <f>IFERROR(VLOOKUP(1*LEFT(C569,7),DF!$A$1:$F$9446,2,FALSE),"")</f>
        <v>PIST. POLIA GUERR. UNIV NEGRA MAZ</v>
      </c>
      <c r="F569">
        <v>8703702</v>
      </c>
      <c r="G569" t="s">
        <v>13687</v>
      </c>
      <c r="H569">
        <v>2</v>
      </c>
    </row>
    <row r="570" spans="1:8" x14ac:dyDescent="0.25">
      <c r="A570" s="2">
        <v>16522</v>
      </c>
      <c r="B570" s="2" t="s">
        <v>4</v>
      </c>
      <c r="C570" s="2" t="str">
        <f t="shared" si="10"/>
        <v>8703500##</v>
      </c>
      <c r="D570" s="2"/>
      <c r="E570" s="2" t="str">
        <f>IFERROR(VLOOKUP(1*LEFT(C570,7),DF!$A$1:$F$9446,2,FALSE),"")</f>
        <v>PIST. POLIA MINI ASTRA GUERR. MAZ</v>
      </c>
      <c r="F570">
        <v>8703500</v>
      </c>
      <c r="G570" t="s">
        <v>13688</v>
      </c>
      <c r="H570">
        <v>4</v>
      </c>
    </row>
    <row r="571" spans="1:8" x14ac:dyDescent="0.25">
      <c r="A571" s="2">
        <v>16522</v>
      </c>
      <c r="B571" s="2" t="s">
        <v>4</v>
      </c>
      <c r="C571" s="2" t="str">
        <f t="shared" si="10"/>
        <v>8703615##</v>
      </c>
      <c r="D571" s="2"/>
      <c r="E571" s="2" t="str">
        <f>IFERROR(VLOOKUP(1*LEFT(C571,7),DF!$A$1:$F$9446,2,FALSE),"")</f>
        <v>PIST. POLIA MINI GUERRILLERA MAZ</v>
      </c>
      <c r="F571">
        <v>8703615</v>
      </c>
      <c r="G571" t="s">
        <v>13689</v>
      </c>
      <c r="H571">
        <v>2</v>
      </c>
    </row>
    <row r="572" spans="1:8" x14ac:dyDescent="0.25">
      <c r="A572" s="2">
        <v>16522</v>
      </c>
      <c r="B572" s="2" t="s">
        <v>4</v>
      </c>
      <c r="C572" s="2" t="str">
        <f t="shared" si="10"/>
        <v>8703900##</v>
      </c>
      <c r="D572" s="2"/>
      <c r="E572" s="2" t="str">
        <f>IFERROR(VLOOKUP(1*LEFT(C572,7),DF!$A$1:$F$9446,2,FALSE),"")</f>
        <v>PIST. POLIA MINICOMPAC SAQUERAP MAZ</v>
      </c>
      <c r="F572">
        <v>8703900</v>
      </c>
      <c r="G572" t="s">
        <v>13690</v>
      </c>
      <c r="H572">
        <v>3</v>
      </c>
    </row>
    <row r="573" spans="1:8" x14ac:dyDescent="0.25">
      <c r="A573" s="2">
        <v>16522</v>
      </c>
      <c r="B573" s="2" t="s">
        <v>4</v>
      </c>
      <c r="C573" s="2" t="str">
        <f t="shared" si="10"/>
        <v>8703619##</v>
      </c>
      <c r="D573" s="2"/>
      <c r="E573" s="2" t="str">
        <f>IFERROR(VLOOKUP(1*LEFT(C573,7),DF!$A$1:$F$9446,2,FALSE),"")</f>
        <v>PIST. POLIA RI¥ONERA POLIA MAZ</v>
      </c>
      <c r="F573">
        <v>8703619</v>
      </c>
      <c r="G573" t="s">
        <v>13691</v>
      </c>
      <c r="H573">
        <v>4</v>
      </c>
    </row>
    <row r="574" spans="1:8" x14ac:dyDescent="0.25">
      <c r="A574" s="2">
        <v>16522</v>
      </c>
      <c r="B574" s="2" t="s">
        <v>4</v>
      </c>
      <c r="C574" s="2" t="str">
        <f t="shared" si="10"/>
        <v>8703300##</v>
      </c>
      <c r="D574" s="2"/>
      <c r="E574" s="2" t="str">
        <f>IFERROR(VLOOKUP(1*LEFT(C574,7),DF!$A$1:$F$9446,2,FALSE),"")</f>
        <v>PIST. POLIA UNIVERSAL MULTIMARCA EZ</v>
      </c>
      <c r="F574">
        <v>8703300</v>
      </c>
      <c r="G574" t="s">
        <v>13692</v>
      </c>
      <c r="H574">
        <v>4</v>
      </c>
    </row>
    <row r="575" spans="1:8" x14ac:dyDescent="0.25">
      <c r="A575">
        <v>16522</v>
      </c>
      <c r="B575" t="s">
        <v>4</v>
      </c>
      <c r="C575" t="str">
        <f t="shared" si="10"/>
        <v>8703028##</v>
      </c>
      <c r="E575" t="str">
        <f>IFERROR(VLOOKUP(1*LEFT(C575,7),DF!$A$1:$F$9446,2,FALSE),"")</f>
        <v>PIST. POLIMERO NIVEL 2 GLOCK (17.18C.20.21.22.37) 2070-1</v>
      </c>
      <c r="F575">
        <v>8703028</v>
      </c>
      <c r="G575" t="s">
        <v>13693</v>
      </c>
      <c r="H575">
        <v>4</v>
      </c>
    </row>
    <row r="576" spans="1:8" x14ac:dyDescent="0.25">
      <c r="A576" s="2">
        <v>16522</v>
      </c>
      <c r="B576" s="2" t="s">
        <v>4</v>
      </c>
      <c r="C576" s="2" t="str">
        <f t="shared" si="10"/>
        <v>8703926##</v>
      </c>
      <c r="D576" s="2"/>
      <c r="E576" s="2" t="str">
        <f>IFERROR(VLOOKUP(1*LEFT(C576,7),DF!$A$1:$F$9446,2,FALSE),"")</f>
        <v>PIST. TERMO. BERSA TPB EM</v>
      </c>
      <c r="F576" s="7">
        <v>8703926</v>
      </c>
      <c r="G576" t="s">
        <v>13694</v>
      </c>
      <c r="H576">
        <v>5</v>
      </c>
    </row>
    <row r="577" spans="1:8" x14ac:dyDescent="0.25">
      <c r="A577" s="2">
        <v>16522</v>
      </c>
      <c r="B577" s="2" t="s">
        <v>4</v>
      </c>
      <c r="C577" s="2" t="str">
        <f t="shared" si="10"/>
        <v>8703509##</v>
      </c>
      <c r="D577" s="2"/>
      <c r="E577" s="2" t="str">
        <f>IFERROR(VLOOKUP(1*LEFT(C577,7),DF!$A$1:$F$9446,2,FALSE),"")</f>
        <v>PIST. TERMO. BLK BLK</v>
      </c>
      <c r="F577">
        <v>8703509</v>
      </c>
      <c r="G577" t="s">
        <v>13695</v>
      </c>
      <c r="H577">
        <v>7</v>
      </c>
    </row>
    <row r="578" spans="1:8" x14ac:dyDescent="0.25">
      <c r="A578" s="2">
        <v>16522</v>
      </c>
      <c r="B578" s="2" t="s">
        <v>4</v>
      </c>
      <c r="C578" s="2" t="str">
        <f t="shared" si="10"/>
        <v>8703925##</v>
      </c>
      <c r="D578" s="2"/>
      <c r="E578" s="2" t="str">
        <f>IFERROR(VLOOKUP(1*LEFT(C578,7),DF!$A$1:$F$9446,2,FALSE),"")</f>
        <v>PIST. TERMO. MINI THUNDER CMTH EM</v>
      </c>
      <c r="F578" s="7">
        <v>8703925</v>
      </c>
      <c r="G578" t="s">
        <v>13696</v>
      </c>
      <c r="H578">
        <v>5</v>
      </c>
    </row>
    <row r="579" spans="1:8" x14ac:dyDescent="0.25">
      <c r="A579" s="2">
        <v>16522</v>
      </c>
      <c r="B579" s="2" t="s">
        <v>4</v>
      </c>
      <c r="C579" s="2" t="str">
        <f t="shared" si="10"/>
        <v>8703604##</v>
      </c>
      <c r="D579" s="2"/>
      <c r="E579" s="2" t="str">
        <f>IFERROR(VLOOKUP(1*LEFT(C579,7),DF!$A$1:$F$9446,2,FALSE),"")</f>
        <v>PIST. TERMO. TACTICA CTAPA NEGRA G001 TB</v>
      </c>
      <c r="F579">
        <v>8703604</v>
      </c>
      <c r="G579" t="s">
        <v>13697</v>
      </c>
      <c r="H579">
        <v>5</v>
      </c>
    </row>
    <row r="580" spans="1:8" x14ac:dyDescent="0.25">
      <c r="A580" s="2">
        <v>16522</v>
      </c>
      <c r="B580" s="2" t="s">
        <v>4</v>
      </c>
      <c r="C580" s="2" t="str">
        <f t="shared" si="10"/>
        <v>8703504##</v>
      </c>
      <c r="D580" s="2"/>
      <c r="E580" s="2" t="str">
        <f>IFERROR(VLOOKUP(1*LEFT(C580,7),DF!$A$1:$F$9446,2,FALSE),"")</f>
        <v>PIST. TERMO. TACTICA REGULABLE T504 TB</v>
      </c>
      <c r="F580" s="7">
        <v>8703504</v>
      </c>
      <c r="G580" t="s">
        <v>13698</v>
      </c>
      <c r="H580">
        <v>4</v>
      </c>
    </row>
    <row r="581" spans="1:8" x14ac:dyDescent="0.25">
      <c r="A581" s="2">
        <v>16522</v>
      </c>
      <c r="B581" s="2" t="s">
        <v>4</v>
      </c>
      <c r="C581" s="2" t="str">
        <f t="shared" si="10"/>
        <v>8703506##</v>
      </c>
      <c r="D581" s="2"/>
      <c r="E581" s="2" t="str">
        <f>IFERROR(VLOOKUP(1*LEFT(C581,7),DF!$A$1:$F$9446,2,FALSE),"")</f>
        <v>PIST. TERMOFOR. MULTIMARCA T506 TB</v>
      </c>
      <c r="F581">
        <v>8703506</v>
      </c>
      <c r="G581" t="s">
        <v>13699</v>
      </c>
      <c r="H581">
        <v>8</v>
      </c>
    </row>
    <row r="582" spans="1:8" x14ac:dyDescent="0.25">
      <c r="A582" s="2">
        <v>16522</v>
      </c>
      <c r="B582" s="2" t="s">
        <v>4</v>
      </c>
      <c r="C582" s="2" t="str">
        <f t="shared" si="10"/>
        <v>8703513##</v>
      </c>
      <c r="D582" s="2"/>
      <c r="E582" s="2" t="str">
        <f>IFERROR(VLOOKUP(1*LEFT(C582,7),DF!$A$1:$F$9446,2,FALSE),"")</f>
        <v>PIST. TERMOFOR. PANQ CORTA C/TIRA T513TB</v>
      </c>
      <c r="F582">
        <v>8703513</v>
      </c>
      <c r="G582" t="s">
        <v>13700</v>
      </c>
      <c r="H582">
        <v>3</v>
      </c>
    </row>
    <row r="583" spans="1:8" x14ac:dyDescent="0.25">
      <c r="A583" s="2">
        <v>16522</v>
      </c>
      <c r="B583" s="2" t="s">
        <v>4</v>
      </c>
      <c r="C583" s="2" t="str">
        <f t="shared" si="10"/>
        <v>8703502##</v>
      </c>
      <c r="D583" s="2"/>
      <c r="E583" s="2" t="str">
        <f>IFERROR(VLOOKUP(1*LEFT(C583,7),DF!$A$1:$F$9446,2,FALSE),"")</f>
        <v>PIST. TERMOFOR. PANQUEQ CTA T513 TB</v>
      </c>
      <c r="F583">
        <v>8703502</v>
      </c>
      <c r="G583" t="s">
        <v>13701</v>
      </c>
      <c r="H583">
        <v>4</v>
      </c>
    </row>
    <row r="584" spans="1:8" x14ac:dyDescent="0.25">
      <c r="A584" s="2">
        <v>16522</v>
      </c>
      <c r="B584" s="2" t="s">
        <v>4</v>
      </c>
      <c r="C584" s="2" t="str">
        <f t="shared" si="10"/>
        <v>8703505##</v>
      </c>
      <c r="D584" s="2"/>
      <c r="E584" s="2" t="str">
        <f>IFERROR(VLOOKUP(1*LEFT(C584,7),DF!$A$1:$F$9446,2,FALSE),"")</f>
        <v>PIST. TERMOFOR. SAQUE RAPIDO T500 TB</v>
      </c>
      <c r="F584">
        <v>8703505</v>
      </c>
      <c r="G584" t="s">
        <v>13702</v>
      </c>
      <c r="H584">
        <v>4</v>
      </c>
    </row>
    <row r="585" spans="1:8" x14ac:dyDescent="0.25">
      <c r="A585" s="2">
        <v>16522</v>
      </c>
      <c r="B585" s="2" t="s">
        <v>4</v>
      </c>
      <c r="C585" s="2" t="str">
        <f t="shared" si="10"/>
        <v>8703507##</v>
      </c>
      <c r="D585" s="2"/>
      <c r="E585" s="2" t="str">
        <f>IFERROR(VLOOKUP(1*LEFT(C585,7),DF!$A$1:$F$9446,2,FALSE),"")</f>
        <v>PIST. TERMOFORMADO LARGA BERSA T507 TB</v>
      </c>
      <c r="F585">
        <v>8703507</v>
      </c>
      <c r="G585" t="s">
        <v>13703</v>
      </c>
      <c r="H585">
        <v>3</v>
      </c>
    </row>
    <row r="586" spans="1:8" x14ac:dyDescent="0.25">
      <c r="A586" s="2">
        <v>16522</v>
      </c>
      <c r="B586" s="2" t="s">
        <v>4</v>
      </c>
      <c r="C586" s="2" t="str">
        <f t="shared" si="10"/>
        <v>8703046##</v>
      </c>
      <c r="D586" s="2"/>
      <c r="E586" s="2" t="str">
        <f>IFERROR(VLOOKUP(1*LEFT(C586,7),DF!$A$1:$F$9446,2,FALSE),"")</f>
        <v>PIST. TIRA PORTA ARMA HUESITO 1046 TB</v>
      </c>
      <c r="F586">
        <v>8703046</v>
      </c>
      <c r="G586" t="s">
        <v>13704</v>
      </c>
      <c r="H586">
        <v>3</v>
      </c>
    </row>
    <row r="587" spans="1:8" x14ac:dyDescent="0.25">
      <c r="A587" s="2">
        <v>16522</v>
      </c>
      <c r="B587" s="2" t="s">
        <v>4</v>
      </c>
      <c r="C587" s="2" t="str">
        <f t="shared" si="10"/>
        <v>8703254##</v>
      </c>
      <c r="D587" s="2"/>
      <c r="E587" s="2" t="str">
        <f>IFERROR(VLOOKUP(1*LEFT(C587,7),DF!$A$1:$F$9446,2,FALSE),"")</f>
        <v>PISTOLERA NIVEL 2 POLIM. BERSA THUNDER/PRO/TPR BO7</v>
      </c>
      <c r="F587">
        <v>8703254</v>
      </c>
      <c r="G587" t="s">
        <v>13705</v>
      </c>
      <c r="H587">
        <v>5</v>
      </c>
    </row>
    <row r="588" spans="1:8" x14ac:dyDescent="0.25">
      <c r="A588" s="2">
        <v>16522</v>
      </c>
      <c r="B588" s="2" t="s">
        <v>4</v>
      </c>
      <c r="C588" s="2" t="str">
        <f t="shared" si="10"/>
        <v>8703246##</v>
      </c>
      <c r="D588" s="2"/>
      <c r="E588" s="2" t="str">
        <f>IFERROR(VLOOKUP(1*LEFT(C588,7),DF!$A$1:$F$9446,2,FALSE),"")</f>
        <v>PISTOLERA NIVEL 2 POLIM. BROWNING BO7BRW</v>
      </c>
      <c r="F588">
        <v>8703246</v>
      </c>
      <c r="G588" t="s">
        <v>13706</v>
      </c>
      <c r="H588">
        <v>5</v>
      </c>
    </row>
    <row r="589" spans="1:8" x14ac:dyDescent="0.25">
      <c r="A589" s="2">
        <v>16522</v>
      </c>
      <c r="B589" s="2" t="s">
        <v>4</v>
      </c>
      <c r="C589" s="2" t="str">
        <f t="shared" si="10"/>
        <v>8703248##</v>
      </c>
      <c r="D589" s="2"/>
      <c r="E589" s="2" t="str">
        <f>IFERROR(VLOOKUP(1*LEFT(C589,7),DF!$A$1:$F$9446,2,FALSE),"")</f>
        <v>PISTOLERA NIVEL 2 POLIM. GLOCK 17 / 22 / 31  BO7G17</v>
      </c>
      <c r="F589">
        <v>8703248</v>
      </c>
      <c r="G589" t="s">
        <v>13707</v>
      </c>
      <c r="H589">
        <v>6</v>
      </c>
    </row>
    <row r="590" spans="1:8" x14ac:dyDescent="0.25">
      <c r="A590" s="2">
        <v>16522</v>
      </c>
      <c r="B590" s="2" t="s">
        <v>4</v>
      </c>
      <c r="C590" s="2" t="str">
        <f t="shared" si="10"/>
        <v>8708001##</v>
      </c>
      <c r="D590" s="2"/>
      <c r="E590" s="2" t="str">
        <f>IFERROR(VLOOKUP(1*LEFT(C590,7),DF!$A$1:$F$9446,2,FALSE),"")</f>
        <v>PLATAFORMA MOLLE STRIKE 001-14/4,84</v>
      </c>
      <c r="F590">
        <v>8708001</v>
      </c>
      <c r="G590" t="s">
        <v>13708</v>
      </c>
      <c r="H590">
        <v>4</v>
      </c>
    </row>
    <row r="591" spans="1:8" x14ac:dyDescent="0.25">
      <c r="A591" s="2">
        <v>16522</v>
      </c>
      <c r="B591" s="2" t="s">
        <v>4</v>
      </c>
      <c r="C591" s="2" t="str">
        <f t="shared" si="10"/>
        <v>8703252##</v>
      </c>
      <c r="D591" s="2"/>
      <c r="E591" s="2" t="str">
        <f>IFERROR(VLOOKUP(1*LEFT(C591,7),DF!$A$1:$F$9446,2,FALSE),"")</f>
        <v>PLATAFORMA MUSLERA AH UNIVER. AUTOMA DEG</v>
      </c>
      <c r="F591">
        <v>8703252</v>
      </c>
      <c r="G591" t="s">
        <v>13709</v>
      </c>
      <c r="H591">
        <v>7</v>
      </c>
    </row>
    <row r="592" spans="1:8" x14ac:dyDescent="0.25">
      <c r="A592">
        <v>16522</v>
      </c>
      <c r="B592" t="s">
        <v>4</v>
      </c>
      <c r="C592" t="str">
        <f t="shared" si="10"/>
        <v>8708272##</v>
      </c>
      <c r="E592" t="str">
        <f>IFERROR(VLOOKUP(1*LEFT(C592,7),DF!$A$1:$F$9446,2,FALSE),"")</f>
        <v>PLATAFORMA MUSLERA H.N2-72 FUN</v>
      </c>
      <c r="F592">
        <v>8708272</v>
      </c>
      <c r="G592" t="s">
        <v>13710</v>
      </c>
      <c r="H592">
        <v>5</v>
      </c>
    </row>
    <row r="593" spans="1:8" x14ac:dyDescent="0.25">
      <c r="A593" s="2">
        <v>16522</v>
      </c>
      <c r="B593" s="2" t="s">
        <v>4</v>
      </c>
      <c r="C593" s="2" t="str">
        <f t="shared" si="10"/>
        <v>8708272##</v>
      </c>
      <c r="D593" s="2"/>
      <c r="E593" s="2" t="str">
        <f>IFERROR(VLOOKUP(1*LEFT(C593,7),DF!$A$1:$F$9446,2,FALSE),"")</f>
        <v>PLATAFORMA MUSLERA H.N2-72 FUN</v>
      </c>
      <c r="F593">
        <v>8708272</v>
      </c>
      <c r="G593" t="s">
        <v>13710</v>
      </c>
      <c r="H593">
        <v>5</v>
      </c>
    </row>
    <row r="594" spans="1:8" x14ac:dyDescent="0.25">
      <c r="A594" s="2">
        <v>16522</v>
      </c>
      <c r="B594" s="2" t="s">
        <v>4</v>
      </c>
      <c r="C594" s="2" t="str">
        <f t="shared" si="10"/>
        <v>8708070##</v>
      </c>
      <c r="D594" s="2"/>
      <c r="E594" s="2" t="str">
        <f>IFERROR(VLOOKUP(1*LEFT(C594,7),DF!$A$1:$F$9446,2,FALSE),"")</f>
        <v>PLATAFORMA XTL STP568 XTR</v>
      </c>
      <c r="F594">
        <v>8708070</v>
      </c>
      <c r="G594" t="s">
        <v>13711</v>
      </c>
      <c r="H594">
        <v>5</v>
      </c>
    </row>
    <row r="595" spans="1:8" x14ac:dyDescent="0.25">
      <c r="A595" s="2">
        <v>16522</v>
      </c>
      <c r="B595" s="2" t="s">
        <v>4</v>
      </c>
      <c r="C595" s="2" t="str">
        <f t="shared" si="10"/>
        <v>2220030##</v>
      </c>
      <c r="D595" s="2"/>
      <c r="E595" s="2" t="str">
        <f>IFERROR(VLOOKUP(1*LEFT(C595,7),DF!$A$1:$F$9446,2,FALSE),"")</f>
        <v>POLERA ALGODON AZUL RER</v>
      </c>
      <c r="F595" s="7">
        <v>2220030</v>
      </c>
      <c r="G595" t="s">
        <v>13712</v>
      </c>
      <c r="H595">
        <v>3</v>
      </c>
    </row>
    <row r="596" spans="1:8" x14ac:dyDescent="0.25">
      <c r="A596" s="2">
        <v>16522</v>
      </c>
      <c r="B596" s="2" t="s">
        <v>4</v>
      </c>
      <c r="C596" s="2" t="str">
        <f t="shared" si="10"/>
        <v>2220034##</v>
      </c>
      <c r="D596" s="2"/>
      <c r="E596" s="2" t="str">
        <f>IFERROR(VLOOKUP(1*LEFT(C596,7),DF!$A$1:$F$9446,2,FALSE),"")</f>
        <v>POLERA ALGODON BLANCA RER</v>
      </c>
      <c r="F596" s="7">
        <v>2220034</v>
      </c>
      <c r="G596" t="s">
        <v>13713</v>
      </c>
      <c r="H596">
        <v>2</v>
      </c>
    </row>
    <row r="597" spans="1:8" x14ac:dyDescent="0.25">
      <c r="A597" s="2">
        <v>16522</v>
      </c>
      <c r="B597" s="2" t="s">
        <v>4</v>
      </c>
      <c r="C597" s="2" t="str">
        <f t="shared" si="10"/>
        <v>2220032##</v>
      </c>
      <c r="D597" s="2"/>
      <c r="E597" s="2" t="str">
        <f>IFERROR(VLOOKUP(1*LEFT(C597,7),DF!$A$1:$F$9446,2,FALSE),"")</f>
        <v>POLERA ALGODON GRIS RER</v>
      </c>
      <c r="F597" s="7">
        <v>2220032</v>
      </c>
      <c r="G597" t="s">
        <v>13714</v>
      </c>
      <c r="H597">
        <v>3</v>
      </c>
    </row>
    <row r="598" spans="1:8" x14ac:dyDescent="0.25">
      <c r="A598" s="2">
        <v>16522</v>
      </c>
      <c r="B598" s="2" t="s">
        <v>4</v>
      </c>
      <c r="C598" s="2" t="str">
        <f t="shared" si="10"/>
        <v>2220037##</v>
      </c>
      <c r="D598" s="2"/>
      <c r="E598" s="2" t="str">
        <f>IFERROR(VLOOKUP(1*LEFT(C598,7),DF!$A$1:$F$9446,2,FALSE),"")</f>
        <v>POLERA ALGODON NEGRA RER</v>
      </c>
      <c r="F598" s="7">
        <v>2220037</v>
      </c>
      <c r="G598" t="s">
        <v>13715</v>
      </c>
      <c r="H598">
        <v>3</v>
      </c>
    </row>
    <row r="599" spans="1:8" x14ac:dyDescent="0.25">
      <c r="A599">
        <v>16522</v>
      </c>
      <c r="B599" t="s">
        <v>4</v>
      </c>
      <c r="C599" t="str">
        <f t="shared" si="10"/>
        <v>1407094##</v>
      </c>
      <c r="E599" t="str">
        <f>IFERROR(VLOOKUP(1*LEFT(C599,7),DF!$A$1:$F$9446,2,FALSE),"")</f>
        <v>POLLERA POLICIA C FORRO RER</v>
      </c>
      <c r="F599">
        <v>1407094</v>
      </c>
      <c r="G599" t="s">
        <v>13716</v>
      </c>
      <c r="H599">
        <v>5</v>
      </c>
    </row>
    <row r="600" spans="1:8" x14ac:dyDescent="0.25">
      <c r="A600" s="2">
        <v>16522</v>
      </c>
      <c r="B600" s="2" t="s">
        <v>4</v>
      </c>
      <c r="C600" s="2" t="str">
        <f t="shared" si="10"/>
        <v>1407093##</v>
      </c>
      <c r="D600" s="2"/>
      <c r="E600" s="2" t="str">
        <f>IFERROR(VLOOKUP(1*LEFT(C600,7),DF!$A$1:$F$9446,2,FALSE),"")</f>
        <v>POLLERA POLICIA SIN FORRAR RER</v>
      </c>
      <c r="F600" s="7">
        <v>1407093</v>
      </c>
      <c r="G600" t="s">
        <v>13717</v>
      </c>
      <c r="H600">
        <v>5</v>
      </c>
    </row>
    <row r="601" spans="1:8" x14ac:dyDescent="0.25">
      <c r="A601">
        <v>16522</v>
      </c>
      <c r="B601" t="s">
        <v>4</v>
      </c>
      <c r="C601" t="str">
        <f t="shared" si="10"/>
        <v>8708299##</v>
      </c>
      <c r="E601" t="str">
        <f>IFERROR(VLOOKUP(1*LEFT(C601,7),DF!$A$1:$F$9446,2,FALSE),"")</f>
        <v>PORTA BOTELLA SISTEMA MOLLE 2995</v>
      </c>
      <c r="F601">
        <v>8708299</v>
      </c>
      <c r="G601" t="s">
        <v>13718</v>
      </c>
      <c r="H601">
        <v>4</v>
      </c>
    </row>
    <row r="602" spans="1:8" x14ac:dyDescent="0.25">
      <c r="A602">
        <v>16522</v>
      </c>
      <c r="B602" t="s">
        <v>4</v>
      </c>
      <c r="C602" t="str">
        <f t="shared" si="10"/>
        <v>8705802##</v>
      </c>
      <c r="E602" t="str">
        <f>IFERROR(VLOOKUP(1*LEFT(C602,7),DF!$A$1:$F$9446,2,FALSE),"")</f>
        <v>PORTA CARG FAL VERDE MAZ</v>
      </c>
      <c r="F602">
        <v>8705802</v>
      </c>
      <c r="G602" t="s">
        <v>13719</v>
      </c>
      <c r="H602">
        <v>8</v>
      </c>
    </row>
    <row r="603" spans="1:8" x14ac:dyDescent="0.25">
      <c r="A603">
        <v>16522</v>
      </c>
      <c r="B603" t="s">
        <v>4</v>
      </c>
      <c r="C603" t="str">
        <f t="shared" si="10"/>
        <v>8705552##</v>
      </c>
      <c r="E603" t="str">
        <f>IFERROR(VLOOKUP(1*LEFT(C603,7),DF!$A$1:$F$9446,2,FALSE),"")</f>
        <v>PORTA CARG POLIA GRIS VERDE CON GANCHO</v>
      </c>
      <c r="F603">
        <v>8705552</v>
      </c>
      <c r="G603" t="s">
        <v>13720</v>
      </c>
      <c r="H603">
        <v>8</v>
      </c>
    </row>
    <row r="604" spans="1:8" x14ac:dyDescent="0.25">
      <c r="A604" s="2">
        <v>16522</v>
      </c>
      <c r="B604" s="2" t="s">
        <v>4</v>
      </c>
      <c r="C604" s="2" t="str">
        <f t="shared" si="10"/>
        <v>8705113##</v>
      </c>
      <c r="D604" s="2"/>
      <c r="E604" s="2" t="str">
        <f>IFERROR(VLOOKUP(1*LEFT(C604,7),DF!$A$1:$F$9446,2,FALSE),"")</f>
        <v>PORTA CARGADOR DOBLE H.RP113 9/40 FUN</v>
      </c>
      <c r="F604">
        <v>8705113</v>
      </c>
      <c r="G604" t="s">
        <v>14084</v>
      </c>
      <c r="H604">
        <v>4</v>
      </c>
    </row>
    <row r="605" spans="1:8" x14ac:dyDescent="0.25">
      <c r="A605" s="2">
        <v>16522</v>
      </c>
      <c r="B605" s="2" t="s">
        <v>4</v>
      </c>
      <c r="C605" s="2" t="str">
        <f t="shared" si="10"/>
        <v>8705075##</v>
      </c>
      <c r="D605" s="2"/>
      <c r="E605" s="2" t="str">
        <f>IFERROR(VLOOKUP(1*LEFT(C605,7),DF!$A$1:$F$9446,2,FALSE),"")</f>
        <v>PORTA CARGADOR DOBLE MOLLE M001 TB</v>
      </c>
      <c r="F605">
        <v>8705075</v>
      </c>
      <c r="G605" t="s">
        <v>13721</v>
      </c>
      <c r="H605">
        <v>4</v>
      </c>
    </row>
    <row r="606" spans="1:8" x14ac:dyDescent="0.25">
      <c r="A606" s="2">
        <v>16522</v>
      </c>
      <c r="B606" s="2" t="s">
        <v>4</v>
      </c>
      <c r="C606" s="2" t="str">
        <f t="shared" si="10"/>
        <v>8705119##</v>
      </c>
      <c r="D606" s="2"/>
      <c r="E606" s="2" t="str">
        <f>IFERROR(VLOOKUP(1*LEFT(C606,7),DF!$A$1:$F$9446,2,FALSE),"")</f>
        <v>PORTA CARGADOR DOBLE UNIVERSAL POLIMERO BO4D</v>
      </c>
      <c r="F606">
        <v>8705119</v>
      </c>
      <c r="G606" t="s">
        <v>13722</v>
      </c>
      <c r="H606">
        <v>6</v>
      </c>
    </row>
    <row r="607" spans="1:8" x14ac:dyDescent="0.25">
      <c r="A607" s="2">
        <v>16522</v>
      </c>
      <c r="B607" s="2" t="s">
        <v>4</v>
      </c>
      <c r="C607" s="2" t="str">
        <f t="shared" ref="C607:C670" si="11">CONCATENATE(F607,"##")</f>
        <v>8705115##</v>
      </c>
      <c r="D607" s="2"/>
      <c r="E607" s="2" t="str">
        <f>IFERROR(VLOOKUP(1*LEFT(C607,7),DF!$A$1:$F$9446,2,FALSE),"")</f>
        <v>PORTA CARGADOR DOBLE UNIVERSAL POLIMERO BO4DT</v>
      </c>
      <c r="F607">
        <v>8705115</v>
      </c>
      <c r="G607" t="s">
        <v>13723</v>
      </c>
      <c r="H607">
        <v>7</v>
      </c>
    </row>
    <row r="608" spans="1:8" x14ac:dyDescent="0.25">
      <c r="A608" s="2">
        <v>16522</v>
      </c>
      <c r="B608" s="2" t="s">
        <v>4</v>
      </c>
      <c r="C608" s="2" t="str">
        <f t="shared" si="11"/>
        <v>8705116##</v>
      </c>
      <c r="D608" s="2"/>
      <c r="E608" s="2" t="str">
        <f>IFERROR(VLOOKUP(1*LEFT(C608,7),DF!$A$1:$F$9446,2,FALSE),"")</f>
        <v>PORTA CARGADOR SIMPLE UNIV POLIMERO BO4S-MOLLE</v>
      </c>
      <c r="F608">
        <v>8705116</v>
      </c>
      <c r="G608" t="s">
        <v>13724</v>
      </c>
      <c r="H608">
        <v>6</v>
      </c>
    </row>
    <row r="609" spans="1:8" x14ac:dyDescent="0.25">
      <c r="A609" s="2">
        <v>16522</v>
      </c>
      <c r="B609" s="2" t="s">
        <v>4</v>
      </c>
      <c r="C609" s="2" t="str">
        <f t="shared" si="11"/>
        <v>8705121##</v>
      </c>
      <c r="D609" s="2"/>
      <c r="E609" s="2" t="str">
        <f>IFERROR(VLOOKUP(1*LEFT(C609,7),DF!$A$1:$F$9446,2,FALSE),"")</f>
        <v>PORTA CARGADOR SIMPLE UNIV POLIMERO BO4S-PALETA</v>
      </c>
      <c r="F609">
        <v>8705121</v>
      </c>
      <c r="G609" t="s">
        <v>13725</v>
      </c>
      <c r="H609">
        <v>4</v>
      </c>
    </row>
    <row r="610" spans="1:8" x14ac:dyDescent="0.25">
      <c r="A610" s="2">
        <v>16522</v>
      </c>
      <c r="B610" s="2" t="s">
        <v>4</v>
      </c>
      <c r="C610" s="2" t="str">
        <f t="shared" si="11"/>
        <v>8705117##</v>
      </c>
      <c r="D610" s="2"/>
      <c r="E610" s="2" t="str">
        <f>IFERROR(VLOOKUP(1*LEFT(C610,7),DF!$A$1:$F$9446,2,FALSE),"")</f>
        <v>PORTA CARGADOR SIMPLE UNIVERSAL C/TAPA POLIMERO BO4ST</v>
      </c>
      <c r="F610">
        <v>8705117</v>
      </c>
      <c r="G610" t="s">
        <v>13726</v>
      </c>
      <c r="H610">
        <v>6</v>
      </c>
    </row>
    <row r="611" spans="1:8" x14ac:dyDescent="0.25">
      <c r="A611" s="2">
        <v>16522</v>
      </c>
      <c r="B611" s="2" t="s">
        <v>4</v>
      </c>
      <c r="C611" s="2" t="str">
        <f t="shared" si="11"/>
        <v>8705233##</v>
      </c>
      <c r="D611" s="2"/>
      <c r="E611" s="2" t="str">
        <f>IFERROR(VLOOKUP(1*LEFT(C611,7),DF!$A$1:$F$9446,2,FALSE),"")</f>
        <v>PORTA CELULAR GRANDE RRD69</v>
      </c>
      <c r="F611" s="7">
        <v>8705233</v>
      </c>
      <c r="G611" t="s">
        <v>13727</v>
      </c>
      <c r="H611">
        <v>7</v>
      </c>
    </row>
    <row r="612" spans="1:8" x14ac:dyDescent="0.25">
      <c r="A612" s="2">
        <v>16522</v>
      </c>
      <c r="B612" s="2" t="s">
        <v>4</v>
      </c>
      <c r="C612" s="2" t="str">
        <f t="shared" si="11"/>
        <v>8705225##</v>
      </c>
      <c r="D612" s="2"/>
      <c r="E612" s="2" t="str">
        <f>IFERROR(VLOOKUP(1*LEFT(C612,7),DF!$A$1:$F$9446,2,FALSE),"")</f>
        <v>PORTA CELULAR MOLLE M004 TB</v>
      </c>
      <c r="F612">
        <v>8705225</v>
      </c>
      <c r="G612" t="s">
        <v>13728</v>
      </c>
      <c r="H612">
        <v>5</v>
      </c>
    </row>
    <row r="613" spans="1:8" x14ac:dyDescent="0.25">
      <c r="A613">
        <v>16522</v>
      </c>
      <c r="B613" t="s">
        <v>4</v>
      </c>
      <c r="C613" t="str">
        <f t="shared" si="11"/>
        <v>8501026##</v>
      </c>
      <c r="E613" t="str">
        <f>IFERROR(VLOOKUP(1*LEFT(C613,7),DF!$A$1:$F$9446,2,FALSE),"")</f>
        <v>PORTA CRED CUERO LIBRO 1026 TB</v>
      </c>
      <c r="F613">
        <v>8501026</v>
      </c>
      <c r="G613" t="s">
        <v>13729</v>
      </c>
      <c r="H613">
        <v>3</v>
      </c>
    </row>
    <row r="614" spans="1:8" x14ac:dyDescent="0.25">
      <c r="A614">
        <v>16522</v>
      </c>
      <c r="B614" t="s">
        <v>4</v>
      </c>
      <c r="C614" t="str">
        <f t="shared" si="11"/>
        <v>8707750##</v>
      </c>
      <c r="E614" t="str">
        <f>IFERROR(VLOOKUP(1*LEFT(C614,7),DF!$A$1:$F$9446,2,FALSE),"")</f>
        <v>PORTA ESPO POLIA GRIS T552 C/TAPA TB</v>
      </c>
      <c r="F614">
        <v>8707750</v>
      </c>
      <c r="G614" t="s">
        <v>13730</v>
      </c>
      <c r="H614">
        <v>3</v>
      </c>
    </row>
    <row r="615" spans="1:8" x14ac:dyDescent="0.25">
      <c r="A615">
        <v>16522</v>
      </c>
      <c r="B615" t="s">
        <v>4</v>
      </c>
      <c r="C615" t="str">
        <f t="shared" si="11"/>
        <v>8707026##</v>
      </c>
      <c r="E615" t="str">
        <f>IFERROR(VLOOKUP(1*LEFT(C615,7),DF!$A$1:$F$9446,2,FALSE),"")</f>
        <v>PORTA ESPOSAS FOBUS HSP MIN</v>
      </c>
      <c r="F615">
        <v>8707026</v>
      </c>
      <c r="G615" t="s">
        <v>13731</v>
      </c>
      <c r="H615">
        <v>6</v>
      </c>
    </row>
    <row r="616" spans="1:8" x14ac:dyDescent="0.25">
      <c r="A616">
        <v>16522</v>
      </c>
      <c r="B616" t="s">
        <v>4</v>
      </c>
      <c r="C616" t="str">
        <f t="shared" si="11"/>
        <v>8707964##</v>
      </c>
      <c r="E616" t="str">
        <f>IFERROR(VLOOKUP(1*LEFT(C616,7),DF!$A$1:$F$9446,2,FALSE),"")</f>
        <v>PORTA ESPOSAS TACTICO POLIMERO REGUL2079</v>
      </c>
      <c r="F616">
        <v>8707964</v>
      </c>
      <c r="G616" t="s">
        <v>13732</v>
      </c>
      <c r="H616">
        <v>5</v>
      </c>
    </row>
    <row r="617" spans="1:8" x14ac:dyDescent="0.25">
      <c r="A617" s="2">
        <v>16522</v>
      </c>
      <c r="B617" s="2" t="s">
        <v>4</v>
      </c>
      <c r="C617" s="2" t="str">
        <f t="shared" si="11"/>
        <v>8705011##</v>
      </c>
      <c r="D617" s="2"/>
      <c r="E617" s="2" t="str">
        <f>IFERROR(VLOOKUP(1*LEFT(C617,7),DF!$A$1:$F$9446,2,FALSE),"")</f>
        <v>PORTA OBJETOS MULTIUSO M006 MOLLE TB</v>
      </c>
      <c r="F617">
        <v>8705011</v>
      </c>
      <c r="G617" t="s">
        <v>14060</v>
      </c>
      <c r="H617">
        <v>7</v>
      </c>
    </row>
    <row r="618" spans="1:8" x14ac:dyDescent="0.25">
      <c r="A618" s="2">
        <v>16522</v>
      </c>
      <c r="B618" s="2" t="s">
        <v>4</v>
      </c>
      <c r="C618" s="2" t="str">
        <f t="shared" si="11"/>
        <v>8715803##</v>
      </c>
      <c r="D618" s="2"/>
      <c r="E618" s="2" t="str">
        <f>IFERROR(VLOOKUP(1*LEFT(C618,7),DF!$A$1:$F$9446,2,FALSE),"")</f>
        <v>PORTA TAHALI POLIA VERDE GN RER</v>
      </c>
      <c r="F618">
        <v>8715803</v>
      </c>
      <c r="G618" t="s">
        <v>13733</v>
      </c>
      <c r="H618">
        <v>2</v>
      </c>
    </row>
    <row r="619" spans="1:8" x14ac:dyDescent="0.25">
      <c r="A619">
        <v>16522</v>
      </c>
      <c r="B619" t="s">
        <v>4</v>
      </c>
      <c r="C619" t="str">
        <f t="shared" si="11"/>
        <v>8705013##</v>
      </c>
      <c r="E619" t="str">
        <f>IFERROR(VLOOKUP(1*LEFT(C619,7),DF!$A$1:$F$9446,2,FALSE),"")</f>
        <v>PORTA TONFA FIJO PLASTICO RER 214</v>
      </c>
      <c r="F619">
        <v>8705013</v>
      </c>
      <c r="G619" t="s">
        <v>13734</v>
      </c>
      <c r="H619">
        <v>2</v>
      </c>
    </row>
    <row r="620" spans="1:8" x14ac:dyDescent="0.25">
      <c r="A620">
        <v>16522</v>
      </c>
      <c r="B620" t="s">
        <v>4</v>
      </c>
      <c r="C620" t="str">
        <f t="shared" si="11"/>
        <v>8705553##</v>
      </c>
      <c r="E620" t="str">
        <f>IFERROR(VLOOKUP(1*LEFT(C620,7),DF!$A$1:$F$9446,2,FALSE),"")</f>
        <v>PORTA TONFA POLIA VERDE GN</v>
      </c>
      <c r="F620">
        <v>8705553</v>
      </c>
      <c r="G620" t="s">
        <v>13735</v>
      </c>
      <c r="H620">
        <v>3</v>
      </c>
    </row>
    <row r="621" spans="1:8" x14ac:dyDescent="0.25">
      <c r="A621" s="2">
        <v>16522</v>
      </c>
      <c r="B621" s="2" t="s">
        <v>4</v>
      </c>
      <c r="C621" s="2" t="str">
        <f t="shared" si="11"/>
        <v>8705586##</v>
      </c>
      <c r="D621" s="2"/>
      <c r="E621" s="2" t="str">
        <f>IFERROR(VLOOKUP(1*LEFT(C621,7),DF!$A$1:$F$9446,2,FALSE),"")</f>
        <v>PORTA TONFA RERDA BROCHE/ARO METAL EZ</v>
      </c>
      <c r="F621">
        <v>8705586</v>
      </c>
      <c r="G621" t="s">
        <v>14085</v>
      </c>
      <c r="H621">
        <v>3</v>
      </c>
    </row>
    <row r="622" spans="1:8" x14ac:dyDescent="0.25">
      <c r="A622" s="2">
        <v>16522</v>
      </c>
      <c r="B622" s="2" t="s">
        <v>4</v>
      </c>
      <c r="C622" s="2" t="str">
        <f t="shared" si="11"/>
        <v>8708107##</v>
      </c>
      <c r="D622" s="2"/>
      <c r="E622" s="2" t="str">
        <f>IFERROR(VLOOKUP(1*LEFT(C622,7),DF!$A$1:$F$9446,2,FALSE),"")</f>
        <v>POUCH GRANDE RRD15 BLK</v>
      </c>
      <c r="F622">
        <v>8708107</v>
      </c>
      <c r="G622" t="s">
        <v>14087</v>
      </c>
      <c r="H622">
        <v>3</v>
      </c>
    </row>
    <row r="623" spans="1:8" x14ac:dyDescent="0.25">
      <c r="A623" s="2">
        <v>16522</v>
      </c>
      <c r="B623" s="2" t="s">
        <v>4</v>
      </c>
      <c r="C623" s="2" t="str">
        <f t="shared" si="11"/>
        <v>8708200##</v>
      </c>
      <c r="D623" s="2"/>
      <c r="E623" s="2" t="str">
        <f>IFERROR(VLOOKUP(1*LEFT(C623,7),DF!$A$1:$F$9446,2,FALSE),"")</f>
        <v>POUCH MULTIUSO GRANDE PCH001 MOLLE EM</v>
      </c>
      <c r="F623">
        <v>8708200</v>
      </c>
      <c r="G623" t="s">
        <v>13736</v>
      </c>
      <c r="H623">
        <v>5</v>
      </c>
    </row>
    <row r="624" spans="1:8" x14ac:dyDescent="0.25">
      <c r="A624">
        <v>16522</v>
      </c>
      <c r="B624" t="s">
        <v>4</v>
      </c>
      <c r="C624" t="str">
        <f t="shared" si="11"/>
        <v>8500500##</v>
      </c>
      <c r="E624" t="str">
        <f>IFERROR(VLOOKUP(1*LEFT(C624,7),DF!$A$1:$F$9446,2,FALSE),"")</f>
        <v>PRECINTOS POLICIALES TACTICOS LUBRI MAL</v>
      </c>
      <c r="F624">
        <v>8500500</v>
      </c>
      <c r="G624" t="s">
        <v>13737</v>
      </c>
      <c r="H624">
        <v>3</v>
      </c>
    </row>
    <row r="625" spans="1:9" x14ac:dyDescent="0.25">
      <c r="A625">
        <v>16522</v>
      </c>
      <c r="B625" t="s">
        <v>4</v>
      </c>
      <c r="C625" t="str">
        <f t="shared" si="11"/>
        <v>8520235##</v>
      </c>
      <c r="E625" t="str">
        <f>IFERROR(VLOOKUP(1*LEFT(C625,7),DF!$A$1:$F$9446,2,FALSE),"")</f>
        <v>PUNTERO LASER RECARGABLE</v>
      </c>
      <c r="F625">
        <v>8520235</v>
      </c>
      <c r="G625" t="s">
        <v>13738</v>
      </c>
      <c r="H625">
        <v>4</v>
      </c>
    </row>
    <row r="626" spans="1:9" x14ac:dyDescent="0.25">
      <c r="A626" s="2">
        <v>16522</v>
      </c>
      <c r="B626" s="2" t="s">
        <v>4</v>
      </c>
      <c r="C626" s="2" t="str">
        <f t="shared" si="11"/>
        <v>8522999##</v>
      </c>
      <c r="D626" s="2"/>
      <c r="E626" s="2" t="str">
        <f>IFERROR(VLOOKUP(1*LEFT(C626,7),DF!$A$1:$F$9446,2,FALSE),"")</f>
        <v>RABIZA ANTIPERDIDA RAB-BROCHE/ABROJ EZ</v>
      </c>
      <c r="F626">
        <v>8522999</v>
      </c>
      <c r="G626" t="s">
        <v>13739</v>
      </c>
      <c r="H626">
        <v>3</v>
      </c>
    </row>
    <row r="627" spans="1:9" x14ac:dyDescent="0.25">
      <c r="A627" s="2">
        <v>16522</v>
      </c>
      <c r="B627" s="2" t="s">
        <v>4</v>
      </c>
      <c r="C627" s="2" t="str">
        <f t="shared" si="11"/>
        <v>8522102##</v>
      </c>
      <c r="D627" s="2"/>
      <c r="E627" s="2" t="str">
        <f>IFERROR(VLOOKUP(1*LEFT(C627,7),DF!$A$1:$F$9446,2,FALSE),"")</f>
        <v>RABIZA EXTENSIBLE C/ABROJO 101R FUN</v>
      </c>
      <c r="F627">
        <v>8522102</v>
      </c>
      <c r="G627" t="s">
        <v>13740</v>
      </c>
      <c r="H627">
        <v>3</v>
      </c>
    </row>
    <row r="628" spans="1:9" x14ac:dyDescent="0.25">
      <c r="A628" s="2">
        <v>16522</v>
      </c>
      <c r="B628" s="2" t="s">
        <v>4</v>
      </c>
      <c r="C628" s="2" t="str">
        <f t="shared" si="11"/>
        <v>8522101##</v>
      </c>
      <c r="D628" s="2"/>
      <c r="E628" s="2" t="str">
        <f>IFERROR(VLOOKUP(1*LEFT(C628,7),DF!$A$1:$F$9446,2,FALSE),"")</f>
        <v>RABIZA EXTENSIBLE RETRACTIL 101RR FUN</v>
      </c>
      <c r="F628">
        <v>8522101</v>
      </c>
      <c r="G628" t="s">
        <v>13741</v>
      </c>
      <c r="H628">
        <v>3</v>
      </c>
    </row>
    <row r="629" spans="1:9" x14ac:dyDescent="0.25">
      <c r="A629" s="2">
        <v>16522</v>
      </c>
      <c r="B629" s="2" t="s">
        <v>4</v>
      </c>
      <c r="C629" s="2" t="str">
        <f t="shared" si="11"/>
        <v>8522011##</v>
      </c>
      <c r="D629" s="2"/>
      <c r="E629" s="2" t="str">
        <f>IFERROR(VLOOKUP(1*LEFT(C629,7),DF!$A$1:$F$9446,2,FALSE),"")</f>
        <v>RABIZA SIMPLE C/CABLE DE TEL Y  ABROJO</v>
      </c>
      <c r="F629">
        <v>8522011</v>
      </c>
      <c r="G629" t="s">
        <v>14069</v>
      </c>
      <c r="H629">
        <v>5</v>
      </c>
    </row>
    <row r="630" spans="1:9" x14ac:dyDescent="0.25">
      <c r="A630" s="2">
        <v>16522</v>
      </c>
      <c r="B630" s="2" t="s">
        <v>4</v>
      </c>
      <c r="C630" s="2" t="str">
        <f t="shared" si="11"/>
        <v>8522030##</v>
      </c>
      <c r="D630" s="2"/>
      <c r="E630" s="2" t="str">
        <f>IFERROR(VLOOKUP(1*LEFT(C630,7),DF!$A$1:$F$9446,2,FALSE),"")</f>
        <v>RABIZA TACTICA REFORZADA C/HEBILLA 5641-</v>
      </c>
      <c r="F630">
        <v>8522030</v>
      </c>
      <c r="G630" t="s">
        <v>14070</v>
      </c>
      <c r="H630">
        <v>3</v>
      </c>
    </row>
    <row r="631" spans="1:9" x14ac:dyDescent="0.25">
      <c r="A631">
        <v>16522</v>
      </c>
      <c r="B631" t="s">
        <v>4</v>
      </c>
      <c r="C631" t="str">
        <f t="shared" si="11"/>
        <v>8303299##</v>
      </c>
      <c r="E631" t="str">
        <f>IFERROR(VLOOKUP(1*LEFT(C631,7),DF!$A$1:$F$9446,2,FALSE),"")</f>
        <v>RELOJ TACTICO DIGITAL 5514-30-48/3,6</v>
      </c>
      <c r="F631">
        <v>8303299</v>
      </c>
      <c r="G631" t="s">
        <v>13742</v>
      </c>
      <c r="H631">
        <v>5</v>
      </c>
    </row>
    <row r="632" spans="1:9" x14ac:dyDescent="0.25">
      <c r="A632" s="2">
        <v>16522</v>
      </c>
      <c r="B632" s="2" t="s">
        <v>4</v>
      </c>
      <c r="C632" s="2" t="str">
        <f t="shared" si="11"/>
        <v>2220292##</v>
      </c>
      <c r="D632" s="2"/>
      <c r="E632" s="2" t="str">
        <f>IFERROR(VLOOKUP(1*LEFT(C632,7),DF!$A$1:$F$9446,2,FALSE),"")</f>
        <v>REMERA MC AZUL CON ESTAMPA POLICIA GEI</v>
      </c>
      <c r="F632">
        <v>2220292</v>
      </c>
      <c r="G632" t="s">
        <v>13743</v>
      </c>
      <c r="H632">
        <v>4</v>
      </c>
      <c r="I632">
        <v>1</v>
      </c>
    </row>
    <row r="633" spans="1:9" x14ac:dyDescent="0.25">
      <c r="A633" s="2">
        <v>16522</v>
      </c>
      <c r="B633" s="2" t="s">
        <v>4</v>
      </c>
      <c r="C633" s="2" t="str">
        <f t="shared" si="11"/>
        <v>2220333##</v>
      </c>
      <c r="D633" s="2"/>
      <c r="E633" s="2" t="str">
        <f>IFERROR(VLOOKUP(1*LEFT(C633,7),DF!$A$1:$F$9446,2,FALSE),"")</f>
        <v>REMERA MC AZUL LISA GEI</v>
      </c>
      <c r="F633" s="7">
        <v>2220333</v>
      </c>
      <c r="G633" t="s">
        <v>13744</v>
      </c>
      <c r="H633">
        <v>1</v>
      </c>
      <c r="I633">
        <v>1</v>
      </c>
    </row>
    <row r="634" spans="1:9" x14ac:dyDescent="0.25">
      <c r="A634" s="2">
        <v>16522</v>
      </c>
      <c r="B634" s="2" t="s">
        <v>4</v>
      </c>
      <c r="C634" s="2" t="str">
        <f t="shared" si="11"/>
        <v>2220856##</v>
      </c>
      <c r="D634" s="2"/>
      <c r="E634" s="2" t="str">
        <f>IFERROR(VLOOKUP(1*LEFT(C634,7),DF!$A$1:$F$9446,2,FALSE),"")</f>
        <v>REMERA MC BEIGE LISA GEI</v>
      </c>
      <c r="F634" s="7">
        <v>2220856</v>
      </c>
      <c r="G634" t="s">
        <v>13745</v>
      </c>
      <c r="H634">
        <v>1</v>
      </c>
      <c r="I634">
        <v>1</v>
      </c>
    </row>
    <row r="635" spans="1:9" x14ac:dyDescent="0.25">
      <c r="A635" s="2">
        <v>16522</v>
      </c>
      <c r="B635" s="2" t="s">
        <v>4</v>
      </c>
      <c r="C635" s="2" t="str">
        <f t="shared" si="11"/>
        <v>2220004##</v>
      </c>
      <c r="D635" s="2"/>
      <c r="E635" s="2" t="str">
        <f>IFERROR(VLOOKUP(1*LEFT(C635,7),DF!$A$1:$F$9446,2,FALSE),"")</f>
        <v>REMERA MC BLANCA LISA GEI</v>
      </c>
      <c r="F635" s="7">
        <v>2220004</v>
      </c>
      <c r="G635" t="s">
        <v>13746</v>
      </c>
      <c r="H635">
        <v>1</v>
      </c>
      <c r="I635">
        <v>1</v>
      </c>
    </row>
    <row r="636" spans="1:9" x14ac:dyDescent="0.25">
      <c r="A636" s="2">
        <v>16522</v>
      </c>
      <c r="B636" s="2" t="s">
        <v>4</v>
      </c>
      <c r="C636" s="2" t="str">
        <f t="shared" si="11"/>
        <v>2220601##</v>
      </c>
      <c r="D636" s="2"/>
      <c r="E636" s="2" t="str">
        <f>IFERROR(VLOOKUP(1*LEFT(C636,7),DF!$A$1:$F$9446,2,FALSE),"")</f>
        <v>REMERA MC GRIS MELANGE SIN BORDAR GEI</v>
      </c>
      <c r="F636" s="7">
        <v>2220601</v>
      </c>
      <c r="G636" t="s">
        <v>13747</v>
      </c>
      <c r="H636">
        <v>3</v>
      </c>
    </row>
    <row r="637" spans="1:9" x14ac:dyDescent="0.25">
      <c r="A637" s="2">
        <v>16522</v>
      </c>
      <c r="B637" s="2" t="s">
        <v>4</v>
      </c>
      <c r="C637" s="2" t="str">
        <f t="shared" si="11"/>
        <v>2220456##</v>
      </c>
      <c r="D637" s="2"/>
      <c r="E637" s="2" t="str">
        <f>IFERROR(VLOOKUP(1*LEFT(C637,7),DF!$A$1:$F$9446,2,FALSE),"")</f>
        <v>REMERA MC NEGRA CON ESTAMPA POLICIA GEI</v>
      </c>
      <c r="F637" s="7">
        <v>2220456</v>
      </c>
      <c r="G637" t="s">
        <v>13748</v>
      </c>
      <c r="H637">
        <v>4</v>
      </c>
      <c r="I637">
        <v>1</v>
      </c>
    </row>
    <row r="638" spans="1:9" x14ac:dyDescent="0.25">
      <c r="A638" s="2">
        <v>16522</v>
      </c>
      <c r="B638" s="2" t="s">
        <v>4</v>
      </c>
      <c r="C638" s="2" t="str">
        <f t="shared" si="11"/>
        <v>2220444##</v>
      </c>
      <c r="D638" s="2"/>
      <c r="E638" s="2" t="str">
        <f>IFERROR(VLOOKUP(1*LEFT(C638,7),DF!$A$1:$F$9446,2,FALSE),"")</f>
        <v>REMERA MC NEGRA LISA GEI</v>
      </c>
      <c r="F638" s="7">
        <v>2220444</v>
      </c>
      <c r="G638" t="s">
        <v>13749</v>
      </c>
      <c r="H638">
        <v>1</v>
      </c>
      <c r="I638">
        <v>1</v>
      </c>
    </row>
    <row r="639" spans="1:9" x14ac:dyDescent="0.25">
      <c r="A639" s="2">
        <v>16522</v>
      </c>
      <c r="B639" s="2" t="s">
        <v>4</v>
      </c>
      <c r="C639" s="2" t="str">
        <f t="shared" si="11"/>
        <v>2230600##</v>
      </c>
      <c r="D639" s="2"/>
      <c r="E639" s="2" t="str">
        <f>IFERROR(VLOOKUP(1*LEFT(C639,7),DF!$A$1:$F$9446,2,FALSE),"")</f>
        <v>REMERA MC VERDE LMGE GEI</v>
      </c>
      <c r="F639" s="7">
        <v>2230600</v>
      </c>
      <c r="G639" t="s">
        <v>13750</v>
      </c>
      <c r="H639">
        <v>1</v>
      </c>
      <c r="I639">
        <v>1</v>
      </c>
    </row>
    <row r="640" spans="1:9" x14ac:dyDescent="0.25">
      <c r="A640">
        <v>16522</v>
      </c>
      <c r="B640" t="s">
        <v>7</v>
      </c>
      <c r="C640" t="str">
        <f t="shared" si="11"/>
        <v>2220076##</v>
      </c>
      <c r="E640" t="str">
        <f>IFERROR(VLOOKUP(1*LEFT(C640,7),DF!$A$1:$F$9446,2,FALSE),"")</f>
        <v>REMERA ML 1RA PIEL NEGRA  VANIZADA RER</v>
      </c>
      <c r="F640">
        <v>2220076</v>
      </c>
      <c r="G640" t="s">
        <v>13988</v>
      </c>
      <c r="H640">
        <v>3</v>
      </c>
    </row>
    <row r="641" spans="1:9" x14ac:dyDescent="0.25">
      <c r="A641" s="2">
        <v>16522</v>
      </c>
      <c r="B641" s="2" t="s">
        <v>4</v>
      </c>
      <c r="C641" s="2" t="str">
        <f t="shared" si="11"/>
        <v>2220100##</v>
      </c>
      <c r="D641" s="2"/>
      <c r="E641" s="2" t="str">
        <f>IFERROR(VLOOKUP(1*LEFT(C641,7),DF!$A$1:$F$9446,2,FALSE),"")</f>
        <v>REMERA ML 1RA PIEL NEGRA MINIJACK RER</v>
      </c>
      <c r="F641" s="7">
        <v>2220100</v>
      </c>
      <c r="G641" t="s">
        <v>13751</v>
      </c>
      <c r="H641">
        <v>4</v>
      </c>
    </row>
    <row r="642" spans="1:9" x14ac:dyDescent="0.25">
      <c r="A642" s="2">
        <v>16522</v>
      </c>
      <c r="B642" s="2" t="s">
        <v>4</v>
      </c>
      <c r="C642" s="2" t="str">
        <f t="shared" si="11"/>
        <v>2103495##</v>
      </c>
      <c r="D642" s="2"/>
      <c r="E642" s="2" t="str">
        <f>IFERROR(VLOOKUP(1*LEFT(C642,7),DF!$A$1:$F$9446,2,FALSE),"")</f>
        <v>REMERA ML COMBAT AZUL</v>
      </c>
      <c r="F642" s="7">
        <v>2103495</v>
      </c>
      <c r="G642" t="s">
        <v>13752</v>
      </c>
      <c r="H642">
        <v>5</v>
      </c>
      <c r="I642">
        <v>1</v>
      </c>
    </row>
    <row r="643" spans="1:9" x14ac:dyDescent="0.25">
      <c r="A643" s="2">
        <v>16522</v>
      </c>
      <c r="B643" s="2" t="s">
        <v>4</v>
      </c>
      <c r="C643" s="2" t="str">
        <f t="shared" si="11"/>
        <v>2103217##</v>
      </c>
      <c r="D643" s="2"/>
      <c r="E643" s="2" t="str">
        <f>IFERROR(VLOOKUP(1*LEFT(C643,7),DF!$A$1:$F$9446,2,FALSE),"")</f>
        <v>REMERA ML COMBAT NEGRA RER</v>
      </c>
      <c r="F643" s="7">
        <v>2103217</v>
      </c>
      <c r="G643" t="s">
        <v>13753</v>
      </c>
      <c r="H643">
        <v>5</v>
      </c>
      <c r="I643">
        <v>1</v>
      </c>
    </row>
    <row r="644" spans="1:9" x14ac:dyDescent="0.25">
      <c r="A644" s="2">
        <v>16522</v>
      </c>
      <c r="B644" s="2" t="s">
        <v>4</v>
      </c>
      <c r="C644" s="2" t="str">
        <f t="shared" si="11"/>
        <v>2220591##</v>
      </c>
      <c r="D644" s="2"/>
      <c r="E644" s="2" t="str">
        <f>IFERROR(VLOOKUP(1*LEFT(C644,7),DF!$A$1:$F$9446,2,FALSE),"")</f>
        <v>REMERA ML TERMICAS SPINIT NEGRA GEI</v>
      </c>
      <c r="F644" s="7">
        <v>2220591</v>
      </c>
      <c r="G644" t="s">
        <v>13754</v>
      </c>
      <c r="H644">
        <v>2</v>
      </c>
    </row>
    <row r="645" spans="1:9" x14ac:dyDescent="0.25">
      <c r="A645">
        <v>16522</v>
      </c>
      <c r="B645" t="s">
        <v>4</v>
      </c>
      <c r="C645" t="str">
        <f t="shared" si="11"/>
        <v>7711676##</v>
      </c>
      <c r="E645" t="str">
        <f>IFERROR(VLOOKUP(1*LEFT(C645,7),DF!$A$1:$F$9446,2,FALSE),"")</f>
        <v>ROMBO BORD ORO DG</v>
      </c>
      <c r="F645">
        <v>7711676</v>
      </c>
      <c r="G645" t="s">
        <v>13755</v>
      </c>
      <c r="H645">
        <v>1</v>
      </c>
    </row>
    <row r="646" spans="1:9" x14ac:dyDescent="0.25">
      <c r="A646" s="2">
        <v>16522</v>
      </c>
      <c r="B646" s="2" t="s">
        <v>4</v>
      </c>
      <c r="C646" s="2" t="str">
        <f t="shared" si="11"/>
        <v>8711701##</v>
      </c>
      <c r="D646" s="2"/>
      <c r="E646" s="2" t="str">
        <f>IFERROR(VLOOKUP(1*LEFT(C646,7),DF!$A$1:$F$9446,2,FALSE),"")</f>
        <v>SOBAQ. POLIA C/PORTACAR. SIMPLE T701 TB</v>
      </c>
      <c r="F646">
        <v>8711701</v>
      </c>
      <c r="G646" t="s">
        <v>13756</v>
      </c>
      <c r="H646">
        <v>3</v>
      </c>
    </row>
    <row r="647" spans="1:9" x14ac:dyDescent="0.25">
      <c r="A647" s="2">
        <v>16522</v>
      </c>
      <c r="B647" s="2" t="s">
        <v>4</v>
      </c>
      <c r="C647" s="2" t="str">
        <f t="shared" si="11"/>
        <v>8711700##</v>
      </c>
      <c r="D647" s="2"/>
      <c r="E647" s="2" t="str">
        <f>IFERROR(VLOOKUP(1*LEFT(C647,7),DF!$A$1:$F$9446,2,FALSE),"")</f>
        <v>SOBAQ. UNIVERSAL SIMPLE T700 TB</v>
      </c>
      <c r="F647">
        <v>8711700</v>
      </c>
      <c r="G647" t="s">
        <v>13757</v>
      </c>
      <c r="H647">
        <v>4</v>
      </c>
    </row>
    <row r="648" spans="1:9" x14ac:dyDescent="0.25">
      <c r="A648">
        <v>16522</v>
      </c>
      <c r="B648" t="s">
        <v>4</v>
      </c>
      <c r="C648" t="str">
        <f t="shared" si="11"/>
        <v>8401013##</v>
      </c>
      <c r="E648" t="str">
        <f>IFERROR(VLOOKUP(1*LEFT(C648,7),DF!$A$1:$F$9446,2,FALSE),"")</f>
        <v>SUDADERA RED MILITAR BEIGE 160 X 0.25 RE</v>
      </c>
      <c r="F648">
        <v>8401013</v>
      </c>
      <c r="G648" t="s">
        <v>13758</v>
      </c>
      <c r="H648">
        <v>1</v>
      </c>
    </row>
    <row r="649" spans="1:9" x14ac:dyDescent="0.25">
      <c r="A649">
        <v>16522</v>
      </c>
      <c r="B649" t="s">
        <v>4</v>
      </c>
      <c r="C649" t="str">
        <f t="shared" si="11"/>
        <v>8401004##</v>
      </c>
      <c r="E649" t="str">
        <f>IFERROR(VLOOKUP(1*LEFT(C649,7),DF!$A$1:$F$9446,2,FALSE),"")</f>
        <v>SUDADERA RED MILITAR BEIGE ORF</v>
      </c>
      <c r="F649">
        <v>8401004</v>
      </c>
      <c r="G649" t="s">
        <v>13759</v>
      </c>
      <c r="H649">
        <v>1</v>
      </c>
    </row>
    <row r="650" spans="1:9" x14ac:dyDescent="0.25">
      <c r="A650">
        <v>16522</v>
      </c>
      <c r="B650" t="s">
        <v>4</v>
      </c>
      <c r="C650" t="str">
        <f t="shared" si="11"/>
        <v>8401006##</v>
      </c>
      <c r="E650" t="str">
        <f>IFERROR(VLOOKUP(1*LEFT(C650,7),DF!$A$1:$F$9446,2,FALSE),"")</f>
        <v>SUDADERA RED MILITAR BLANCA ORF</v>
      </c>
      <c r="F650">
        <v>8401006</v>
      </c>
      <c r="G650" t="s">
        <v>13760</v>
      </c>
      <c r="H650">
        <v>1</v>
      </c>
    </row>
    <row r="651" spans="1:9" x14ac:dyDescent="0.25">
      <c r="A651">
        <v>16522</v>
      </c>
      <c r="B651" t="s">
        <v>4</v>
      </c>
      <c r="C651" t="str">
        <f t="shared" si="11"/>
        <v>8401005##</v>
      </c>
      <c r="E651" t="str">
        <f>IFERROR(VLOOKUP(1*LEFT(C651,7),DF!$A$1:$F$9446,2,FALSE),"")</f>
        <v>SUDADERA RED MILITAR MARRON ORF</v>
      </c>
      <c r="F651">
        <v>8401005</v>
      </c>
      <c r="G651" t="s">
        <v>13761</v>
      </c>
      <c r="H651">
        <v>1</v>
      </c>
    </row>
    <row r="652" spans="1:9" x14ac:dyDescent="0.25">
      <c r="A652">
        <v>16522</v>
      </c>
      <c r="B652" t="s">
        <v>4</v>
      </c>
      <c r="C652" t="str">
        <f t="shared" si="11"/>
        <v>8401010##</v>
      </c>
      <c r="E652" t="str">
        <f>IFERROR(VLOOKUP(1*LEFT(C652,7),DF!$A$1:$F$9446,2,FALSE),"")</f>
        <v>SUDADERA RED MILITAR NEG 160 X 0.25 RER</v>
      </c>
      <c r="F652">
        <v>8401010</v>
      </c>
      <c r="G652" t="s">
        <v>13762</v>
      </c>
      <c r="H652">
        <v>1</v>
      </c>
    </row>
    <row r="653" spans="1:9" x14ac:dyDescent="0.25">
      <c r="A653">
        <v>16522</v>
      </c>
      <c r="B653" t="s">
        <v>4</v>
      </c>
      <c r="C653" t="str">
        <f t="shared" si="11"/>
        <v>8401009##</v>
      </c>
      <c r="E653" t="str">
        <f>IFERROR(VLOOKUP(1*LEFT(C653,7),DF!$A$1:$F$9446,2,FALSE),"")</f>
        <v>SUDADERA RED MILITAR NEG 160 X 0.45 RER</v>
      </c>
      <c r="F653">
        <v>8401009</v>
      </c>
      <c r="G653" t="s">
        <v>13763</v>
      </c>
      <c r="H653">
        <v>1</v>
      </c>
    </row>
    <row r="654" spans="1:9" x14ac:dyDescent="0.25">
      <c r="A654">
        <v>16522</v>
      </c>
      <c r="B654" t="s">
        <v>4</v>
      </c>
      <c r="C654" t="str">
        <f t="shared" si="11"/>
        <v>8401001##</v>
      </c>
      <c r="E654" t="str">
        <f>IFERROR(VLOOKUP(1*LEFT(C654,7),DF!$A$1:$F$9446,2,FALSE),"")</f>
        <v>SUDADERA RED MILITAR NEGRA ORF</v>
      </c>
      <c r="F654">
        <v>8401001</v>
      </c>
      <c r="G654" t="s">
        <v>13764</v>
      </c>
      <c r="H654">
        <v>1</v>
      </c>
    </row>
    <row r="655" spans="1:9" x14ac:dyDescent="0.25">
      <c r="A655">
        <v>16522</v>
      </c>
      <c r="B655" t="s">
        <v>4</v>
      </c>
      <c r="C655" t="str">
        <f t="shared" si="11"/>
        <v>8401012##</v>
      </c>
      <c r="E655" t="str">
        <f>IFERROR(VLOOKUP(1*LEFT(C655,7),DF!$A$1:$F$9446,2,FALSE),"")</f>
        <v>SUDADERA RED MILITAR VER 160 X 0.25 RER</v>
      </c>
      <c r="F655">
        <v>8401012</v>
      </c>
      <c r="G655" t="s">
        <v>13765</v>
      </c>
      <c r="H655">
        <v>1</v>
      </c>
    </row>
    <row r="656" spans="1:9" x14ac:dyDescent="0.25">
      <c r="A656">
        <v>16522</v>
      </c>
      <c r="B656" t="s">
        <v>4</v>
      </c>
      <c r="C656" t="str">
        <f t="shared" si="11"/>
        <v>8401011##</v>
      </c>
      <c r="E656" t="str">
        <f>IFERROR(VLOOKUP(1*LEFT(C656,7),DF!$A$1:$F$9446,2,FALSE),"")</f>
        <v>SUDADERA RED MILITAR VER 160 X 0.45 RER</v>
      </c>
      <c r="F656">
        <v>8401011</v>
      </c>
      <c r="G656" t="s">
        <v>13766</v>
      </c>
      <c r="H656">
        <v>1</v>
      </c>
    </row>
    <row r="657" spans="1:9" x14ac:dyDescent="0.25">
      <c r="A657">
        <v>16522</v>
      </c>
      <c r="B657" t="s">
        <v>4</v>
      </c>
      <c r="C657" t="str">
        <f t="shared" si="11"/>
        <v>8401003##</v>
      </c>
      <c r="E657" t="str">
        <f>IFERROR(VLOOKUP(1*LEFT(C657,7),DF!$A$1:$F$9446,2,FALSE),"")</f>
        <v>SUDADERA RED MILITAR VERDE ORF</v>
      </c>
      <c r="F657">
        <v>8401003</v>
      </c>
      <c r="G657" t="s">
        <v>13767</v>
      </c>
      <c r="H657">
        <v>1</v>
      </c>
    </row>
    <row r="658" spans="1:9" x14ac:dyDescent="0.25">
      <c r="A658">
        <v>16522</v>
      </c>
      <c r="B658" t="s">
        <v>4</v>
      </c>
      <c r="C658" t="str">
        <f t="shared" si="11"/>
        <v>8507002##</v>
      </c>
      <c r="E658" t="str">
        <f>IFERROR(VLOOKUP(1*LEFT(C658,7),DF!$A$1:$F$9446,2,FALSE),"")</f>
        <v>TIRO SABLE CUERO 1041 TB</v>
      </c>
      <c r="F658">
        <v>8507002</v>
      </c>
      <c r="G658" t="s">
        <v>13768</v>
      </c>
      <c r="H658">
        <v>4</v>
      </c>
    </row>
    <row r="659" spans="1:9" x14ac:dyDescent="0.25">
      <c r="A659" s="2">
        <v>16522</v>
      </c>
      <c r="B659" s="2" t="s">
        <v>4</v>
      </c>
      <c r="C659" s="2" t="str">
        <f t="shared" si="11"/>
        <v>2601004##</v>
      </c>
      <c r="D659" s="2"/>
      <c r="E659" s="2" t="str">
        <f>IFERROR(VLOOKUP(1*LEFT(C659,7),DF!$A$1:$F$9446,2,FALSE),"")</f>
        <v>TRICOPOLAR AZUL RER</v>
      </c>
      <c r="F659" s="7">
        <v>2601004</v>
      </c>
      <c r="G659" t="s">
        <v>13769</v>
      </c>
      <c r="H659">
        <v>5</v>
      </c>
      <c r="I659">
        <v>1</v>
      </c>
    </row>
    <row r="660" spans="1:9" x14ac:dyDescent="0.25">
      <c r="A660">
        <v>16522</v>
      </c>
      <c r="B660" t="s">
        <v>7</v>
      </c>
      <c r="C660" t="str">
        <f t="shared" si="11"/>
        <v>2601004##</v>
      </c>
      <c r="E660" t="str">
        <f>IFERROR(VLOOKUP(1*LEFT(C660,7),DF!$A$1:$F$9446,2,FALSE),"")</f>
        <v>TRICOPOLAR AZUL RER</v>
      </c>
      <c r="F660">
        <v>2601004</v>
      </c>
      <c r="G660" t="s">
        <v>13989</v>
      </c>
      <c r="H660">
        <v>5</v>
      </c>
      <c r="I660">
        <v>1</v>
      </c>
    </row>
    <row r="661" spans="1:9" x14ac:dyDescent="0.25">
      <c r="A661" s="2">
        <v>16522</v>
      </c>
      <c r="B661" s="2" t="s">
        <v>4</v>
      </c>
      <c r="C661" s="2" t="str">
        <f t="shared" si="11"/>
        <v>2601750##</v>
      </c>
      <c r="D661" s="2"/>
      <c r="E661" s="2" t="str">
        <f>IFERROR(VLOOKUP(1*LEFT(C661,7),DF!$A$1:$F$9446,2,FALSE),"")</f>
        <v>TRICOPOLAR GRIS RER</v>
      </c>
      <c r="F661" s="7">
        <v>2601750</v>
      </c>
      <c r="G661" t="s">
        <v>13770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t="str">
        <f t="shared" si="11"/>
        <v>2601750##</v>
      </c>
      <c r="E662" t="str">
        <f>IFERROR(VLOOKUP(1*LEFT(C662,7),DF!$A$1:$F$9446,2,FALSE),"")</f>
        <v>TRICOPOLAR GRIS RER</v>
      </c>
      <c r="F662">
        <v>2601750</v>
      </c>
      <c r="G662" t="s">
        <v>13990</v>
      </c>
      <c r="H662">
        <v>5</v>
      </c>
      <c r="I662">
        <v>1</v>
      </c>
    </row>
    <row r="663" spans="1:9" x14ac:dyDescent="0.25">
      <c r="A663" s="2">
        <v>16522</v>
      </c>
      <c r="B663" s="2" t="s">
        <v>4</v>
      </c>
      <c r="C663" s="2" t="str">
        <f t="shared" si="11"/>
        <v>2601003##</v>
      </c>
      <c r="D663" s="2"/>
      <c r="E663" s="2" t="str">
        <f>IFERROR(VLOOKUP(1*LEFT(C663,7),DF!$A$1:$F$9446,2,FALSE),"")</f>
        <v>TRICOPOLAR NEGRO RER</v>
      </c>
      <c r="F663" s="7">
        <v>2601003</v>
      </c>
      <c r="G663" t="s">
        <v>13771</v>
      </c>
      <c r="H663">
        <v>9</v>
      </c>
      <c r="I663">
        <v>1</v>
      </c>
    </row>
    <row r="664" spans="1:9" x14ac:dyDescent="0.25">
      <c r="A664">
        <v>19599</v>
      </c>
      <c r="B664" t="s">
        <v>7</v>
      </c>
      <c r="C664" t="str">
        <f t="shared" si="11"/>
        <v>2601003##</v>
      </c>
      <c r="E664" t="str">
        <f>IFERROR(VLOOKUP(1*LEFT(C664,7),DF!$A$1:$F$9446,2,FALSE),"")</f>
        <v>TRICOPOLAR NEGRO RER</v>
      </c>
      <c r="F664">
        <v>2601003</v>
      </c>
      <c r="G664" t="s">
        <v>13991</v>
      </c>
      <c r="H664">
        <v>9</v>
      </c>
      <c r="I664">
        <v>1</v>
      </c>
    </row>
    <row r="665" spans="1:9" x14ac:dyDescent="0.25">
      <c r="A665" s="2">
        <v>16522</v>
      </c>
      <c r="B665" s="2" t="s">
        <v>4</v>
      </c>
      <c r="C665" s="2" t="str">
        <f t="shared" si="11"/>
        <v>2301888##</v>
      </c>
      <c r="D665" s="2"/>
      <c r="E665" s="2" t="str">
        <f>IFERROR(VLOOKUP(1*LEFT(C665,7),DF!$A$1:$F$9446,2,FALSE),"")</f>
        <v>TRICOTA C/POLERA FORRADA AZUL EM</v>
      </c>
      <c r="F665" s="7">
        <v>2301888</v>
      </c>
      <c r="G665" t="s">
        <v>13772</v>
      </c>
      <c r="H665">
        <v>9</v>
      </c>
      <c r="I665">
        <v>1</v>
      </c>
    </row>
    <row r="666" spans="1:9" x14ac:dyDescent="0.25">
      <c r="A666">
        <v>19599</v>
      </c>
      <c r="B666" t="s">
        <v>7</v>
      </c>
      <c r="C666" t="str">
        <f t="shared" si="11"/>
        <v>2301888##</v>
      </c>
      <c r="E666" t="str">
        <f>IFERROR(VLOOKUP(1*LEFT(C666,7),DF!$A$1:$F$9446,2,FALSE),"")</f>
        <v>TRICOTA C/POLERA FORRADA AZUL EM</v>
      </c>
      <c r="F666" s="3">
        <v>2301888</v>
      </c>
      <c r="G666" s="9" t="s">
        <v>13992</v>
      </c>
      <c r="H666">
        <v>9</v>
      </c>
      <c r="I666">
        <v>1</v>
      </c>
    </row>
    <row r="667" spans="1:9" x14ac:dyDescent="0.25">
      <c r="A667" s="2">
        <v>16522</v>
      </c>
      <c r="B667" s="2" t="s">
        <v>4</v>
      </c>
      <c r="C667" s="2" t="str">
        <f t="shared" si="11"/>
        <v>2301158##</v>
      </c>
      <c r="D667" s="2"/>
      <c r="E667" s="2" t="str">
        <f>IFERROR(VLOOKUP(1*LEFT(C667,7),DF!$A$1:$F$9446,2,FALSE),"")</f>
        <v>TRICOTA C/POLERA FORRADA GRIS EM</v>
      </c>
      <c r="F667" s="7">
        <v>2301158</v>
      </c>
      <c r="G667" t="s">
        <v>13773</v>
      </c>
      <c r="H667">
        <v>8</v>
      </c>
      <c r="I667">
        <v>1</v>
      </c>
    </row>
    <row r="668" spans="1:9" x14ac:dyDescent="0.25">
      <c r="A668">
        <v>19599</v>
      </c>
      <c r="B668" t="s">
        <v>7</v>
      </c>
      <c r="C668" t="str">
        <f t="shared" si="11"/>
        <v>2301158##</v>
      </c>
      <c r="E668" t="str">
        <f>IFERROR(VLOOKUP(1*LEFT(C668,7),DF!$A$1:$F$9446,2,FALSE),"")</f>
        <v>TRICOTA C/POLERA FORRADA GRIS EM</v>
      </c>
      <c r="F668" s="3">
        <v>2301158</v>
      </c>
      <c r="G668" s="9" t="s">
        <v>13993</v>
      </c>
      <c r="H668">
        <v>8</v>
      </c>
      <c r="I668">
        <v>1</v>
      </c>
    </row>
    <row r="669" spans="1:9" x14ac:dyDescent="0.25">
      <c r="A669" s="2">
        <v>16522</v>
      </c>
      <c r="B669" s="2" t="s">
        <v>4</v>
      </c>
      <c r="C669" s="2" t="str">
        <f t="shared" si="11"/>
        <v>2301048##</v>
      </c>
      <c r="D669" s="2"/>
      <c r="E669" s="2" t="str">
        <f>IFERROR(VLOOKUP(1*LEFT(C669,7),DF!$A$1:$F$9446,2,FALSE),"")</f>
        <v>TRICOTA C/POLERA FORRADA NEGRA EM</v>
      </c>
      <c r="F669" s="7">
        <v>2301048</v>
      </c>
      <c r="G669" t="s">
        <v>13774</v>
      </c>
      <c r="H669">
        <v>8</v>
      </c>
      <c r="I669">
        <v>1</v>
      </c>
    </row>
    <row r="670" spans="1:9" x14ac:dyDescent="0.25">
      <c r="A670">
        <v>19599</v>
      </c>
      <c r="B670" t="s">
        <v>7</v>
      </c>
      <c r="C670" t="str">
        <f t="shared" si="11"/>
        <v>2301048##</v>
      </c>
      <c r="D670" t="s">
        <v>6996</v>
      </c>
      <c r="E670" t="str">
        <f>IFERROR(VLOOKUP(1*LEFT(C670,7),DF!$A$1:$F$9446,2,FALSE),"")</f>
        <v>TRICOTA C/POLERA FORRADA NEGRA EM</v>
      </c>
      <c r="F670" s="3">
        <v>2301048</v>
      </c>
      <c r="G670" s="9" t="s">
        <v>13994</v>
      </c>
      <c r="H670">
        <v>8</v>
      </c>
      <c r="I670">
        <v>1</v>
      </c>
    </row>
    <row r="671" spans="1:9" x14ac:dyDescent="0.25">
      <c r="A671" s="2">
        <v>16522</v>
      </c>
      <c r="B671" s="2" t="s">
        <v>4</v>
      </c>
      <c r="C671" s="2" t="str">
        <f t="shared" ref="C671:C684" si="12">CONCATENATE(F671,"##")</f>
        <v>2301300##</v>
      </c>
      <c r="D671" s="2"/>
      <c r="E671" s="2" t="str">
        <f>IFERROR(VLOOKUP(1*LEFT(C671,7),DF!$A$1:$F$9446,2,FALSE),"")</f>
        <v>TRICOTA C/POLERA FORRADA VERDE EM</v>
      </c>
      <c r="F671" s="7">
        <v>2301300</v>
      </c>
      <c r="G671" t="s">
        <v>13775</v>
      </c>
      <c r="H671">
        <v>8</v>
      </c>
      <c r="I671">
        <v>1</v>
      </c>
    </row>
    <row r="672" spans="1:9" x14ac:dyDescent="0.25">
      <c r="A672">
        <v>19599</v>
      </c>
      <c r="B672" t="s">
        <v>7</v>
      </c>
      <c r="C672" t="str">
        <f t="shared" si="12"/>
        <v>2301300##</v>
      </c>
      <c r="E672" t="str">
        <f>IFERROR(VLOOKUP(1*LEFT(C672,7),DF!$A$1:$F$9446,2,FALSE),"")</f>
        <v>TRICOTA C/POLERA FORRADA VERDE EM</v>
      </c>
      <c r="F672" s="3">
        <v>2301300</v>
      </c>
      <c r="G672" s="9" t="s">
        <v>13995</v>
      </c>
      <c r="H672">
        <v>8</v>
      </c>
      <c r="I672">
        <v>1</v>
      </c>
    </row>
    <row r="673" spans="1:9" x14ac:dyDescent="0.25">
      <c r="A673" s="2">
        <v>16522</v>
      </c>
      <c r="B673" s="2" t="s">
        <v>4</v>
      </c>
      <c r="C673" s="2" t="str">
        <f t="shared" si="12"/>
        <v>2301777##</v>
      </c>
      <c r="D673" s="2"/>
      <c r="E673" s="2" t="str">
        <f>IFERROR(VLOOKUP(1*LEFT(C673,7),DF!$A$1:$F$9446,2,FALSE),"")</f>
        <v>TRICOTA CUELLO REDONDO FORRADA AZUL EM</v>
      </c>
      <c r="F673" s="7">
        <v>2301777</v>
      </c>
      <c r="G673" t="s">
        <v>13776</v>
      </c>
      <c r="H673">
        <v>4</v>
      </c>
      <c r="I673">
        <v>1</v>
      </c>
    </row>
    <row r="674" spans="1:9" x14ac:dyDescent="0.25">
      <c r="A674">
        <v>19599</v>
      </c>
      <c r="B674" t="s">
        <v>7</v>
      </c>
      <c r="C674" t="str">
        <f t="shared" si="12"/>
        <v>2301777##</v>
      </c>
      <c r="E674" t="str">
        <f>IFERROR(VLOOKUP(1*LEFT(C674,7),DF!$A$1:$F$9446,2,FALSE),"")</f>
        <v>TRICOTA CUELLO REDONDO FORRADA AZUL EM</v>
      </c>
      <c r="F674" s="22">
        <v>2301777</v>
      </c>
      <c r="G674" t="s">
        <v>13996</v>
      </c>
      <c r="H674">
        <v>4</v>
      </c>
      <c r="I674">
        <v>1</v>
      </c>
    </row>
    <row r="675" spans="1:9" x14ac:dyDescent="0.25">
      <c r="A675" s="2">
        <v>16522</v>
      </c>
      <c r="B675" s="2" t="s">
        <v>4</v>
      </c>
      <c r="C675" s="2" t="str">
        <f t="shared" si="12"/>
        <v>2301900##</v>
      </c>
      <c r="D675" s="2"/>
      <c r="E675" s="2" t="str">
        <f>IFERROR(VLOOKUP(1*LEFT(C675,7),DF!$A$1:$F$9446,2,FALSE),"")</f>
        <v>TRICOTA CUELLO REDONDO NEGRA EM</v>
      </c>
      <c r="F675" s="7">
        <v>2301900</v>
      </c>
      <c r="G675" t="s">
        <v>13777</v>
      </c>
      <c r="H675">
        <v>4</v>
      </c>
      <c r="I675">
        <v>1</v>
      </c>
    </row>
    <row r="676" spans="1:9" x14ac:dyDescent="0.25">
      <c r="A676">
        <v>19599</v>
      </c>
      <c r="B676" t="s">
        <v>7</v>
      </c>
      <c r="C676" t="str">
        <f t="shared" si="12"/>
        <v>2301900##</v>
      </c>
      <c r="E676" t="str">
        <f>IFERROR(VLOOKUP(1*LEFT(C676,7),DF!$A$1:$F$9446,2,FALSE),"")</f>
        <v>TRICOTA CUELLO REDONDO NEGRA EM</v>
      </c>
      <c r="F676" s="22">
        <v>2301900</v>
      </c>
      <c r="G676" t="s">
        <v>13997</v>
      </c>
      <c r="H676">
        <v>4</v>
      </c>
      <c r="I676">
        <v>1</v>
      </c>
    </row>
    <row r="677" spans="1:9" x14ac:dyDescent="0.25">
      <c r="A677" s="2">
        <v>16522</v>
      </c>
      <c r="B677" s="2" t="s">
        <v>4</v>
      </c>
      <c r="C677" s="2" t="str">
        <f t="shared" si="12"/>
        <v>2301333##</v>
      </c>
      <c r="D677" s="2"/>
      <c r="E677" s="2" t="str">
        <f>IFERROR(VLOOKUP(1*LEFT(C677,7),DF!$A$1:$F$9446,2,FALSE),"")</f>
        <v>TRICOTA CUELLO REDONDO VERDE EM</v>
      </c>
      <c r="F677" s="7">
        <v>2301333</v>
      </c>
      <c r="G677" t="s">
        <v>13778</v>
      </c>
      <c r="H677">
        <v>4</v>
      </c>
      <c r="I677">
        <v>1</v>
      </c>
    </row>
    <row r="678" spans="1:9" x14ac:dyDescent="0.25">
      <c r="A678">
        <v>19599</v>
      </c>
      <c r="B678" t="s">
        <v>7</v>
      </c>
      <c r="C678" t="str">
        <f t="shared" si="12"/>
        <v>2301333##</v>
      </c>
      <c r="E678" t="str">
        <f>IFERROR(VLOOKUP(1*LEFT(C678,7),DF!$A$1:$F$9446,2,FALSE),"")</f>
        <v>TRICOTA CUELLO REDONDO VERDE EM</v>
      </c>
      <c r="F678" s="22">
        <v>2301333</v>
      </c>
      <c r="G678" s="9" t="s">
        <v>13998</v>
      </c>
      <c r="H678">
        <v>4</v>
      </c>
      <c r="I678">
        <v>1</v>
      </c>
    </row>
    <row r="679" spans="1:9" x14ac:dyDescent="0.25">
      <c r="A679" s="2">
        <v>16522</v>
      </c>
      <c r="B679" s="2" t="s">
        <v>4</v>
      </c>
      <c r="C679" s="2" t="str">
        <f t="shared" si="12"/>
        <v>2301666##</v>
      </c>
      <c r="D679" s="2"/>
      <c r="E679" s="2" t="str">
        <f>IFERROR(VLOOKUP(1*LEFT(C679,7),DF!$A$1:$F$9446,2,FALSE),"")</f>
        <v>TRICOTA ESCOTE V SIN FORRO AZUL EM</v>
      </c>
      <c r="F679" s="7">
        <v>2301666</v>
      </c>
      <c r="G679" t="s">
        <v>13779</v>
      </c>
      <c r="H679">
        <v>3</v>
      </c>
      <c r="I679">
        <v>1</v>
      </c>
    </row>
    <row r="680" spans="1:9" x14ac:dyDescent="0.25">
      <c r="A680">
        <v>19599</v>
      </c>
      <c r="B680" t="s">
        <v>7</v>
      </c>
      <c r="C680" t="str">
        <f t="shared" si="12"/>
        <v>2301666##</v>
      </c>
      <c r="E680" t="str">
        <f>IFERROR(VLOOKUP(1*LEFT(C680,7),DF!$A$1:$F$9446,2,FALSE),"")</f>
        <v>TRICOTA ESCOTE V SIN FORRO AZUL EM</v>
      </c>
      <c r="F680">
        <v>2301666</v>
      </c>
      <c r="G680" t="s">
        <v>13999</v>
      </c>
      <c r="H680">
        <v>3</v>
      </c>
      <c r="I680">
        <v>1</v>
      </c>
    </row>
    <row r="681" spans="1:9" x14ac:dyDescent="0.25">
      <c r="A681" s="2">
        <v>16522</v>
      </c>
      <c r="B681" s="2" t="s">
        <v>4</v>
      </c>
      <c r="C681" s="2" t="str">
        <f t="shared" si="12"/>
        <v>2301046##</v>
      </c>
      <c r="D681" s="2"/>
      <c r="E681" s="2" t="str">
        <f>IFERROR(VLOOKUP(1*LEFT(C681,7),DF!$A$1:$F$9446,2,FALSE),"")</f>
        <v>TRICOTA ESCOTE V SIN FORRO NEGRA EM</v>
      </c>
      <c r="F681" s="7">
        <v>2301046</v>
      </c>
      <c r="G681" t="s">
        <v>13780</v>
      </c>
      <c r="H681">
        <v>5</v>
      </c>
      <c r="I681">
        <v>1</v>
      </c>
    </row>
    <row r="682" spans="1:9" x14ac:dyDescent="0.25">
      <c r="A682">
        <v>19599</v>
      </c>
      <c r="B682" t="s">
        <v>7</v>
      </c>
      <c r="C682" t="str">
        <f t="shared" si="12"/>
        <v>2301046##</v>
      </c>
      <c r="E682" t="str">
        <f>IFERROR(VLOOKUP(1*LEFT(C682,7),DF!$A$1:$F$9446,2,FALSE),"")</f>
        <v>TRICOTA ESCOTE V SIN FORRO NEGRA EM</v>
      </c>
      <c r="F682">
        <v>2301046</v>
      </c>
      <c r="G682" t="s">
        <v>14000</v>
      </c>
      <c r="H682">
        <v>5</v>
      </c>
      <c r="I682">
        <v>1</v>
      </c>
    </row>
    <row r="683" spans="1:9" x14ac:dyDescent="0.25">
      <c r="A683" s="2">
        <v>16522</v>
      </c>
      <c r="B683" s="2" t="s">
        <v>4</v>
      </c>
      <c r="C683" s="2" t="str">
        <f t="shared" si="12"/>
        <v>8203265##</v>
      </c>
      <c r="D683" s="2"/>
      <c r="E683" s="2" t="str">
        <f>IFERROR(VLOOKUP(1*LEFT(C683,7),DF!$A$1:$F$9446,2,FALSE),"")</f>
        <v>ZAPATO DAMA CUERO FLOR ART.265 RER</v>
      </c>
      <c r="F683" s="7">
        <v>8203265</v>
      </c>
      <c r="G683" t="s">
        <v>13781</v>
      </c>
      <c r="H683">
        <v>8</v>
      </c>
      <c r="I683">
        <v>1</v>
      </c>
    </row>
    <row r="684" spans="1:9" x14ac:dyDescent="0.25">
      <c r="A684" s="2">
        <v>16522</v>
      </c>
      <c r="B684" s="2" t="s">
        <v>4</v>
      </c>
      <c r="C684" s="2" t="str">
        <f t="shared" si="12"/>
        <v>8203830##</v>
      </c>
      <c r="D684" s="2"/>
      <c r="E684" s="2" t="str">
        <f>IFERROR(VLOOKUP(1*LEFT(C684,7),DF!$A$1:$F$9446,2,FALSE),"")</f>
        <v>ZAPATO GOMA ELE</v>
      </c>
      <c r="F684" s="7">
        <v>8203830</v>
      </c>
      <c r="G684" s="9" t="s">
        <v>13782</v>
      </c>
      <c r="H684">
        <v>3</v>
      </c>
      <c r="I684">
        <v>1</v>
      </c>
    </row>
    <row r="686" spans="1:9" x14ac:dyDescent="0.25">
      <c r="E686" t="s">
        <v>14323</v>
      </c>
    </row>
  </sheetData>
  <autoFilter ref="A1:J1">
    <sortState ref="A2:J687">
      <sortCondition ref="E1"/>
    </sortState>
  </autoFilter>
  <hyperlinks>
    <hyperlink ref="G684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12197</v>
      </c>
    </row>
    <row r="10" spans="1:2" x14ac:dyDescent="0.25">
      <c r="B10" s="9"/>
    </row>
    <row r="11" spans="1:2" x14ac:dyDescent="0.25">
      <c r="A11" s="1" t="s">
        <v>6975</v>
      </c>
      <c r="B11" t="s">
        <v>12300</v>
      </c>
    </row>
    <row r="12" spans="1:2" x14ac:dyDescent="0.25">
      <c r="A12" s="5" t="s">
        <v>6976</v>
      </c>
      <c r="B12" t="s">
        <v>12299</v>
      </c>
    </row>
    <row r="14" spans="1:2" x14ac:dyDescent="0.25">
      <c r="B14" t="s">
        <v>12298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0"/>
  <sheetViews>
    <sheetView topLeftCell="A4534" workbookViewId="0">
      <selection activeCell="A4559" sqref="A4559:B456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12205</v>
      </c>
      <c r="B1" s="25" t="s">
        <v>12206</v>
      </c>
    </row>
    <row r="2" spans="1:2" x14ac:dyDescent="0.25">
      <c r="A2" s="28">
        <v>8520745</v>
      </c>
      <c r="B2" s="27"/>
    </row>
    <row r="3" spans="1:2" x14ac:dyDescent="0.25">
      <c r="A3" s="26" t="s">
        <v>12451</v>
      </c>
      <c r="B3" s="26" t="s">
        <v>12452</v>
      </c>
    </row>
    <row r="4" spans="1:2" x14ac:dyDescent="0.25">
      <c r="A4" s="26" t="s">
        <v>12453</v>
      </c>
      <c r="B4" s="27"/>
    </row>
    <row r="5" spans="1:2" x14ac:dyDescent="0.25">
      <c r="A5" s="26" t="s">
        <v>12454</v>
      </c>
      <c r="B5" s="27"/>
    </row>
    <row r="6" spans="1:2" x14ac:dyDescent="0.25">
      <c r="A6" s="26" t="s">
        <v>12455</v>
      </c>
      <c r="B6" s="27"/>
    </row>
    <row r="7" spans="1:2" x14ac:dyDescent="0.25">
      <c r="A7" s="26" t="s">
        <v>12456</v>
      </c>
      <c r="B7" s="27"/>
    </row>
    <row r="8" spans="1:2" x14ac:dyDescent="0.25">
      <c r="A8" s="26" t="s">
        <v>12457</v>
      </c>
      <c r="B8" s="27"/>
    </row>
    <row r="9" spans="1:2" x14ac:dyDescent="0.25">
      <c r="A9" s="26" t="s">
        <v>12458</v>
      </c>
      <c r="B9" s="27"/>
    </row>
    <row r="10" spans="1:2" x14ac:dyDescent="0.25">
      <c r="A10" s="26" t="s">
        <v>12459</v>
      </c>
      <c r="B10" s="27"/>
    </row>
    <row r="11" spans="1:2" x14ac:dyDescent="0.25">
      <c r="A11" s="26" t="s">
        <v>12460</v>
      </c>
      <c r="B11" s="27"/>
    </row>
    <row r="12" spans="1:2" x14ac:dyDescent="0.25">
      <c r="A12" s="26" t="s">
        <v>12461</v>
      </c>
      <c r="B12" s="27"/>
    </row>
    <row r="13" spans="1:2" x14ac:dyDescent="0.25">
      <c r="A13" s="26" t="s">
        <v>12462</v>
      </c>
      <c r="B13" s="27"/>
    </row>
    <row r="14" spans="1:2" x14ac:dyDescent="0.25">
      <c r="A14" s="26" t="s">
        <v>12463</v>
      </c>
      <c r="B14" s="26" t="s">
        <v>12464</v>
      </c>
    </row>
    <row r="15" spans="1:2" x14ac:dyDescent="0.25">
      <c r="A15" s="26" t="s">
        <v>12465</v>
      </c>
      <c r="B15" s="27"/>
    </row>
    <row r="16" spans="1:2" x14ac:dyDescent="0.25">
      <c r="A16" s="26" t="s">
        <v>12466</v>
      </c>
      <c r="B16" s="27"/>
    </row>
    <row r="17" spans="1:2" x14ac:dyDescent="0.25">
      <c r="A17" s="26" t="s">
        <v>12467</v>
      </c>
      <c r="B17" s="27"/>
    </row>
    <row r="18" spans="1:2" x14ac:dyDescent="0.25">
      <c r="A18" s="26" t="s">
        <v>12468</v>
      </c>
      <c r="B18" s="27"/>
    </row>
    <row r="19" spans="1:2" x14ac:dyDescent="0.25">
      <c r="A19" s="26" t="s">
        <v>12469</v>
      </c>
      <c r="B19" s="27"/>
    </row>
    <row r="20" spans="1:2" x14ac:dyDescent="0.25">
      <c r="A20" s="26" t="s">
        <v>12470</v>
      </c>
      <c r="B20" s="27"/>
    </row>
    <row r="21" spans="1:2" x14ac:dyDescent="0.25">
      <c r="A21" s="26" t="s">
        <v>12471</v>
      </c>
      <c r="B21" s="26" t="s">
        <v>12472</v>
      </c>
    </row>
    <row r="22" spans="1:2" x14ac:dyDescent="0.25">
      <c r="A22" s="26" t="s">
        <v>12473</v>
      </c>
      <c r="B22" s="27"/>
    </row>
    <row r="23" spans="1:2" x14ac:dyDescent="0.25">
      <c r="A23" s="28">
        <v>120</v>
      </c>
      <c r="B23" s="26" t="s">
        <v>12474</v>
      </c>
    </row>
    <row r="24" spans="1:2" x14ac:dyDescent="0.25">
      <c r="A24" s="28">
        <v>123</v>
      </c>
      <c r="B24" s="26" t="s">
        <v>12475</v>
      </c>
    </row>
    <row r="25" spans="1:2" x14ac:dyDescent="0.25">
      <c r="A25" s="28">
        <v>124</v>
      </c>
      <c r="B25" s="26" t="s">
        <v>12476</v>
      </c>
    </row>
    <row r="26" spans="1:2" x14ac:dyDescent="0.25">
      <c r="A26" s="28">
        <v>126</v>
      </c>
      <c r="B26" s="26" t="s">
        <v>12477</v>
      </c>
    </row>
    <row r="27" spans="1:2" x14ac:dyDescent="0.25">
      <c r="A27" s="28">
        <v>127</v>
      </c>
      <c r="B27" s="26" t="s">
        <v>12478</v>
      </c>
    </row>
    <row r="28" spans="1:2" x14ac:dyDescent="0.25">
      <c r="A28" s="28">
        <v>128</v>
      </c>
      <c r="B28" s="26" t="s">
        <v>12479</v>
      </c>
    </row>
    <row r="29" spans="1:2" x14ac:dyDescent="0.25">
      <c r="A29" s="28">
        <v>129</v>
      </c>
      <c r="B29" s="26" t="s">
        <v>12480</v>
      </c>
    </row>
    <row r="30" spans="1:2" x14ac:dyDescent="0.25">
      <c r="A30" s="28">
        <v>1</v>
      </c>
      <c r="B30" s="26" t="s">
        <v>12481</v>
      </c>
    </row>
    <row r="31" spans="1:2" x14ac:dyDescent="0.25">
      <c r="A31" s="28">
        <v>1</v>
      </c>
      <c r="B31" s="26" t="s">
        <v>12482</v>
      </c>
    </row>
    <row r="32" spans="1:2" x14ac:dyDescent="0.25">
      <c r="A32" s="28">
        <v>10</v>
      </c>
      <c r="B32" s="26" t="s">
        <v>12483</v>
      </c>
    </row>
    <row r="33" spans="1:2" x14ac:dyDescent="0.25">
      <c r="A33" s="28">
        <v>1000040</v>
      </c>
      <c r="B33" s="26" t="s">
        <v>10891</v>
      </c>
    </row>
    <row r="34" spans="1:2" x14ac:dyDescent="0.25">
      <c r="A34" s="28">
        <v>1000195</v>
      </c>
      <c r="B34" s="26" t="s">
        <v>10892</v>
      </c>
    </row>
    <row r="35" spans="1:2" x14ac:dyDescent="0.25">
      <c r="A35" s="28">
        <v>1000198</v>
      </c>
      <c r="B35" s="26" t="s">
        <v>10893</v>
      </c>
    </row>
    <row r="36" spans="1:2" x14ac:dyDescent="0.25">
      <c r="A36" s="28">
        <v>1000256</v>
      </c>
      <c r="B36" s="26" t="s">
        <v>10894</v>
      </c>
    </row>
    <row r="37" spans="1:2" x14ac:dyDescent="0.25">
      <c r="A37" s="28">
        <v>1000257</v>
      </c>
      <c r="B37" s="26" t="s">
        <v>10895</v>
      </c>
    </row>
    <row r="38" spans="1:2" x14ac:dyDescent="0.25">
      <c r="A38" s="28">
        <v>1000798</v>
      </c>
      <c r="B38" s="26" t="s">
        <v>10027</v>
      </c>
    </row>
    <row r="39" spans="1:2" x14ac:dyDescent="0.25">
      <c r="A39" s="28">
        <v>1000799</v>
      </c>
      <c r="B39" s="26" t="s">
        <v>8393</v>
      </c>
    </row>
    <row r="40" spans="1:2" x14ac:dyDescent="0.25">
      <c r="A40" s="28">
        <v>1000800</v>
      </c>
      <c r="B40" s="26" t="s">
        <v>10896</v>
      </c>
    </row>
    <row r="41" spans="1:2" x14ac:dyDescent="0.25">
      <c r="A41" s="28">
        <v>1000802</v>
      </c>
      <c r="B41" s="26" t="s">
        <v>8390</v>
      </c>
    </row>
    <row r="42" spans="1:2" x14ac:dyDescent="0.25">
      <c r="A42" s="28">
        <v>1000803</v>
      </c>
      <c r="B42" s="26" t="s">
        <v>8392</v>
      </c>
    </row>
    <row r="43" spans="1:2" x14ac:dyDescent="0.25">
      <c r="A43" s="28">
        <v>1000808</v>
      </c>
      <c r="B43" s="26" t="s">
        <v>8394</v>
      </c>
    </row>
    <row r="44" spans="1:2" x14ac:dyDescent="0.25">
      <c r="A44" s="28">
        <v>1000809</v>
      </c>
      <c r="B44" s="26" t="s">
        <v>8389</v>
      </c>
    </row>
    <row r="45" spans="1:2" x14ac:dyDescent="0.25">
      <c r="A45" s="28">
        <v>1000810</v>
      </c>
      <c r="B45" s="26" t="s">
        <v>8395</v>
      </c>
    </row>
    <row r="46" spans="1:2" x14ac:dyDescent="0.25">
      <c r="A46" s="28">
        <v>1000811</v>
      </c>
      <c r="B46" s="26" t="s">
        <v>8391</v>
      </c>
    </row>
    <row r="47" spans="1:2" x14ac:dyDescent="0.25">
      <c r="A47" s="28">
        <v>1000812</v>
      </c>
      <c r="B47" s="26" t="s">
        <v>12207</v>
      </c>
    </row>
    <row r="48" spans="1:2" x14ac:dyDescent="0.25">
      <c r="A48" s="28">
        <v>1000950</v>
      </c>
      <c r="B48" s="26" t="s">
        <v>10897</v>
      </c>
    </row>
    <row r="49" spans="1:2" x14ac:dyDescent="0.25">
      <c r="A49" s="28">
        <v>1000960</v>
      </c>
      <c r="B49" s="26" t="s">
        <v>10898</v>
      </c>
    </row>
    <row r="50" spans="1:2" x14ac:dyDescent="0.25">
      <c r="A50" s="28">
        <v>1000970</v>
      </c>
      <c r="B50" s="26" t="s">
        <v>10899</v>
      </c>
    </row>
    <row r="51" spans="1:2" x14ac:dyDescent="0.25">
      <c r="A51" s="28">
        <v>1000984</v>
      </c>
      <c r="B51" s="26" t="s">
        <v>10900</v>
      </c>
    </row>
    <row r="52" spans="1:2" x14ac:dyDescent="0.25">
      <c r="A52" s="28">
        <v>1000985</v>
      </c>
      <c r="B52" s="26" t="s">
        <v>10901</v>
      </c>
    </row>
    <row r="53" spans="1:2" x14ac:dyDescent="0.25">
      <c r="A53" s="28">
        <v>1000988</v>
      </c>
      <c r="B53" s="26" t="s">
        <v>10902</v>
      </c>
    </row>
    <row r="54" spans="1:2" x14ac:dyDescent="0.25">
      <c r="A54" s="26" t="s">
        <v>12484</v>
      </c>
      <c r="B54" s="27"/>
    </row>
    <row r="55" spans="1:2" x14ac:dyDescent="0.25">
      <c r="A55" s="26" t="s">
        <v>12485</v>
      </c>
      <c r="B55" s="27"/>
    </row>
    <row r="56" spans="1:2" x14ac:dyDescent="0.25">
      <c r="A56" s="26" t="s">
        <v>12486</v>
      </c>
      <c r="B56" s="26" t="s">
        <v>12487</v>
      </c>
    </row>
    <row r="57" spans="1:2" x14ac:dyDescent="0.25">
      <c r="A57" s="26" t="s">
        <v>12488</v>
      </c>
      <c r="B57" s="26" t="s">
        <v>12489</v>
      </c>
    </row>
    <row r="58" spans="1:2" x14ac:dyDescent="0.25">
      <c r="A58" s="26" t="s">
        <v>12490</v>
      </c>
      <c r="B58" s="26" t="s">
        <v>12491</v>
      </c>
    </row>
    <row r="59" spans="1:2" x14ac:dyDescent="0.25">
      <c r="A59" s="26" t="s">
        <v>12492</v>
      </c>
      <c r="B59" s="27"/>
    </row>
    <row r="60" spans="1:2" x14ac:dyDescent="0.25">
      <c r="A60" s="26" t="s">
        <v>12493</v>
      </c>
      <c r="B60" s="26" t="s">
        <v>12494</v>
      </c>
    </row>
    <row r="61" spans="1:2" x14ac:dyDescent="0.25">
      <c r="A61" s="26" t="s">
        <v>12495</v>
      </c>
      <c r="B61" s="27"/>
    </row>
    <row r="62" spans="1:2" x14ac:dyDescent="0.25">
      <c r="A62" s="26" t="s">
        <v>12496</v>
      </c>
      <c r="B62" s="27"/>
    </row>
    <row r="63" spans="1:2" x14ac:dyDescent="0.25">
      <c r="A63" s="26" t="s">
        <v>12497</v>
      </c>
      <c r="B63" s="26" t="s">
        <v>12498</v>
      </c>
    </row>
    <row r="64" spans="1:2" x14ac:dyDescent="0.25">
      <c r="A64" s="28">
        <v>1120001</v>
      </c>
      <c r="B64" s="26" t="s">
        <v>8667</v>
      </c>
    </row>
    <row r="65" spans="1:2" x14ac:dyDescent="0.25">
      <c r="A65" s="28">
        <v>1120002</v>
      </c>
      <c r="B65" s="26" t="s">
        <v>8668</v>
      </c>
    </row>
    <row r="66" spans="1:2" x14ac:dyDescent="0.25">
      <c r="A66" s="28">
        <v>1120003</v>
      </c>
      <c r="B66" s="26" t="s">
        <v>8487</v>
      </c>
    </row>
    <row r="67" spans="1:2" x14ac:dyDescent="0.25">
      <c r="A67" s="28">
        <v>1120004</v>
      </c>
      <c r="B67" s="26" t="s">
        <v>8488</v>
      </c>
    </row>
    <row r="68" spans="1:2" x14ac:dyDescent="0.25">
      <c r="A68" s="28">
        <v>1120005</v>
      </c>
      <c r="B68" s="26" t="s">
        <v>8489</v>
      </c>
    </row>
    <row r="69" spans="1:2" x14ac:dyDescent="0.25">
      <c r="A69" s="28">
        <v>1120006</v>
      </c>
      <c r="B69" s="26" t="s">
        <v>8490</v>
      </c>
    </row>
    <row r="70" spans="1:2" x14ac:dyDescent="0.25">
      <c r="A70" s="28">
        <v>1120007</v>
      </c>
      <c r="B70" s="26" t="s">
        <v>8669</v>
      </c>
    </row>
    <row r="71" spans="1:2" x14ac:dyDescent="0.25">
      <c r="A71" s="28">
        <v>1120008</v>
      </c>
      <c r="B71" s="26" t="s">
        <v>8670</v>
      </c>
    </row>
    <row r="72" spans="1:2" x14ac:dyDescent="0.25">
      <c r="A72" s="28">
        <v>1120010</v>
      </c>
      <c r="B72" s="26" t="s">
        <v>10903</v>
      </c>
    </row>
    <row r="73" spans="1:2" x14ac:dyDescent="0.25">
      <c r="A73" s="28">
        <v>1120011</v>
      </c>
      <c r="B73" s="26" t="s">
        <v>8555</v>
      </c>
    </row>
    <row r="74" spans="1:2" x14ac:dyDescent="0.25">
      <c r="A74" s="28">
        <v>1120012</v>
      </c>
      <c r="B74" s="26" t="s">
        <v>8556</v>
      </c>
    </row>
    <row r="75" spans="1:2" x14ac:dyDescent="0.25">
      <c r="A75" s="28">
        <v>1120013</v>
      </c>
      <c r="B75" s="26" t="s">
        <v>8491</v>
      </c>
    </row>
    <row r="76" spans="1:2" x14ac:dyDescent="0.25">
      <c r="A76" s="28">
        <v>1120017</v>
      </c>
      <c r="B76" s="26" t="s">
        <v>10904</v>
      </c>
    </row>
    <row r="77" spans="1:2" x14ac:dyDescent="0.25">
      <c r="A77" s="28">
        <v>1120020</v>
      </c>
      <c r="B77" s="26" t="s">
        <v>10905</v>
      </c>
    </row>
    <row r="78" spans="1:2" x14ac:dyDescent="0.25">
      <c r="A78" s="28">
        <v>1120021</v>
      </c>
      <c r="B78" s="26" t="s">
        <v>13194</v>
      </c>
    </row>
    <row r="79" spans="1:2" x14ac:dyDescent="0.25">
      <c r="A79" s="28">
        <v>1120024</v>
      </c>
      <c r="B79" s="26" t="s">
        <v>10906</v>
      </c>
    </row>
    <row r="80" spans="1:2" x14ac:dyDescent="0.25">
      <c r="A80" s="28">
        <v>1120025</v>
      </c>
      <c r="B80" s="26" t="s">
        <v>10907</v>
      </c>
    </row>
    <row r="81" spans="1:2" x14ac:dyDescent="0.25">
      <c r="A81" s="28">
        <v>1120030</v>
      </c>
      <c r="B81" s="26" t="s">
        <v>8677</v>
      </c>
    </row>
    <row r="82" spans="1:2" x14ac:dyDescent="0.25">
      <c r="A82" s="28">
        <v>1120031</v>
      </c>
      <c r="B82" s="26" t="s">
        <v>10908</v>
      </c>
    </row>
    <row r="83" spans="1:2" x14ac:dyDescent="0.25">
      <c r="A83" s="28">
        <v>1120032</v>
      </c>
      <c r="B83" s="26" t="s">
        <v>10909</v>
      </c>
    </row>
    <row r="84" spans="1:2" x14ac:dyDescent="0.25">
      <c r="A84" s="28">
        <v>1120050</v>
      </c>
      <c r="B84" s="26" t="s">
        <v>8743</v>
      </c>
    </row>
    <row r="85" spans="1:2" x14ac:dyDescent="0.25">
      <c r="A85" s="28">
        <v>1120051</v>
      </c>
      <c r="B85" s="26" t="s">
        <v>8744</v>
      </c>
    </row>
    <row r="86" spans="1:2" x14ac:dyDescent="0.25">
      <c r="A86" s="28">
        <v>1120052</v>
      </c>
      <c r="B86" s="26" t="s">
        <v>8745</v>
      </c>
    </row>
    <row r="87" spans="1:2" x14ac:dyDescent="0.25">
      <c r="A87" s="28">
        <v>1120053</v>
      </c>
      <c r="B87" s="26" t="s">
        <v>8746</v>
      </c>
    </row>
    <row r="88" spans="1:2" x14ac:dyDescent="0.25">
      <c r="A88" s="28">
        <v>1120055</v>
      </c>
      <c r="B88" s="26" t="s">
        <v>8714</v>
      </c>
    </row>
    <row r="89" spans="1:2" x14ac:dyDescent="0.25">
      <c r="A89" s="28">
        <v>1120056</v>
      </c>
      <c r="B89" s="26" t="s">
        <v>8715</v>
      </c>
    </row>
    <row r="90" spans="1:2" x14ac:dyDescent="0.25">
      <c r="A90" s="28">
        <v>1120057</v>
      </c>
      <c r="B90" s="26" t="s">
        <v>8716</v>
      </c>
    </row>
    <row r="91" spans="1:2" x14ac:dyDescent="0.25">
      <c r="A91" s="28">
        <v>1120058</v>
      </c>
      <c r="B91" s="26" t="s">
        <v>8717</v>
      </c>
    </row>
    <row r="92" spans="1:2" x14ac:dyDescent="0.25">
      <c r="A92" s="28">
        <v>1120060</v>
      </c>
      <c r="B92" s="26" t="s">
        <v>8723</v>
      </c>
    </row>
    <row r="93" spans="1:2" x14ac:dyDescent="0.25">
      <c r="A93" s="28">
        <v>1120061</v>
      </c>
      <c r="B93" s="26" t="s">
        <v>8724</v>
      </c>
    </row>
    <row r="94" spans="1:2" x14ac:dyDescent="0.25">
      <c r="A94" s="28">
        <v>1120062</v>
      </c>
      <c r="B94" s="26" t="s">
        <v>8725</v>
      </c>
    </row>
    <row r="95" spans="1:2" x14ac:dyDescent="0.25">
      <c r="A95" s="28">
        <v>1120063</v>
      </c>
      <c r="B95" s="26" t="s">
        <v>8726</v>
      </c>
    </row>
    <row r="96" spans="1:2" x14ac:dyDescent="0.25">
      <c r="A96" s="28">
        <v>1120064</v>
      </c>
      <c r="B96" s="26" t="s">
        <v>10910</v>
      </c>
    </row>
    <row r="97" spans="1:2" x14ac:dyDescent="0.25">
      <c r="A97" s="28">
        <v>1120065</v>
      </c>
      <c r="B97" s="26" t="s">
        <v>10911</v>
      </c>
    </row>
    <row r="98" spans="1:2" x14ac:dyDescent="0.25">
      <c r="A98" s="28">
        <v>1120066</v>
      </c>
      <c r="B98" s="26" t="s">
        <v>10912</v>
      </c>
    </row>
    <row r="99" spans="1:2" x14ac:dyDescent="0.25">
      <c r="A99" s="28">
        <v>1120067</v>
      </c>
      <c r="B99" s="26" t="s">
        <v>10913</v>
      </c>
    </row>
    <row r="100" spans="1:2" x14ac:dyDescent="0.25">
      <c r="A100" s="28">
        <v>1120068</v>
      </c>
      <c r="B100" s="26" t="s">
        <v>10914</v>
      </c>
    </row>
    <row r="101" spans="1:2" x14ac:dyDescent="0.25">
      <c r="A101" s="28">
        <v>1120069</v>
      </c>
      <c r="B101" s="26" t="s">
        <v>10915</v>
      </c>
    </row>
    <row r="102" spans="1:2" x14ac:dyDescent="0.25">
      <c r="A102" s="28">
        <v>1120070</v>
      </c>
      <c r="B102" s="26" t="s">
        <v>10916</v>
      </c>
    </row>
    <row r="103" spans="1:2" x14ac:dyDescent="0.25">
      <c r="A103" s="28">
        <v>1120071</v>
      </c>
      <c r="B103" s="26" t="s">
        <v>10917</v>
      </c>
    </row>
    <row r="104" spans="1:2" x14ac:dyDescent="0.25">
      <c r="A104" s="28">
        <v>1120072</v>
      </c>
      <c r="B104" s="26" t="s">
        <v>8739</v>
      </c>
    </row>
    <row r="105" spans="1:2" x14ac:dyDescent="0.25">
      <c r="A105" s="28">
        <v>1120073</v>
      </c>
      <c r="B105" s="26" t="s">
        <v>8740</v>
      </c>
    </row>
    <row r="106" spans="1:2" x14ac:dyDescent="0.25">
      <c r="A106" s="28">
        <v>1120074</v>
      </c>
      <c r="B106" s="26" t="s">
        <v>8741</v>
      </c>
    </row>
    <row r="107" spans="1:2" x14ac:dyDescent="0.25">
      <c r="A107" s="28">
        <v>1120075</v>
      </c>
      <c r="B107" s="26" t="s">
        <v>8742</v>
      </c>
    </row>
    <row r="108" spans="1:2" x14ac:dyDescent="0.25">
      <c r="A108" s="28">
        <v>1120076</v>
      </c>
      <c r="B108" s="26" t="s">
        <v>10918</v>
      </c>
    </row>
    <row r="109" spans="1:2" x14ac:dyDescent="0.25">
      <c r="A109" s="28">
        <v>1120077</v>
      </c>
      <c r="B109" s="26" t="s">
        <v>10919</v>
      </c>
    </row>
    <row r="110" spans="1:2" x14ac:dyDescent="0.25">
      <c r="A110" s="28">
        <v>1120078</v>
      </c>
      <c r="B110" s="26" t="s">
        <v>10920</v>
      </c>
    </row>
    <row r="111" spans="1:2" x14ac:dyDescent="0.25">
      <c r="A111" s="28">
        <v>1120079</v>
      </c>
      <c r="B111" s="26" t="s">
        <v>10921</v>
      </c>
    </row>
    <row r="112" spans="1:2" x14ac:dyDescent="0.25">
      <c r="A112" s="28">
        <v>1120106</v>
      </c>
      <c r="B112" s="26" t="s">
        <v>8496</v>
      </c>
    </row>
    <row r="113" spans="1:2" x14ac:dyDescent="0.25">
      <c r="A113" s="28">
        <v>1120107</v>
      </c>
      <c r="B113" s="26" t="s">
        <v>8497</v>
      </c>
    </row>
    <row r="114" spans="1:2" x14ac:dyDescent="0.25">
      <c r="A114" s="28">
        <v>1120110</v>
      </c>
      <c r="B114" s="26" t="s">
        <v>8498</v>
      </c>
    </row>
    <row r="115" spans="1:2" x14ac:dyDescent="0.25">
      <c r="A115" s="28">
        <v>1120111</v>
      </c>
      <c r="B115" s="26" t="s">
        <v>8499</v>
      </c>
    </row>
    <row r="116" spans="1:2" x14ac:dyDescent="0.25">
      <c r="A116" s="28">
        <v>1120112</v>
      </c>
      <c r="B116" s="26" t="s">
        <v>10922</v>
      </c>
    </row>
    <row r="117" spans="1:2" x14ac:dyDescent="0.25">
      <c r="A117" s="26" t="s">
        <v>12499</v>
      </c>
      <c r="B117" s="27"/>
    </row>
    <row r="118" spans="1:2" x14ac:dyDescent="0.25">
      <c r="A118" s="28">
        <v>1120125</v>
      </c>
      <c r="B118" s="26" t="s">
        <v>8549</v>
      </c>
    </row>
    <row r="119" spans="1:2" x14ac:dyDescent="0.25">
      <c r="A119" s="28">
        <v>1120126</v>
      </c>
      <c r="B119" s="26" t="s">
        <v>8550</v>
      </c>
    </row>
    <row r="120" spans="1:2" x14ac:dyDescent="0.25">
      <c r="A120" s="28">
        <v>1120130</v>
      </c>
      <c r="B120" s="26" t="s">
        <v>8580</v>
      </c>
    </row>
    <row r="121" spans="1:2" x14ac:dyDescent="0.25">
      <c r="A121" s="26" t="s">
        <v>12500</v>
      </c>
      <c r="B121" s="27"/>
    </row>
    <row r="122" spans="1:2" x14ac:dyDescent="0.25">
      <c r="A122" s="28">
        <v>1120131</v>
      </c>
      <c r="B122" s="26" t="s">
        <v>8581</v>
      </c>
    </row>
    <row r="123" spans="1:2" x14ac:dyDescent="0.25">
      <c r="A123" s="28">
        <v>1120132</v>
      </c>
      <c r="B123" s="26" t="s">
        <v>8582</v>
      </c>
    </row>
    <row r="124" spans="1:2" x14ac:dyDescent="0.25">
      <c r="A124" s="28">
        <v>1120133</v>
      </c>
      <c r="B124" s="26" t="s">
        <v>8583</v>
      </c>
    </row>
    <row r="125" spans="1:2" x14ac:dyDescent="0.25">
      <c r="A125" s="28">
        <v>1120136</v>
      </c>
      <c r="B125" s="26" t="s">
        <v>10923</v>
      </c>
    </row>
    <row r="126" spans="1:2" x14ac:dyDescent="0.25">
      <c r="A126" s="28">
        <v>1120140</v>
      </c>
      <c r="B126" s="26" t="s">
        <v>8570</v>
      </c>
    </row>
    <row r="127" spans="1:2" x14ac:dyDescent="0.25">
      <c r="A127" s="28">
        <v>1120141</v>
      </c>
      <c r="B127" s="26" t="s">
        <v>8678</v>
      </c>
    </row>
    <row r="128" spans="1:2" x14ac:dyDescent="0.25">
      <c r="A128" s="28">
        <v>1120142</v>
      </c>
      <c r="B128" s="26" t="s">
        <v>8679</v>
      </c>
    </row>
    <row r="129" spans="1:2" x14ac:dyDescent="0.25">
      <c r="A129" s="28">
        <v>1120143</v>
      </c>
      <c r="B129" s="26" t="s">
        <v>8680</v>
      </c>
    </row>
    <row r="130" spans="1:2" x14ac:dyDescent="0.25">
      <c r="A130" s="28">
        <v>1120144</v>
      </c>
      <c r="B130" s="26" t="s">
        <v>8681</v>
      </c>
    </row>
    <row r="131" spans="1:2" x14ac:dyDescent="0.25">
      <c r="A131" s="28">
        <v>1120147</v>
      </c>
      <c r="B131" s="26" t="s">
        <v>10924</v>
      </c>
    </row>
    <row r="132" spans="1:2" x14ac:dyDescent="0.25">
      <c r="A132" s="28">
        <v>1120148</v>
      </c>
      <c r="B132" s="26" t="s">
        <v>10925</v>
      </c>
    </row>
    <row r="133" spans="1:2" x14ac:dyDescent="0.25">
      <c r="A133" s="28">
        <v>1120149</v>
      </c>
      <c r="B133" s="26" t="s">
        <v>10926</v>
      </c>
    </row>
    <row r="134" spans="1:2" x14ac:dyDescent="0.25">
      <c r="A134" s="28">
        <v>1120150</v>
      </c>
      <c r="B134" s="26" t="s">
        <v>8571</v>
      </c>
    </row>
    <row r="135" spans="1:2" x14ac:dyDescent="0.25">
      <c r="A135" s="28">
        <v>1120151</v>
      </c>
      <c r="B135" s="26" t="s">
        <v>8775</v>
      </c>
    </row>
    <row r="136" spans="1:2" x14ac:dyDescent="0.25">
      <c r="A136" s="28">
        <v>1120152</v>
      </c>
      <c r="B136" s="26" t="s">
        <v>8776</v>
      </c>
    </row>
    <row r="137" spans="1:2" x14ac:dyDescent="0.25">
      <c r="A137" s="28">
        <v>1120153</v>
      </c>
      <c r="B137" s="26" t="s">
        <v>8777</v>
      </c>
    </row>
    <row r="138" spans="1:2" x14ac:dyDescent="0.25">
      <c r="A138" s="28">
        <v>1120160</v>
      </c>
      <c r="B138" s="26" t="s">
        <v>8572</v>
      </c>
    </row>
    <row r="139" spans="1:2" x14ac:dyDescent="0.25">
      <c r="A139" s="28">
        <v>1120165</v>
      </c>
      <c r="B139" s="26" t="s">
        <v>8512</v>
      </c>
    </row>
    <row r="140" spans="1:2" x14ac:dyDescent="0.25">
      <c r="A140" s="28">
        <v>1120166</v>
      </c>
      <c r="B140" s="26" t="s">
        <v>8513</v>
      </c>
    </row>
    <row r="141" spans="1:2" x14ac:dyDescent="0.25">
      <c r="A141" s="28">
        <v>1120167</v>
      </c>
      <c r="B141" s="26" t="s">
        <v>8514</v>
      </c>
    </row>
    <row r="142" spans="1:2" x14ac:dyDescent="0.25">
      <c r="A142" s="28">
        <v>1120168</v>
      </c>
      <c r="B142" s="26" t="s">
        <v>8515</v>
      </c>
    </row>
    <row r="143" spans="1:2" x14ac:dyDescent="0.25">
      <c r="A143" s="28">
        <v>1120170</v>
      </c>
      <c r="B143" s="26" t="s">
        <v>8574</v>
      </c>
    </row>
    <row r="144" spans="1:2" x14ac:dyDescent="0.25">
      <c r="A144" s="28">
        <v>1120173</v>
      </c>
      <c r="B144" s="26" t="s">
        <v>8778</v>
      </c>
    </row>
    <row r="145" spans="1:2" x14ac:dyDescent="0.25">
      <c r="A145" s="28">
        <v>1120174</v>
      </c>
      <c r="B145" s="26" t="s">
        <v>8779</v>
      </c>
    </row>
    <row r="146" spans="1:2" x14ac:dyDescent="0.25">
      <c r="A146" s="28">
        <v>1120175</v>
      </c>
      <c r="B146" s="26" t="s">
        <v>8573</v>
      </c>
    </row>
    <row r="147" spans="1:2" x14ac:dyDescent="0.25">
      <c r="A147" s="28">
        <v>1120176</v>
      </c>
      <c r="B147" s="26" t="s">
        <v>8780</v>
      </c>
    </row>
    <row r="148" spans="1:2" x14ac:dyDescent="0.25">
      <c r="A148" s="28">
        <v>1120177</v>
      </c>
      <c r="B148" s="26" t="s">
        <v>8781</v>
      </c>
    </row>
    <row r="149" spans="1:2" x14ac:dyDescent="0.25">
      <c r="A149" s="28">
        <v>1120180</v>
      </c>
      <c r="B149" s="26" t="s">
        <v>8575</v>
      </c>
    </row>
    <row r="150" spans="1:2" x14ac:dyDescent="0.25">
      <c r="A150" s="28">
        <v>1120182</v>
      </c>
      <c r="B150" s="26" t="s">
        <v>8596</v>
      </c>
    </row>
    <row r="151" spans="1:2" x14ac:dyDescent="0.25">
      <c r="A151" s="26" t="s">
        <v>12501</v>
      </c>
      <c r="B151" s="27"/>
    </row>
    <row r="152" spans="1:2" x14ac:dyDescent="0.25">
      <c r="A152" s="28">
        <v>1120183</v>
      </c>
      <c r="B152" s="26" t="s">
        <v>8597</v>
      </c>
    </row>
    <row r="153" spans="1:2" x14ac:dyDescent="0.25">
      <c r="A153" s="26" t="s">
        <v>12502</v>
      </c>
      <c r="B153" s="27"/>
    </row>
    <row r="154" spans="1:2" x14ac:dyDescent="0.25">
      <c r="A154" s="28">
        <v>1120184</v>
      </c>
      <c r="B154" s="26" t="s">
        <v>8598</v>
      </c>
    </row>
    <row r="155" spans="1:2" x14ac:dyDescent="0.25">
      <c r="A155" s="26" t="s">
        <v>12503</v>
      </c>
      <c r="B155" s="27"/>
    </row>
    <row r="156" spans="1:2" x14ac:dyDescent="0.25">
      <c r="A156" s="28">
        <v>1120185</v>
      </c>
      <c r="B156" s="26" t="s">
        <v>8599</v>
      </c>
    </row>
    <row r="157" spans="1:2" x14ac:dyDescent="0.25">
      <c r="A157" s="26" t="s">
        <v>13195</v>
      </c>
      <c r="B157" s="27"/>
    </row>
    <row r="158" spans="1:2" x14ac:dyDescent="0.25">
      <c r="A158" s="28">
        <v>1120188</v>
      </c>
      <c r="B158" s="26" t="s">
        <v>8700</v>
      </c>
    </row>
    <row r="159" spans="1:2" x14ac:dyDescent="0.25">
      <c r="A159" s="28">
        <v>1120190</v>
      </c>
      <c r="B159" s="26" t="s">
        <v>8576</v>
      </c>
    </row>
    <row r="160" spans="1:2" x14ac:dyDescent="0.25">
      <c r="A160" s="28">
        <v>1120191</v>
      </c>
      <c r="B160" s="26" t="s">
        <v>8727</v>
      </c>
    </row>
    <row r="161" spans="1:2" x14ac:dyDescent="0.25">
      <c r="A161" s="28">
        <v>1120192</v>
      </c>
      <c r="B161" s="26" t="s">
        <v>8728</v>
      </c>
    </row>
    <row r="162" spans="1:2" x14ac:dyDescent="0.25">
      <c r="A162" s="28">
        <v>1120193</v>
      </c>
      <c r="B162" s="26" t="s">
        <v>8729</v>
      </c>
    </row>
    <row r="163" spans="1:2" x14ac:dyDescent="0.25">
      <c r="A163" s="28">
        <v>1120194</v>
      </c>
      <c r="B163" s="26" t="s">
        <v>8730</v>
      </c>
    </row>
    <row r="164" spans="1:2" x14ac:dyDescent="0.25">
      <c r="A164" s="28">
        <v>1120195</v>
      </c>
      <c r="B164" s="26" t="s">
        <v>8577</v>
      </c>
    </row>
    <row r="165" spans="1:2" x14ac:dyDescent="0.25">
      <c r="A165" s="28">
        <v>1120196</v>
      </c>
      <c r="B165" s="26" t="s">
        <v>8698</v>
      </c>
    </row>
    <row r="166" spans="1:2" x14ac:dyDescent="0.25">
      <c r="A166" s="28">
        <v>1120197</v>
      </c>
      <c r="B166" s="26" t="s">
        <v>8699</v>
      </c>
    </row>
    <row r="167" spans="1:2" x14ac:dyDescent="0.25">
      <c r="A167" s="28">
        <v>1120199</v>
      </c>
      <c r="B167" s="26" t="s">
        <v>10927</v>
      </c>
    </row>
    <row r="168" spans="1:2" x14ac:dyDescent="0.25">
      <c r="A168" s="28">
        <v>1120200</v>
      </c>
      <c r="B168" s="26" t="s">
        <v>8701</v>
      </c>
    </row>
    <row r="169" spans="1:2" x14ac:dyDescent="0.25">
      <c r="A169" s="28">
        <v>1120201</v>
      </c>
      <c r="B169" s="26" t="s">
        <v>8702</v>
      </c>
    </row>
    <row r="170" spans="1:2" x14ac:dyDescent="0.25">
      <c r="A170" s="28">
        <v>1120202</v>
      </c>
      <c r="B170" s="26" t="s">
        <v>8703</v>
      </c>
    </row>
    <row r="171" spans="1:2" x14ac:dyDescent="0.25">
      <c r="A171" s="28">
        <v>1120203</v>
      </c>
      <c r="B171" s="26" t="s">
        <v>8704</v>
      </c>
    </row>
    <row r="172" spans="1:2" x14ac:dyDescent="0.25">
      <c r="A172" s="28">
        <v>1120204</v>
      </c>
      <c r="B172" s="26" t="s">
        <v>8705</v>
      </c>
    </row>
    <row r="173" spans="1:2" x14ac:dyDescent="0.25">
      <c r="A173" s="26" t="s">
        <v>12504</v>
      </c>
      <c r="B173" s="27"/>
    </row>
    <row r="174" spans="1:2" x14ac:dyDescent="0.25">
      <c r="A174" s="28">
        <v>1120206</v>
      </c>
      <c r="B174" s="26" t="s">
        <v>8500</v>
      </c>
    </row>
    <row r="175" spans="1:2" x14ac:dyDescent="0.25">
      <c r="A175" s="28">
        <v>1120207</v>
      </c>
      <c r="B175" s="26" t="s">
        <v>8501</v>
      </c>
    </row>
    <row r="176" spans="1:2" x14ac:dyDescent="0.25">
      <c r="A176" s="28">
        <v>1120208</v>
      </c>
      <c r="B176" s="26" t="s">
        <v>8502</v>
      </c>
    </row>
    <row r="177" spans="1:2" x14ac:dyDescent="0.25">
      <c r="A177" s="28">
        <v>1120209</v>
      </c>
      <c r="B177" s="26" t="s">
        <v>8503</v>
      </c>
    </row>
    <row r="178" spans="1:2" x14ac:dyDescent="0.25">
      <c r="A178" s="28">
        <v>1120210</v>
      </c>
      <c r="B178" s="26" t="s">
        <v>10928</v>
      </c>
    </row>
    <row r="179" spans="1:2" x14ac:dyDescent="0.25">
      <c r="A179" s="28">
        <v>1120211</v>
      </c>
      <c r="B179" s="26" t="s">
        <v>10929</v>
      </c>
    </row>
    <row r="180" spans="1:2" x14ac:dyDescent="0.25">
      <c r="A180" s="28">
        <v>1120212</v>
      </c>
      <c r="B180" s="26" t="s">
        <v>10930</v>
      </c>
    </row>
    <row r="181" spans="1:2" x14ac:dyDescent="0.25">
      <c r="A181" s="28">
        <v>1120213</v>
      </c>
      <c r="B181" s="26" t="s">
        <v>10931</v>
      </c>
    </row>
    <row r="182" spans="1:2" x14ac:dyDescent="0.25">
      <c r="A182" s="28">
        <v>1120214</v>
      </c>
      <c r="B182" s="26" t="s">
        <v>8718</v>
      </c>
    </row>
    <row r="183" spans="1:2" x14ac:dyDescent="0.25">
      <c r="A183" s="28">
        <v>1120215</v>
      </c>
      <c r="B183" s="26" t="s">
        <v>8719</v>
      </c>
    </row>
    <row r="184" spans="1:2" x14ac:dyDescent="0.25">
      <c r="A184" s="28">
        <v>1120216</v>
      </c>
      <c r="B184" s="26" t="s">
        <v>8720</v>
      </c>
    </row>
    <row r="185" spans="1:2" x14ac:dyDescent="0.25">
      <c r="A185" s="28">
        <v>1120217</v>
      </c>
      <c r="B185" s="26" t="s">
        <v>8721</v>
      </c>
    </row>
    <row r="186" spans="1:2" x14ac:dyDescent="0.25">
      <c r="A186" s="28">
        <v>1120220</v>
      </c>
      <c r="B186" s="26" t="s">
        <v>10932</v>
      </c>
    </row>
    <row r="187" spans="1:2" x14ac:dyDescent="0.25">
      <c r="A187" s="28">
        <v>1120221</v>
      </c>
      <c r="B187" s="26" t="s">
        <v>10933</v>
      </c>
    </row>
    <row r="188" spans="1:2" x14ac:dyDescent="0.25">
      <c r="A188" s="28">
        <v>1120222</v>
      </c>
      <c r="B188" s="26" t="s">
        <v>10934</v>
      </c>
    </row>
    <row r="189" spans="1:2" x14ac:dyDescent="0.25">
      <c r="A189" s="28">
        <v>1120223</v>
      </c>
      <c r="B189" s="26" t="s">
        <v>10935</v>
      </c>
    </row>
    <row r="190" spans="1:2" x14ac:dyDescent="0.25">
      <c r="A190" s="28">
        <v>1120224</v>
      </c>
      <c r="B190" s="26" t="s">
        <v>8594</v>
      </c>
    </row>
    <row r="191" spans="1:2" x14ac:dyDescent="0.25">
      <c r="A191" s="28">
        <v>1120225</v>
      </c>
      <c r="B191" s="26" t="s">
        <v>8595</v>
      </c>
    </row>
    <row r="192" spans="1:2" x14ac:dyDescent="0.25">
      <c r="A192" s="28">
        <v>1120230</v>
      </c>
      <c r="B192" s="26" t="s">
        <v>10361</v>
      </c>
    </row>
    <row r="193" spans="1:2" x14ac:dyDescent="0.25">
      <c r="A193" s="28">
        <v>1120231</v>
      </c>
      <c r="B193" s="26" t="s">
        <v>10362</v>
      </c>
    </row>
    <row r="194" spans="1:2" x14ac:dyDescent="0.25">
      <c r="A194" s="28">
        <v>1120232</v>
      </c>
      <c r="B194" s="26" t="s">
        <v>10363</v>
      </c>
    </row>
    <row r="195" spans="1:2" x14ac:dyDescent="0.25">
      <c r="A195" s="28">
        <v>1120233</v>
      </c>
      <c r="B195" s="26" t="s">
        <v>8731</v>
      </c>
    </row>
    <row r="196" spans="1:2" x14ac:dyDescent="0.25">
      <c r="A196" s="28">
        <v>1120234</v>
      </c>
      <c r="B196" s="26" t="s">
        <v>8732</v>
      </c>
    </row>
    <row r="197" spans="1:2" x14ac:dyDescent="0.25">
      <c r="A197" s="28">
        <v>1120235</v>
      </c>
      <c r="B197" s="26" t="s">
        <v>8733</v>
      </c>
    </row>
    <row r="198" spans="1:2" x14ac:dyDescent="0.25">
      <c r="A198" s="28">
        <v>1120236</v>
      </c>
      <c r="B198" s="26" t="s">
        <v>8734</v>
      </c>
    </row>
    <row r="199" spans="1:2" x14ac:dyDescent="0.25">
      <c r="A199" s="28">
        <v>1120238</v>
      </c>
      <c r="B199" s="26" t="s">
        <v>10372</v>
      </c>
    </row>
    <row r="200" spans="1:2" x14ac:dyDescent="0.25">
      <c r="A200" s="28">
        <v>1120239</v>
      </c>
      <c r="B200" s="26" t="s">
        <v>10936</v>
      </c>
    </row>
    <row r="201" spans="1:2" x14ac:dyDescent="0.25">
      <c r="A201" s="28">
        <v>1120240</v>
      </c>
      <c r="B201" s="26" t="s">
        <v>10937</v>
      </c>
    </row>
    <row r="202" spans="1:2" x14ac:dyDescent="0.25">
      <c r="A202" s="28">
        <v>1120241</v>
      </c>
      <c r="B202" s="26" t="s">
        <v>8561</v>
      </c>
    </row>
    <row r="203" spans="1:2" x14ac:dyDescent="0.25">
      <c r="A203" s="28">
        <v>1120242</v>
      </c>
      <c r="B203" s="26" t="s">
        <v>8562</v>
      </c>
    </row>
    <row r="204" spans="1:2" x14ac:dyDescent="0.25">
      <c r="A204" s="28">
        <v>1120243</v>
      </c>
      <c r="B204" s="26" t="s">
        <v>8563</v>
      </c>
    </row>
    <row r="205" spans="1:2" x14ac:dyDescent="0.25">
      <c r="A205" s="28">
        <v>1120246</v>
      </c>
      <c r="B205" s="26" t="s">
        <v>8552</v>
      </c>
    </row>
    <row r="206" spans="1:2" x14ac:dyDescent="0.25">
      <c r="A206" s="26" t="s">
        <v>12505</v>
      </c>
      <c r="B206" s="26" t="s">
        <v>12506</v>
      </c>
    </row>
    <row r="207" spans="1:2" x14ac:dyDescent="0.25">
      <c r="A207" s="28">
        <v>1120247</v>
      </c>
      <c r="B207" s="26" t="s">
        <v>8553</v>
      </c>
    </row>
    <row r="208" spans="1:2" x14ac:dyDescent="0.25">
      <c r="A208" s="26" t="s">
        <v>12507</v>
      </c>
      <c r="B208" s="26" t="s">
        <v>12508</v>
      </c>
    </row>
    <row r="209" spans="1:2" x14ac:dyDescent="0.25">
      <c r="A209" s="28">
        <v>1120248</v>
      </c>
      <c r="B209" s="26" t="s">
        <v>8554</v>
      </c>
    </row>
    <row r="210" spans="1:2" x14ac:dyDescent="0.25">
      <c r="A210" s="28">
        <v>1120250</v>
      </c>
      <c r="B210" s="26" t="s">
        <v>10938</v>
      </c>
    </row>
    <row r="211" spans="1:2" x14ac:dyDescent="0.25">
      <c r="A211" s="28">
        <v>1120251</v>
      </c>
      <c r="B211" s="26" t="s">
        <v>10939</v>
      </c>
    </row>
    <row r="212" spans="1:2" x14ac:dyDescent="0.25">
      <c r="A212" s="28">
        <v>1120263</v>
      </c>
      <c r="B212" s="26" t="s">
        <v>8690</v>
      </c>
    </row>
    <row r="213" spans="1:2" x14ac:dyDescent="0.25">
      <c r="A213" s="28">
        <v>1120264</v>
      </c>
      <c r="B213" s="26" t="s">
        <v>8691</v>
      </c>
    </row>
    <row r="214" spans="1:2" x14ac:dyDescent="0.25">
      <c r="A214" s="28">
        <v>1120265</v>
      </c>
      <c r="B214" s="26" t="s">
        <v>8692</v>
      </c>
    </row>
    <row r="215" spans="1:2" x14ac:dyDescent="0.25">
      <c r="A215" s="28">
        <v>1120266</v>
      </c>
      <c r="B215" s="26" t="s">
        <v>8693</v>
      </c>
    </row>
    <row r="216" spans="1:2" x14ac:dyDescent="0.25">
      <c r="A216" s="28">
        <v>1120267</v>
      </c>
      <c r="B216" s="26" t="s">
        <v>8682</v>
      </c>
    </row>
    <row r="217" spans="1:2" x14ac:dyDescent="0.25">
      <c r="A217" s="28">
        <v>1120268</v>
      </c>
      <c r="B217" s="26" t="s">
        <v>8683</v>
      </c>
    </row>
    <row r="218" spans="1:2" x14ac:dyDescent="0.25">
      <c r="A218" s="28">
        <v>1120269</v>
      </c>
      <c r="B218" s="26" t="s">
        <v>8684</v>
      </c>
    </row>
    <row r="219" spans="1:2" x14ac:dyDescent="0.25">
      <c r="A219" s="28">
        <v>1120270</v>
      </c>
      <c r="B219" s="26" t="s">
        <v>8685</v>
      </c>
    </row>
    <row r="220" spans="1:2" x14ac:dyDescent="0.25">
      <c r="A220" s="28">
        <v>1120271</v>
      </c>
      <c r="B220" s="26" t="s">
        <v>8694</v>
      </c>
    </row>
    <row r="221" spans="1:2" x14ac:dyDescent="0.25">
      <c r="A221" s="28">
        <v>1120272</v>
      </c>
      <c r="B221" s="26" t="s">
        <v>8695</v>
      </c>
    </row>
    <row r="222" spans="1:2" x14ac:dyDescent="0.25">
      <c r="A222" s="28">
        <v>1120273</v>
      </c>
      <c r="B222" s="26" t="s">
        <v>8696</v>
      </c>
    </row>
    <row r="223" spans="1:2" x14ac:dyDescent="0.25">
      <c r="A223" s="28">
        <v>1120274</v>
      </c>
      <c r="B223" s="26" t="s">
        <v>8697</v>
      </c>
    </row>
    <row r="224" spans="1:2" x14ac:dyDescent="0.25">
      <c r="A224" s="28">
        <v>1120275</v>
      </c>
      <c r="B224" s="26" t="s">
        <v>8686</v>
      </c>
    </row>
    <row r="225" spans="1:2" x14ac:dyDescent="0.25">
      <c r="A225" s="28">
        <v>1120276</v>
      </c>
      <c r="B225" s="26" t="s">
        <v>8687</v>
      </c>
    </row>
    <row r="226" spans="1:2" x14ac:dyDescent="0.25">
      <c r="A226" s="28">
        <v>1120277</v>
      </c>
      <c r="B226" s="26" t="s">
        <v>8688</v>
      </c>
    </row>
    <row r="227" spans="1:2" x14ac:dyDescent="0.25">
      <c r="A227" s="28">
        <v>1120278</v>
      </c>
      <c r="B227" s="26" t="s">
        <v>8689</v>
      </c>
    </row>
    <row r="228" spans="1:2" x14ac:dyDescent="0.25">
      <c r="A228" s="28">
        <v>1120280</v>
      </c>
      <c r="B228" s="26" t="s">
        <v>10368</v>
      </c>
    </row>
    <row r="229" spans="1:2" x14ac:dyDescent="0.25">
      <c r="A229" s="28">
        <v>1120281</v>
      </c>
      <c r="B229" s="26" t="s">
        <v>10940</v>
      </c>
    </row>
    <row r="230" spans="1:2" x14ac:dyDescent="0.25">
      <c r="A230" s="28">
        <v>1120285</v>
      </c>
      <c r="B230" s="26" t="s">
        <v>8551</v>
      </c>
    </row>
    <row r="231" spans="1:2" x14ac:dyDescent="0.25">
      <c r="A231" s="26" t="s">
        <v>12509</v>
      </c>
      <c r="B231" s="26" t="s">
        <v>12510</v>
      </c>
    </row>
    <row r="232" spans="1:2" x14ac:dyDescent="0.25">
      <c r="A232" s="28">
        <v>1120286</v>
      </c>
      <c r="B232" s="26" t="s">
        <v>10941</v>
      </c>
    </row>
    <row r="233" spans="1:2" x14ac:dyDescent="0.25">
      <c r="A233" s="28">
        <v>1120287</v>
      </c>
      <c r="B233" s="26" t="s">
        <v>10942</v>
      </c>
    </row>
    <row r="234" spans="1:2" x14ac:dyDescent="0.25">
      <c r="A234" s="28">
        <v>1120288</v>
      </c>
      <c r="B234" s="26" t="s">
        <v>10943</v>
      </c>
    </row>
    <row r="235" spans="1:2" x14ac:dyDescent="0.25">
      <c r="A235" s="28">
        <v>1120289</v>
      </c>
      <c r="B235" s="26" t="s">
        <v>10944</v>
      </c>
    </row>
    <row r="236" spans="1:2" x14ac:dyDescent="0.25">
      <c r="A236" s="28">
        <v>1120290</v>
      </c>
      <c r="B236" s="26" t="s">
        <v>8557</v>
      </c>
    </row>
    <row r="237" spans="1:2" x14ac:dyDescent="0.25">
      <c r="A237" s="28">
        <v>1120291</v>
      </c>
      <c r="B237" s="26" t="s">
        <v>8558</v>
      </c>
    </row>
    <row r="238" spans="1:2" x14ac:dyDescent="0.25">
      <c r="A238" s="28">
        <v>1120292</v>
      </c>
      <c r="B238" s="26" t="s">
        <v>8559</v>
      </c>
    </row>
    <row r="239" spans="1:2" x14ac:dyDescent="0.25">
      <c r="A239" s="28">
        <v>1120293</v>
      </c>
      <c r="B239" s="26" t="s">
        <v>8560</v>
      </c>
    </row>
    <row r="240" spans="1:2" x14ac:dyDescent="0.25">
      <c r="A240" s="28">
        <v>1120294</v>
      </c>
      <c r="B240" s="26" t="s">
        <v>10945</v>
      </c>
    </row>
    <row r="241" spans="1:2" x14ac:dyDescent="0.25">
      <c r="A241" s="28">
        <v>1120299</v>
      </c>
      <c r="B241" s="26" t="s">
        <v>10946</v>
      </c>
    </row>
    <row r="242" spans="1:2" x14ac:dyDescent="0.25">
      <c r="A242" s="28">
        <v>1120300</v>
      </c>
      <c r="B242" s="26" t="s">
        <v>10947</v>
      </c>
    </row>
    <row r="243" spans="1:2" x14ac:dyDescent="0.25">
      <c r="A243" s="26" t="s">
        <v>12511</v>
      </c>
      <c r="B243" s="27"/>
    </row>
    <row r="244" spans="1:2" x14ac:dyDescent="0.25">
      <c r="A244" s="26" t="s">
        <v>12512</v>
      </c>
      <c r="B244" s="27"/>
    </row>
    <row r="245" spans="1:2" x14ac:dyDescent="0.25">
      <c r="A245" s="26" t="s">
        <v>12513</v>
      </c>
      <c r="B245" s="27"/>
    </row>
    <row r="246" spans="1:2" x14ac:dyDescent="0.25">
      <c r="A246" s="28">
        <v>1120305</v>
      </c>
      <c r="B246" s="26" t="s">
        <v>8578</v>
      </c>
    </row>
    <row r="247" spans="1:2" x14ac:dyDescent="0.25">
      <c r="A247" s="28">
        <v>1120306</v>
      </c>
      <c r="B247" s="26" t="s">
        <v>8579</v>
      </c>
    </row>
    <row r="248" spans="1:2" x14ac:dyDescent="0.25">
      <c r="A248" s="28">
        <v>1120307</v>
      </c>
      <c r="B248" s="26" t="s">
        <v>10948</v>
      </c>
    </row>
    <row r="249" spans="1:2" x14ac:dyDescent="0.25">
      <c r="A249" s="28">
        <v>1120310</v>
      </c>
      <c r="B249" s="26" t="s">
        <v>10949</v>
      </c>
    </row>
    <row r="250" spans="1:2" x14ac:dyDescent="0.25">
      <c r="A250" s="26" t="s">
        <v>12514</v>
      </c>
      <c r="B250" s="27"/>
    </row>
    <row r="251" spans="1:2" x14ac:dyDescent="0.25">
      <c r="A251" s="28">
        <v>1120311</v>
      </c>
      <c r="B251" s="26" t="s">
        <v>10950</v>
      </c>
    </row>
    <row r="252" spans="1:2" x14ac:dyDescent="0.25">
      <c r="A252" s="26" t="s">
        <v>12515</v>
      </c>
      <c r="B252" s="27"/>
    </row>
    <row r="253" spans="1:2" x14ac:dyDescent="0.25">
      <c r="A253" s="28">
        <v>1120312</v>
      </c>
      <c r="B253" s="26" t="s">
        <v>10922</v>
      </c>
    </row>
    <row r="254" spans="1:2" x14ac:dyDescent="0.25">
      <c r="A254" s="26" t="s">
        <v>12516</v>
      </c>
      <c r="B254" s="27"/>
    </row>
    <row r="255" spans="1:2" x14ac:dyDescent="0.25">
      <c r="A255" s="28">
        <v>1120313</v>
      </c>
      <c r="B255" s="26" t="s">
        <v>10951</v>
      </c>
    </row>
    <row r="256" spans="1:2" x14ac:dyDescent="0.25">
      <c r="A256" s="28">
        <v>1120315</v>
      </c>
      <c r="B256" s="26" t="s">
        <v>8610</v>
      </c>
    </row>
    <row r="257" spans="1:2" x14ac:dyDescent="0.25">
      <c r="A257" s="28">
        <v>1120316</v>
      </c>
      <c r="B257" s="26" t="s">
        <v>8611</v>
      </c>
    </row>
    <row r="258" spans="1:2" x14ac:dyDescent="0.25">
      <c r="A258" s="28">
        <v>1120317</v>
      </c>
      <c r="B258" s="26" t="s">
        <v>8612</v>
      </c>
    </row>
    <row r="259" spans="1:2" x14ac:dyDescent="0.25">
      <c r="A259" s="28">
        <v>1120318</v>
      </c>
      <c r="B259" s="26" t="s">
        <v>8613</v>
      </c>
    </row>
    <row r="260" spans="1:2" x14ac:dyDescent="0.25">
      <c r="A260" s="28">
        <v>1120319</v>
      </c>
      <c r="B260" s="26" t="s">
        <v>10952</v>
      </c>
    </row>
    <row r="261" spans="1:2" x14ac:dyDescent="0.25">
      <c r="A261" s="28">
        <v>1120320</v>
      </c>
      <c r="B261" s="26" t="s">
        <v>10953</v>
      </c>
    </row>
    <row r="262" spans="1:2" x14ac:dyDescent="0.25">
      <c r="A262" s="28">
        <v>1120321</v>
      </c>
      <c r="B262" s="26" t="s">
        <v>10954</v>
      </c>
    </row>
    <row r="263" spans="1:2" x14ac:dyDescent="0.25">
      <c r="A263" s="28">
        <v>1120322</v>
      </c>
      <c r="B263" s="26" t="s">
        <v>10955</v>
      </c>
    </row>
    <row r="264" spans="1:2" x14ac:dyDescent="0.25">
      <c r="A264" s="28">
        <v>1120323</v>
      </c>
      <c r="B264" s="26" t="s">
        <v>8641</v>
      </c>
    </row>
    <row r="265" spans="1:2" x14ac:dyDescent="0.25">
      <c r="A265" s="28">
        <v>1120324</v>
      </c>
      <c r="B265" s="26" t="s">
        <v>8642</v>
      </c>
    </row>
    <row r="266" spans="1:2" x14ac:dyDescent="0.25">
      <c r="A266" s="28">
        <v>1120325</v>
      </c>
      <c r="B266" s="26" t="s">
        <v>8643</v>
      </c>
    </row>
    <row r="267" spans="1:2" x14ac:dyDescent="0.25">
      <c r="A267" s="28">
        <v>1120326</v>
      </c>
      <c r="B267" s="26" t="s">
        <v>8644</v>
      </c>
    </row>
    <row r="268" spans="1:2" x14ac:dyDescent="0.25">
      <c r="A268" s="28">
        <v>1120327</v>
      </c>
      <c r="B268" s="26" t="s">
        <v>10956</v>
      </c>
    </row>
    <row r="269" spans="1:2" x14ac:dyDescent="0.25">
      <c r="A269" s="28">
        <v>1120330</v>
      </c>
      <c r="B269" s="26" t="s">
        <v>8625</v>
      </c>
    </row>
    <row r="270" spans="1:2" x14ac:dyDescent="0.25">
      <c r="A270" s="26" t="s">
        <v>12517</v>
      </c>
      <c r="B270" s="27"/>
    </row>
    <row r="271" spans="1:2" x14ac:dyDescent="0.25">
      <c r="A271" s="28">
        <v>1120331</v>
      </c>
      <c r="B271" s="26" t="s">
        <v>8626</v>
      </c>
    </row>
    <row r="272" spans="1:2" x14ac:dyDescent="0.25">
      <c r="A272" s="26" t="s">
        <v>12518</v>
      </c>
      <c r="B272" s="27"/>
    </row>
    <row r="273" spans="1:2" x14ac:dyDescent="0.25">
      <c r="A273" s="28">
        <v>1120332</v>
      </c>
      <c r="B273" s="26" t="s">
        <v>10957</v>
      </c>
    </row>
    <row r="274" spans="1:2" x14ac:dyDescent="0.25">
      <c r="A274" s="26" t="s">
        <v>12519</v>
      </c>
      <c r="B274" s="27"/>
    </row>
    <row r="275" spans="1:2" x14ac:dyDescent="0.25">
      <c r="A275" s="28">
        <v>1120333</v>
      </c>
      <c r="B275" s="26" t="s">
        <v>8621</v>
      </c>
    </row>
    <row r="276" spans="1:2" x14ac:dyDescent="0.25">
      <c r="A276" s="28">
        <v>1120334</v>
      </c>
      <c r="B276" s="26" t="s">
        <v>8622</v>
      </c>
    </row>
    <row r="277" spans="1:2" x14ac:dyDescent="0.25">
      <c r="A277" s="28">
        <v>1120335</v>
      </c>
      <c r="B277" s="26" t="s">
        <v>8623</v>
      </c>
    </row>
    <row r="278" spans="1:2" x14ac:dyDescent="0.25">
      <c r="A278" s="28">
        <v>1120336</v>
      </c>
      <c r="B278" s="26" t="s">
        <v>8624</v>
      </c>
    </row>
    <row r="279" spans="1:2" x14ac:dyDescent="0.25">
      <c r="A279" s="28">
        <v>1120350</v>
      </c>
      <c r="B279" s="26" t="s">
        <v>10958</v>
      </c>
    </row>
    <row r="280" spans="1:2" x14ac:dyDescent="0.25">
      <c r="A280" s="28">
        <v>1120351</v>
      </c>
      <c r="B280" s="26" t="s">
        <v>10959</v>
      </c>
    </row>
    <row r="281" spans="1:2" x14ac:dyDescent="0.25">
      <c r="A281" s="28">
        <v>1120352</v>
      </c>
      <c r="B281" s="26" t="s">
        <v>9963</v>
      </c>
    </row>
    <row r="282" spans="1:2" x14ac:dyDescent="0.25">
      <c r="A282" s="28">
        <v>1120353</v>
      </c>
      <c r="B282" s="26" t="s">
        <v>10960</v>
      </c>
    </row>
    <row r="283" spans="1:2" x14ac:dyDescent="0.25">
      <c r="A283" s="28">
        <v>1120354</v>
      </c>
      <c r="B283" s="26" t="s">
        <v>10961</v>
      </c>
    </row>
    <row r="284" spans="1:2" x14ac:dyDescent="0.25">
      <c r="A284" s="28">
        <v>1120355</v>
      </c>
      <c r="B284" s="26" t="s">
        <v>9991</v>
      </c>
    </row>
    <row r="285" spans="1:2" x14ac:dyDescent="0.25">
      <c r="A285" s="28">
        <v>1120367</v>
      </c>
      <c r="B285" s="26" t="s">
        <v>8659</v>
      </c>
    </row>
    <row r="286" spans="1:2" x14ac:dyDescent="0.25">
      <c r="A286" s="28">
        <v>1120368</v>
      </c>
      <c r="B286" s="26" t="s">
        <v>8658</v>
      </c>
    </row>
    <row r="287" spans="1:2" x14ac:dyDescent="0.25">
      <c r="A287" s="28">
        <v>1120369</v>
      </c>
      <c r="B287" s="26" t="s">
        <v>8657</v>
      </c>
    </row>
    <row r="288" spans="1:2" x14ac:dyDescent="0.25">
      <c r="A288" s="28">
        <v>1120400</v>
      </c>
      <c r="B288" s="26" t="s">
        <v>8588</v>
      </c>
    </row>
    <row r="289" spans="1:2" x14ac:dyDescent="0.25">
      <c r="A289" s="26" t="s">
        <v>12520</v>
      </c>
      <c r="B289" s="27"/>
    </row>
    <row r="290" spans="1:2" x14ac:dyDescent="0.25">
      <c r="A290" s="28">
        <v>1120401</v>
      </c>
      <c r="B290" s="26" t="s">
        <v>8589</v>
      </c>
    </row>
    <row r="291" spans="1:2" x14ac:dyDescent="0.25">
      <c r="A291" s="26" t="s">
        <v>12521</v>
      </c>
      <c r="B291" s="27"/>
    </row>
    <row r="292" spans="1:2" x14ac:dyDescent="0.25">
      <c r="A292" s="28">
        <v>1120402</v>
      </c>
      <c r="B292" s="26" t="s">
        <v>8590</v>
      </c>
    </row>
    <row r="293" spans="1:2" x14ac:dyDescent="0.25">
      <c r="A293" s="26" t="s">
        <v>12522</v>
      </c>
      <c r="B293" s="27"/>
    </row>
    <row r="294" spans="1:2" x14ac:dyDescent="0.25">
      <c r="A294" s="28">
        <v>1120414</v>
      </c>
      <c r="B294" s="26" t="s">
        <v>8782</v>
      </c>
    </row>
    <row r="295" spans="1:2" x14ac:dyDescent="0.25">
      <c r="A295" s="28">
        <v>1120415</v>
      </c>
      <c r="B295" s="26" t="s">
        <v>8783</v>
      </c>
    </row>
    <row r="296" spans="1:2" x14ac:dyDescent="0.25">
      <c r="A296" s="28">
        <v>1120416</v>
      </c>
      <c r="B296" s="26" t="s">
        <v>8784</v>
      </c>
    </row>
    <row r="297" spans="1:2" x14ac:dyDescent="0.25">
      <c r="A297" s="28">
        <v>1120417</v>
      </c>
      <c r="B297" s="26" t="s">
        <v>8785</v>
      </c>
    </row>
    <row r="298" spans="1:2" x14ac:dyDescent="0.25">
      <c r="A298" s="26" t="s">
        <v>12523</v>
      </c>
      <c r="B298" s="27"/>
    </row>
    <row r="299" spans="1:2" x14ac:dyDescent="0.25">
      <c r="A299" s="28">
        <v>1120428</v>
      </c>
      <c r="B299" s="26" t="s">
        <v>8818</v>
      </c>
    </row>
    <row r="300" spans="1:2" x14ac:dyDescent="0.25">
      <c r="A300" s="28">
        <v>1120429</v>
      </c>
      <c r="B300" s="26" t="s">
        <v>8819</v>
      </c>
    </row>
    <row r="301" spans="1:2" x14ac:dyDescent="0.25">
      <c r="A301" s="28">
        <v>1120430</v>
      </c>
      <c r="B301" s="26" t="s">
        <v>8820</v>
      </c>
    </row>
    <row r="302" spans="1:2" x14ac:dyDescent="0.25">
      <c r="A302" s="28">
        <v>1120431</v>
      </c>
      <c r="B302" s="26" t="s">
        <v>10962</v>
      </c>
    </row>
    <row r="303" spans="1:2" x14ac:dyDescent="0.25">
      <c r="A303" s="28">
        <v>1120433</v>
      </c>
      <c r="B303" s="26" t="s">
        <v>8510</v>
      </c>
    </row>
    <row r="304" spans="1:2" x14ac:dyDescent="0.25">
      <c r="A304" s="28">
        <v>1120434</v>
      </c>
      <c r="B304" s="26" t="s">
        <v>8511</v>
      </c>
    </row>
    <row r="305" spans="1:2" x14ac:dyDescent="0.25">
      <c r="A305" s="28">
        <v>1120441</v>
      </c>
      <c r="B305" s="26" t="s">
        <v>12524</v>
      </c>
    </row>
    <row r="306" spans="1:2" x14ac:dyDescent="0.25">
      <c r="A306" s="28">
        <v>1120442</v>
      </c>
      <c r="B306" s="26" t="s">
        <v>12525</v>
      </c>
    </row>
    <row r="307" spans="1:2" x14ac:dyDescent="0.25">
      <c r="A307" s="26" t="s">
        <v>12526</v>
      </c>
      <c r="B307" s="27"/>
    </row>
    <row r="308" spans="1:2" x14ac:dyDescent="0.25">
      <c r="A308" s="28">
        <v>1120443</v>
      </c>
      <c r="B308" s="26" t="s">
        <v>12527</v>
      </c>
    </row>
    <row r="309" spans="1:2" x14ac:dyDescent="0.25">
      <c r="A309" s="26" t="s">
        <v>12528</v>
      </c>
      <c r="B309" s="27"/>
    </row>
    <row r="310" spans="1:2" x14ac:dyDescent="0.25">
      <c r="A310" s="28">
        <v>1120444</v>
      </c>
      <c r="B310" s="26" t="s">
        <v>12529</v>
      </c>
    </row>
    <row r="311" spans="1:2" x14ac:dyDescent="0.25">
      <c r="A311" s="26" t="s">
        <v>12530</v>
      </c>
      <c r="B311" s="27"/>
    </row>
    <row r="312" spans="1:2" x14ac:dyDescent="0.25">
      <c r="A312" s="28">
        <v>1120445</v>
      </c>
      <c r="B312" s="26" t="s">
        <v>8508</v>
      </c>
    </row>
    <row r="313" spans="1:2" x14ac:dyDescent="0.25">
      <c r="A313" s="28">
        <v>1120446</v>
      </c>
      <c r="B313" s="26" t="s">
        <v>8509</v>
      </c>
    </row>
    <row r="314" spans="1:2" x14ac:dyDescent="0.25">
      <c r="A314" s="28">
        <v>1120447</v>
      </c>
      <c r="B314" s="26" t="s">
        <v>10963</v>
      </c>
    </row>
    <row r="315" spans="1:2" x14ac:dyDescent="0.25">
      <c r="A315" s="28">
        <v>1120448</v>
      </c>
      <c r="B315" s="26" t="s">
        <v>8823</v>
      </c>
    </row>
    <row r="316" spans="1:2" x14ac:dyDescent="0.25">
      <c r="A316" s="28">
        <v>1120449</v>
      </c>
      <c r="B316" s="26" t="s">
        <v>8822</v>
      </c>
    </row>
    <row r="317" spans="1:2" x14ac:dyDescent="0.25">
      <c r="A317" s="28">
        <v>1120450</v>
      </c>
      <c r="B317" s="26" t="s">
        <v>8821</v>
      </c>
    </row>
    <row r="318" spans="1:2" x14ac:dyDescent="0.25">
      <c r="A318" s="28">
        <v>1120451</v>
      </c>
      <c r="B318" s="26" t="s">
        <v>8541</v>
      </c>
    </row>
    <row r="319" spans="1:2" x14ac:dyDescent="0.25">
      <c r="A319" s="28">
        <v>1120452</v>
      </c>
      <c r="B319" s="26" t="s">
        <v>8542</v>
      </c>
    </row>
    <row r="320" spans="1:2" x14ac:dyDescent="0.25">
      <c r="A320" s="28">
        <v>1120453</v>
      </c>
      <c r="B320" s="26" t="s">
        <v>8543</v>
      </c>
    </row>
    <row r="321" spans="1:2" x14ac:dyDescent="0.25">
      <c r="A321" s="28">
        <v>1120454</v>
      </c>
      <c r="B321" s="26" t="s">
        <v>8544</v>
      </c>
    </row>
    <row r="322" spans="1:2" x14ac:dyDescent="0.25">
      <c r="A322" s="28">
        <v>1120455</v>
      </c>
      <c r="B322" s="26" t="s">
        <v>8537</v>
      </c>
    </row>
    <row r="323" spans="1:2" x14ac:dyDescent="0.25">
      <c r="A323" s="28">
        <v>1120457</v>
      </c>
      <c r="B323" s="26" t="s">
        <v>8547</v>
      </c>
    </row>
    <row r="324" spans="1:2" x14ac:dyDescent="0.25">
      <c r="A324" s="28">
        <v>1120458</v>
      </c>
      <c r="B324" s="26" t="s">
        <v>8545</v>
      </c>
    </row>
    <row r="325" spans="1:2" x14ac:dyDescent="0.25">
      <c r="A325" s="28">
        <v>1120459</v>
      </c>
      <c r="B325" s="26" t="s">
        <v>8546</v>
      </c>
    </row>
    <row r="326" spans="1:2" x14ac:dyDescent="0.25">
      <c r="A326" s="28">
        <v>1120460</v>
      </c>
      <c r="B326" s="26" t="s">
        <v>8548</v>
      </c>
    </row>
    <row r="327" spans="1:2" x14ac:dyDescent="0.25">
      <c r="A327" s="28">
        <v>1120462</v>
      </c>
      <c r="B327" s="26" t="s">
        <v>8632</v>
      </c>
    </row>
    <row r="328" spans="1:2" x14ac:dyDescent="0.25">
      <c r="A328" s="28">
        <v>1120463</v>
      </c>
      <c r="B328" s="26" t="s">
        <v>8633</v>
      </c>
    </row>
    <row r="329" spans="1:2" x14ac:dyDescent="0.25">
      <c r="A329" s="28">
        <v>1120464</v>
      </c>
      <c r="B329" s="26" t="s">
        <v>8634</v>
      </c>
    </row>
    <row r="330" spans="1:2" x14ac:dyDescent="0.25">
      <c r="A330" s="28">
        <v>1120470</v>
      </c>
      <c r="B330" s="26" t="s">
        <v>10964</v>
      </c>
    </row>
    <row r="331" spans="1:2" x14ac:dyDescent="0.25">
      <c r="A331" s="28">
        <v>1120471</v>
      </c>
      <c r="B331" s="26" t="s">
        <v>10965</v>
      </c>
    </row>
    <row r="332" spans="1:2" x14ac:dyDescent="0.25">
      <c r="A332" s="28">
        <v>1120472</v>
      </c>
      <c r="B332" s="26" t="s">
        <v>10966</v>
      </c>
    </row>
    <row r="333" spans="1:2" x14ac:dyDescent="0.25">
      <c r="A333" s="28">
        <v>1120473</v>
      </c>
      <c r="B333" s="26" t="s">
        <v>10967</v>
      </c>
    </row>
    <row r="334" spans="1:2" x14ac:dyDescent="0.25">
      <c r="A334" s="28">
        <v>1120474</v>
      </c>
      <c r="B334" s="26" t="s">
        <v>10968</v>
      </c>
    </row>
    <row r="335" spans="1:2" x14ac:dyDescent="0.25">
      <c r="A335" s="28">
        <v>1120475</v>
      </c>
      <c r="B335" s="26" t="s">
        <v>10969</v>
      </c>
    </row>
    <row r="336" spans="1:2" x14ac:dyDescent="0.25">
      <c r="A336" s="28">
        <v>1120478</v>
      </c>
      <c r="B336" s="26" t="s">
        <v>8639</v>
      </c>
    </row>
    <row r="337" spans="1:2" x14ac:dyDescent="0.25">
      <c r="A337" s="28">
        <v>1120479</v>
      </c>
      <c r="B337" s="26" t="s">
        <v>8640</v>
      </c>
    </row>
    <row r="338" spans="1:2" x14ac:dyDescent="0.25">
      <c r="A338" s="28">
        <v>1120480</v>
      </c>
      <c r="B338" s="26" t="s">
        <v>10970</v>
      </c>
    </row>
    <row r="339" spans="1:2" x14ac:dyDescent="0.25">
      <c r="A339" s="28">
        <v>1120485</v>
      </c>
      <c r="B339" s="26" t="s">
        <v>10370</v>
      </c>
    </row>
    <row r="340" spans="1:2" x14ac:dyDescent="0.25">
      <c r="A340" s="28">
        <v>1120486</v>
      </c>
      <c r="B340" s="26" t="s">
        <v>10371</v>
      </c>
    </row>
    <row r="341" spans="1:2" x14ac:dyDescent="0.25">
      <c r="A341" s="28">
        <v>1120490</v>
      </c>
      <c r="B341" s="26" t="s">
        <v>10971</v>
      </c>
    </row>
    <row r="342" spans="1:2" x14ac:dyDescent="0.25">
      <c r="A342" s="28">
        <v>1120491</v>
      </c>
      <c r="B342" s="26" t="s">
        <v>10972</v>
      </c>
    </row>
    <row r="343" spans="1:2" x14ac:dyDescent="0.25">
      <c r="A343" s="28">
        <v>1120492</v>
      </c>
      <c r="B343" s="26" t="s">
        <v>10973</v>
      </c>
    </row>
    <row r="344" spans="1:2" x14ac:dyDescent="0.25">
      <c r="A344" s="28">
        <v>1120493</v>
      </c>
      <c r="B344" s="26" t="s">
        <v>12304</v>
      </c>
    </row>
    <row r="345" spans="1:2" x14ac:dyDescent="0.25">
      <c r="A345" s="28">
        <v>1120494</v>
      </c>
      <c r="B345" s="26" t="s">
        <v>12305</v>
      </c>
    </row>
    <row r="346" spans="1:2" x14ac:dyDescent="0.25">
      <c r="A346" s="28">
        <v>1120495</v>
      </c>
      <c r="B346" s="26" t="s">
        <v>10974</v>
      </c>
    </row>
    <row r="347" spans="1:2" x14ac:dyDescent="0.25">
      <c r="A347" s="28">
        <v>1120496</v>
      </c>
      <c r="B347" s="26" t="s">
        <v>8585</v>
      </c>
    </row>
    <row r="348" spans="1:2" x14ac:dyDescent="0.25">
      <c r="A348" s="26" t="s">
        <v>12531</v>
      </c>
      <c r="B348" s="27"/>
    </row>
    <row r="349" spans="1:2" x14ac:dyDescent="0.25">
      <c r="A349" s="28">
        <v>1120497</v>
      </c>
      <c r="B349" s="26" t="s">
        <v>8586</v>
      </c>
    </row>
    <row r="350" spans="1:2" x14ac:dyDescent="0.25">
      <c r="A350" s="26" t="s">
        <v>12532</v>
      </c>
      <c r="B350" s="27"/>
    </row>
    <row r="351" spans="1:2" x14ac:dyDescent="0.25">
      <c r="A351" s="28">
        <v>1120498</v>
      </c>
      <c r="B351" s="26" t="s">
        <v>8587</v>
      </c>
    </row>
    <row r="352" spans="1:2" x14ac:dyDescent="0.25">
      <c r="A352" s="26" t="s">
        <v>12533</v>
      </c>
      <c r="B352" s="27"/>
    </row>
    <row r="353" spans="1:2" x14ac:dyDescent="0.25">
      <c r="A353" s="28">
        <v>1120499</v>
      </c>
      <c r="B353" s="26" t="s">
        <v>8584</v>
      </c>
    </row>
    <row r="354" spans="1:2" x14ac:dyDescent="0.25">
      <c r="A354" s="26" t="s">
        <v>12534</v>
      </c>
      <c r="B354" s="27"/>
    </row>
    <row r="355" spans="1:2" x14ac:dyDescent="0.25">
      <c r="A355" s="28">
        <v>1120500</v>
      </c>
      <c r="B355" s="26" t="s">
        <v>8710</v>
      </c>
    </row>
    <row r="356" spans="1:2" x14ac:dyDescent="0.25">
      <c r="A356" s="28">
        <v>1120501</v>
      </c>
      <c r="B356" s="26" t="s">
        <v>8711</v>
      </c>
    </row>
    <row r="357" spans="1:2" x14ac:dyDescent="0.25">
      <c r="A357" s="28">
        <v>1120502</v>
      </c>
      <c r="B357" s="26" t="s">
        <v>8712</v>
      </c>
    </row>
    <row r="358" spans="1:2" x14ac:dyDescent="0.25">
      <c r="A358" s="28">
        <v>1120503</v>
      </c>
      <c r="B358" s="26" t="s">
        <v>8713</v>
      </c>
    </row>
    <row r="359" spans="1:2" x14ac:dyDescent="0.25">
      <c r="A359" s="28">
        <v>1120504</v>
      </c>
      <c r="B359" s="26" t="s">
        <v>8735</v>
      </c>
    </row>
    <row r="360" spans="1:2" x14ac:dyDescent="0.25">
      <c r="A360" s="28">
        <v>1120505</v>
      </c>
      <c r="B360" s="26" t="s">
        <v>8736</v>
      </c>
    </row>
    <row r="361" spans="1:2" x14ac:dyDescent="0.25">
      <c r="A361" s="28">
        <v>1120506</v>
      </c>
      <c r="B361" s="26" t="s">
        <v>8737</v>
      </c>
    </row>
    <row r="362" spans="1:2" x14ac:dyDescent="0.25">
      <c r="A362" s="28">
        <v>1120507</v>
      </c>
      <c r="B362" s="26" t="s">
        <v>8738</v>
      </c>
    </row>
    <row r="363" spans="1:2" x14ac:dyDescent="0.25">
      <c r="A363" s="28">
        <v>1120512</v>
      </c>
      <c r="B363" s="26" t="s">
        <v>10975</v>
      </c>
    </row>
    <row r="364" spans="1:2" x14ac:dyDescent="0.25">
      <c r="A364" s="28">
        <v>1120513</v>
      </c>
      <c r="B364" s="26" t="s">
        <v>10976</v>
      </c>
    </row>
    <row r="365" spans="1:2" x14ac:dyDescent="0.25">
      <c r="A365" s="28">
        <v>1120514</v>
      </c>
      <c r="B365" s="26" t="s">
        <v>10977</v>
      </c>
    </row>
    <row r="366" spans="1:2" x14ac:dyDescent="0.25">
      <c r="A366" s="28">
        <v>1120520</v>
      </c>
      <c r="B366" s="26" t="s">
        <v>8520</v>
      </c>
    </row>
    <row r="367" spans="1:2" x14ac:dyDescent="0.25">
      <c r="A367" s="28">
        <v>1120530</v>
      </c>
      <c r="B367" s="26" t="s">
        <v>8722</v>
      </c>
    </row>
    <row r="368" spans="1:2" x14ac:dyDescent="0.25">
      <c r="A368" s="28">
        <v>1120555</v>
      </c>
      <c r="B368" s="26" t="s">
        <v>8707</v>
      </c>
    </row>
    <row r="369" spans="1:2" x14ac:dyDescent="0.25">
      <c r="A369" s="28">
        <v>1120556</v>
      </c>
      <c r="B369" s="26" t="s">
        <v>8708</v>
      </c>
    </row>
    <row r="370" spans="1:2" x14ac:dyDescent="0.25">
      <c r="A370" s="28">
        <v>1120557</v>
      </c>
      <c r="B370" s="26" t="s">
        <v>8709</v>
      </c>
    </row>
    <row r="371" spans="1:2" x14ac:dyDescent="0.25">
      <c r="A371" s="28">
        <v>1120560</v>
      </c>
      <c r="B371" s="26" t="s">
        <v>10923</v>
      </c>
    </row>
    <row r="372" spans="1:2" x14ac:dyDescent="0.25">
      <c r="A372" s="28">
        <v>1120595</v>
      </c>
      <c r="B372" s="26" t="s">
        <v>10978</v>
      </c>
    </row>
    <row r="373" spans="1:2" x14ac:dyDescent="0.25">
      <c r="A373" s="28">
        <v>1120596</v>
      </c>
      <c r="B373" s="26" t="s">
        <v>10979</v>
      </c>
    </row>
    <row r="374" spans="1:2" x14ac:dyDescent="0.25">
      <c r="A374" s="28">
        <v>1120598</v>
      </c>
      <c r="B374" s="26" t="s">
        <v>10980</v>
      </c>
    </row>
    <row r="375" spans="1:2" x14ac:dyDescent="0.25">
      <c r="A375" s="28">
        <v>1120599</v>
      </c>
      <c r="B375" s="26" t="s">
        <v>10981</v>
      </c>
    </row>
    <row r="376" spans="1:2" x14ac:dyDescent="0.25">
      <c r="A376" s="28">
        <v>1120600</v>
      </c>
      <c r="B376" s="26" t="s">
        <v>10982</v>
      </c>
    </row>
    <row r="377" spans="1:2" x14ac:dyDescent="0.25">
      <c r="A377" s="28">
        <v>1120601</v>
      </c>
      <c r="B377" s="26" t="s">
        <v>10983</v>
      </c>
    </row>
    <row r="378" spans="1:2" x14ac:dyDescent="0.25">
      <c r="A378" s="28">
        <v>1120602</v>
      </c>
      <c r="B378" s="26" t="s">
        <v>10984</v>
      </c>
    </row>
    <row r="379" spans="1:2" x14ac:dyDescent="0.25">
      <c r="A379" s="28">
        <v>1120603</v>
      </c>
      <c r="B379" s="26" t="s">
        <v>10985</v>
      </c>
    </row>
    <row r="380" spans="1:2" x14ac:dyDescent="0.25">
      <c r="A380" s="28">
        <v>1120615</v>
      </c>
      <c r="B380" s="26" t="s">
        <v>10986</v>
      </c>
    </row>
    <row r="381" spans="1:2" x14ac:dyDescent="0.25">
      <c r="A381" s="28">
        <v>1120616</v>
      </c>
      <c r="B381" s="26" t="s">
        <v>10987</v>
      </c>
    </row>
    <row r="382" spans="1:2" x14ac:dyDescent="0.25">
      <c r="A382" s="28">
        <v>1120617</v>
      </c>
      <c r="B382" s="26" t="s">
        <v>10988</v>
      </c>
    </row>
    <row r="383" spans="1:2" x14ac:dyDescent="0.25">
      <c r="A383" s="28">
        <v>1120618</v>
      </c>
      <c r="B383" s="26" t="s">
        <v>10989</v>
      </c>
    </row>
    <row r="384" spans="1:2" x14ac:dyDescent="0.25">
      <c r="A384" s="28">
        <v>1120619</v>
      </c>
      <c r="B384" s="26" t="s">
        <v>8492</v>
      </c>
    </row>
    <row r="385" spans="1:2" x14ac:dyDescent="0.25">
      <c r="A385" s="28">
        <v>1120620</v>
      </c>
      <c r="B385" s="26" t="s">
        <v>8493</v>
      </c>
    </row>
    <row r="386" spans="1:2" x14ac:dyDescent="0.25">
      <c r="A386" s="28">
        <v>1120621</v>
      </c>
      <c r="B386" s="26" t="s">
        <v>8494</v>
      </c>
    </row>
    <row r="387" spans="1:2" x14ac:dyDescent="0.25">
      <c r="A387" s="26" t="s">
        <v>12535</v>
      </c>
      <c r="B387" s="27"/>
    </row>
    <row r="388" spans="1:2" x14ac:dyDescent="0.25">
      <c r="A388" s="28">
        <v>1120622</v>
      </c>
      <c r="B388" s="26" t="s">
        <v>8495</v>
      </c>
    </row>
    <row r="389" spans="1:2" x14ac:dyDescent="0.25">
      <c r="A389" s="28">
        <v>1120623</v>
      </c>
      <c r="B389" s="26" t="s">
        <v>8521</v>
      </c>
    </row>
    <row r="390" spans="1:2" x14ac:dyDescent="0.25">
      <c r="A390" s="28">
        <v>1120624</v>
      </c>
      <c r="B390" s="26" t="s">
        <v>8522</v>
      </c>
    </row>
    <row r="391" spans="1:2" x14ac:dyDescent="0.25">
      <c r="A391" s="28">
        <v>1120625</v>
      </c>
      <c r="B391" s="26" t="s">
        <v>8523</v>
      </c>
    </row>
    <row r="392" spans="1:2" x14ac:dyDescent="0.25">
      <c r="A392" s="28">
        <v>1120626</v>
      </c>
      <c r="B392" s="26" t="s">
        <v>8524</v>
      </c>
    </row>
    <row r="393" spans="1:2" x14ac:dyDescent="0.25">
      <c r="A393" s="28">
        <v>1120630</v>
      </c>
      <c r="B393" s="26" t="s">
        <v>8706</v>
      </c>
    </row>
    <row r="394" spans="1:2" x14ac:dyDescent="0.25">
      <c r="A394" s="28">
        <v>1120631</v>
      </c>
      <c r="B394" s="26" t="s">
        <v>10990</v>
      </c>
    </row>
    <row r="395" spans="1:2" x14ac:dyDescent="0.25">
      <c r="A395" s="28">
        <v>1120632</v>
      </c>
      <c r="B395" s="26" t="s">
        <v>10991</v>
      </c>
    </row>
    <row r="396" spans="1:2" x14ac:dyDescent="0.25">
      <c r="A396" s="28">
        <v>1120640</v>
      </c>
      <c r="B396" s="26" t="s">
        <v>8516</v>
      </c>
    </row>
    <row r="397" spans="1:2" x14ac:dyDescent="0.25">
      <c r="A397" s="28">
        <v>1120641</v>
      </c>
      <c r="B397" s="26" t="s">
        <v>8517</v>
      </c>
    </row>
    <row r="398" spans="1:2" x14ac:dyDescent="0.25">
      <c r="A398" s="28">
        <v>1120642</v>
      </c>
      <c r="B398" s="26" t="s">
        <v>8518</v>
      </c>
    </row>
    <row r="399" spans="1:2" x14ac:dyDescent="0.25">
      <c r="A399" s="28">
        <v>1120643</v>
      </c>
      <c r="B399" s="26" t="s">
        <v>8519</v>
      </c>
    </row>
    <row r="400" spans="1:2" x14ac:dyDescent="0.25">
      <c r="A400" s="28">
        <v>1120650</v>
      </c>
      <c r="B400" s="26" t="s">
        <v>10992</v>
      </c>
    </row>
    <row r="401" spans="1:2" x14ac:dyDescent="0.25">
      <c r="A401" s="28">
        <v>1120651</v>
      </c>
      <c r="B401" s="26" t="s">
        <v>10993</v>
      </c>
    </row>
    <row r="402" spans="1:2" x14ac:dyDescent="0.25">
      <c r="A402" s="28">
        <v>1120652</v>
      </c>
      <c r="B402" s="26" t="s">
        <v>10994</v>
      </c>
    </row>
    <row r="403" spans="1:2" x14ac:dyDescent="0.25">
      <c r="A403" s="28">
        <v>1120653</v>
      </c>
      <c r="B403" s="26" t="s">
        <v>10995</v>
      </c>
    </row>
    <row r="404" spans="1:2" x14ac:dyDescent="0.25">
      <c r="A404" s="28">
        <v>1120666</v>
      </c>
      <c r="B404" s="26" t="s">
        <v>8614</v>
      </c>
    </row>
    <row r="405" spans="1:2" x14ac:dyDescent="0.25">
      <c r="A405" s="28">
        <v>1120667</v>
      </c>
      <c r="B405" s="26" t="s">
        <v>8615</v>
      </c>
    </row>
    <row r="406" spans="1:2" x14ac:dyDescent="0.25">
      <c r="A406" s="28">
        <v>1120668</v>
      </c>
      <c r="B406" s="26" t="s">
        <v>8616</v>
      </c>
    </row>
    <row r="407" spans="1:2" x14ac:dyDescent="0.25">
      <c r="A407" s="28">
        <v>1120669</v>
      </c>
      <c r="B407" s="26" t="s">
        <v>8617</v>
      </c>
    </row>
    <row r="408" spans="1:2" x14ac:dyDescent="0.25">
      <c r="A408" s="28">
        <v>1120680</v>
      </c>
      <c r="B408" s="26" t="s">
        <v>10996</v>
      </c>
    </row>
    <row r="409" spans="1:2" x14ac:dyDescent="0.25">
      <c r="A409" s="28">
        <v>1120681</v>
      </c>
      <c r="B409" s="26" t="s">
        <v>10997</v>
      </c>
    </row>
    <row r="410" spans="1:2" x14ac:dyDescent="0.25">
      <c r="A410" s="28">
        <v>1120682</v>
      </c>
      <c r="B410" s="26" t="s">
        <v>10998</v>
      </c>
    </row>
    <row r="411" spans="1:2" x14ac:dyDescent="0.25">
      <c r="A411" s="28">
        <v>1120700</v>
      </c>
      <c r="B411" s="26" t="s">
        <v>10369</v>
      </c>
    </row>
    <row r="412" spans="1:2" x14ac:dyDescent="0.25">
      <c r="A412" s="28">
        <v>1120710</v>
      </c>
      <c r="B412" s="26" t="s">
        <v>8591</v>
      </c>
    </row>
    <row r="413" spans="1:2" x14ac:dyDescent="0.25">
      <c r="A413" s="28">
        <v>1120711</v>
      </c>
      <c r="B413" s="26" t="s">
        <v>8592</v>
      </c>
    </row>
    <row r="414" spans="1:2" x14ac:dyDescent="0.25">
      <c r="A414" s="28">
        <v>1120712</v>
      </c>
      <c r="B414" s="26" t="s">
        <v>8593</v>
      </c>
    </row>
    <row r="415" spans="1:2" x14ac:dyDescent="0.25">
      <c r="A415" s="28">
        <v>1120720</v>
      </c>
      <c r="B415" s="26" t="s">
        <v>8759</v>
      </c>
    </row>
    <row r="416" spans="1:2" x14ac:dyDescent="0.25">
      <c r="A416" s="28">
        <v>1120721</v>
      </c>
      <c r="B416" s="26" t="s">
        <v>8760</v>
      </c>
    </row>
    <row r="417" spans="1:2" x14ac:dyDescent="0.25">
      <c r="A417" s="28">
        <v>1120722</v>
      </c>
      <c r="B417" s="26" t="s">
        <v>8761</v>
      </c>
    </row>
    <row r="418" spans="1:2" x14ac:dyDescent="0.25">
      <c r="A418" s="28">
        <v>1120723</v>
      </c>
      <c r="B418" s="26" t="s">
        <v>8762</v>
      </c>
    </row>
    <row r="419" spans="1:2" x14ac:dyDescent="0.25">
      <c r="A419" s="28">
        <v>1120724</v>
      </c>
      <c r="B419" s="26" t="s">
        <v>8771</v>
      </c>
    </row>
    <row r="420" spans="1:2" x14ac:dyDescent="0.25">
      <c r="A420" s="28">
        <v>1120725</v>
      </c>
      <c r="B420" s="26" t="s">
        <v>8772</v>
      </c>
    </row>
    <row r="421" spans="1:2" x14ac:dyDescent="0.25">
      <c r="A421" s="28">
        <v>1120726</v>
      </c>
      <c r="B421" s="26" t="s">
        <v>8773</v>
      </c>
    </row>
    <row r="422" spans="1:2" x14ac:dyDescent="0.25">
      <c r="A422" s="28">
        <v>1120727</v>
      </c>
      <c r="B422" s="26" t="s">
        <v>8774</v>
      </c>
    </row>
    <row r="423" spans="1:2" x14ac:dyDescent="0.25">
      <c r="A423" s="28">
        <v>1120728</v>
      </c>
      <c r="B423" s="26" t="s">
        <v>8755</v>
      </c>
    </row>
    <row r="424" spans="1:2" x14ac:dyDescent="0.25">
      <c r="A424" s="28">
        <v>1120729</v>
      </c>
      <c r="B424" s="26" t="s">
        <v>8756</v>
      </c>
    </row>
    <row r="425" spans="1:2" x14ac:dyDescent="0.25">
      <c r="A425" s="28">
        <v>1120730</v>
      </c>
      <c r="B425" s="26" t="s">
        <v>8757</v>
      </c>
    </row>
    <row r="426" spans="1:2" x14ac:dyDescent="0.25">
      <c r="A426" s="28">
        <v>1120731</v>
      </c>
      <c r="B426" s="26" t="s">
        <v>8758</v>
      </c>
    </row>
    <row r="427" spans="1:2" x14ac:dyDescent="0.25">
      <c r="A427" s="28">
        <v>1120732</v>
      </c>
      <c r="B427" s="26" t="s">
        <v>8767</v>
      </c>
    </row>
    <row r="428" spans="1:2" x14ac:dyDescent="0.25">
      <c r="A428" s="28">
        <v>1120733</v>
      </c>
      <c r="B428" s="26" t="s">
        <v>8768</v>
      </c>
    </row>
    <row r="429" spans="1:2" x14ac:dyDescent="0.25">
      <c r="A429" s="28">
        <v>1120734</v>
      </c>
      <c r="B429" s="26" t="s">
        <v>8769</v>
      </c>
    </row>
    <row r="430" spans="1:2" x14ac:dyDescent="0.25">
      <c r="A430" s="28">
        <v>1120735</v>
      </c>
      <c r="B430" s="26" t="s">
        <v>8770</v>
      </c>
    </row>
    <row r="431" spans="1:2" x14ac:dyDescent="0.25">
      <c r="A431" s="28">
        <v>1120736</v>
      </c>
      <c r="B431" s="26" t="s">
        <v>8747</v>
      </c>
    </row>
    <row r="432" spans="1:2" x14ac:dyDescent="0.25">
      <c r="A432" s="28">
        <v>1120737</v>
      </c>
      <c r="B432" s="26" t="s">
        <v>8748</v>
      </c>
    </row>
    <row r="433" spans="1:2" x14ac:dyDescent="0.25">
      <c r="A433" s="28">
        <v>1120738</v>
      </c>
      <c r="B433" s="26" t="s">
        <v>8749</v>
      </c>
    </row>
    <row r="434" spans="1:2" x14ac:dyDescent="0.25">
      <c r="A434" s="28">
        <v>1120739</v>
      </c>
      <c r="B434" s="26" t="s">
        <v>8750</v>
      </c>
    </row>
    <row r="435" spans="1:2" x14ac:dyDescent="0.25">
      <c r="A435" s="26" t="s">
        <v>12536</v>
      </c>
      <c r="B435" s="27"/>
    </row>
    <row r="436" spans="1:2" x14ac:dyDescent="0.25">
      <c r="A436" s="28">
        <v>1120742</v>
      </c>
      <c r="B436" s="26" t="s">
        <v>8763</v>
      </c>
    </row>
    <row r="437" spans="1:2" x14ac:dyDescent="0.25">
      <c r="A437" s="28">
        <v>1120743</v>
      </c>
      <c r="B437" s="26" t="s">
        <v>8764</v>
      </c>
    </row>
    <row r="438" spans="1:2" x14ac:dyDescent="0.25">
      <c r="A438" s="28">
        <v>1120744</v>
      </c>
      <c r="B438" s="26" t="s">
        <v>8765</v>
      </c>
    </row>
    <row r="439" spans="1:2" x14ac:dyDescent="0.25">
      <c r="A439" s="28">
        <v>1120745</v>
      </c>
      <c r="B439" s="26" t="s">
        <v>8766</v>
      </c>
    </row>
    <row r="440" spans="1:2" x14ac:dyDescent="0.25">
      <c r="A440" s="28">
        <v>1120746</v>
      </c>
      <c r="B440" s="26" t="s">
        <v>8751</v>
      </c>
    </row>
    <row r="441" spans="1:2" x14ac:dyDescent="0.25">
      <c r="A441" s="28">
        <v>1120747</v>
      </c>
      <c r="B441" s="26" t="s">
        <v>8752</v>
      </c>
    </row>
    <row r="442" spans="1:2" x14ac:dyDescent="0.25">
      <c r="A442" s="28">
        <v>1120748</v>
      </c>
      <c r="B442" s="26" t="s">
        <v>8753</v>
      </c>
    </row>
    <row r="443" spans="1:2" x14ac:dyDescent="0.25">
      <c r="A443" s="28">
        <v>1120749</v>
      </c>
      <c r="B443" s="26" t="s">
        <v>8754</v>
      </c>
    </row>
    <row r="444" spans="1:2" x14ac:dyDescent="0.25">
      <c r="A444" s="28">
        <v>1120750</v>
      </c>
      <c r="B444" s="26" t="s">
        <v>8627</v>
      </c>
    </row>
    <row r="445" spans="1:2" x14ac:dyDescent="0.25">
      <c r="A445" s="28">
        <v>1120751</v>
      </c>
      <c r="B445" s="26" t="s">
        <v>8628</v>
      </c>
    </row>
    <row r="446" spans="1:2" x14ac:dyDescent="0.25">
      <c r="A446" s="26" t="s">
        <v>12537</v>
      </c>
      <c r="B446" s="27"/>
    </row>
    <row r="447" spans="1:2" x14ac:dyDescent="0.25">
      <c r="A447" s="28">
        <v>1120752</v>
      </c>
      <c r="B447" s="26" t="s">
        <v>8629</v>
      </c>
    </row>
    <row r="448" spans="1:2" x14ac:dyDescent="0.25">
      <c r="A448" s="26" t="s">
        <v>12538</v>
      </c>
      <c r="B448" s="27"/>
    </row>
    <row r="449" spans="1:2" x14ac:dyDescent="0.25">
      <c r="A449" s="28">
        <v>1120753</v>
      </c>
      <c r="B449" s="26" t="s">
        <v>8630</v>
      </c>
    </row>
    <row r="450" spans="1:2" x14ac:dyDescent="0.25">
      <c r="A450" s="28">
        <v>1120760</v>
      </c>
      <c r="B450" s="26" t="s">
        <v>12208</v>
      </c>
    </row>
    <row r="451" spans="1:2" x14ac:dyDescent="0.25">
      <c r="A451" s="28">
        <v>1120761</v>
      </c>
      <c r="B451" s="26" t="s">
        <v>12209</v>
      </c>
    </row>
    <row r="452" spans="1:2" x14ac:dyDescent="0.25">
      <c r="A452" s="28">
        <v>1120762</v>
      </c>
      <c r="B452" s="26" t="s">
        <v>12210</v>
      </c>
    </row>
    <row r="453" spans="1:2" x14ac:dyDescent="0.25">
      <c r="A453" s="28">
        <v>1120764</v>
      </c>
      <c r="B453" s="26" t="s">
        <v>10345</v>
      </c>
    </row>
    <row r="454" spans="1:2" x14ac:dyDescent="0.25">
      <c r="A454" s="28">
        <v>1120765</v>
      </c>
      <c r="B454" s="26" t="s">
        <v>10340</v>
      </c>
    </row>
    <row r="455" spans="1:2" x14ac:dyDescent="0.25">
      <c r="A455" s="28">
        <v>1120766</v>
      </c>
      <c r="B455" s="26" t="s">
        <v>10341</v>
      </c>
    </row>
    <row r="456" spans="1:2" x14ac:dyDescent="0.25">
      <c r="A456" s="28">
        <v>1120767</v>
      </c>
      <c r="B456" s="26" t="s">
        <v>10342</v>
      </c>
    </row>
    <row r="457" spans="1:2" x14ac:dyDescent="0.25">
      <c r="A457" s="28">
        <v>1120768</v>
      </c>
      <c r="B457" s="26" t="s">
        <v>10999</v>
      </c>
    </row>
    <row r="458" spans="1:2" x14ac:dyDescent="0.25">
      <c r="A458" s="28">
        <v>1120770</v>
      </c>
      <c r="B458" s="26" t="s">
        <v>11000</v>
      </c>
    </row>
    <row r="459" spans="1:2" x14ac:dyDescent="0.25">
      <c r="A459" s="28">
        <v>1120771</v>
      </c>
      <c r="B459" s="26" t="s">
        <v>10348</v>
      </c>
    </row>
    <row r="460" spans="1:2" x14ac:dyDescent="0.25">
      <c r="A460" s="28">
        <v>1120772</v>
      </c>
      <c r="B460" s="26" t="s">
        <v>10346</v>
      </c>
    </row>
    <row r="461" spans="1:2" x14ac:dyDescent="0.25">
      <c r="A461" s="28">
        <v>1120773</v>
      </c>
      <c r="B461" s="26" t="s">
        <v>10347</v>
      </c>
    </row>
    <row r="462" spans="1:2" x14ac:dyDescent="0.25">
      <c r="A462" s="28">
        <v>1120774</v>
      </c>
      <c r="B462" s="26" t="s">
        <v>11001</v>
      </c>
    </row>
    <row r="463" spans="1:2" x14ac:dyDescent="0.25">
      <c r="A463" s="28">
        <v>1120775</v>
      </c>
      <c r="B463" s="26" t="s">
        <v>11002</v>
      </c>
    </row>
    <row r="464" spans="1:2" x14ac:dyDescent="0.25">
      <c r="A464" s="28">
        <v>1120776</v>
      </c>
      <c r="B464" s="26" t="s">
        <v>10354</v>
      </c>
    </row>
    <row r="465" spans="1:2" x14ac:dyDescent="0.25">
      <c r="A465" s="28">
        <v>1120777</v>
      </c>
      <c r="B465" s="26" t="s">
        <v>10355</v>
      </c>
    </row>
    <row r="466" spans="1:2" x14ac:dyDescent="0.25">
      <c r="A466" s="28">
        <v>1120778</v>
      </c>
      <c r="B466" s="26" t="s">
        <v>10356</v>
      </c>
    </row>
    <row r="467" spans="1:2" x14ac:dyDescent="0.25">
      <c r="A467" s="28">
        <v>1120780</v>
      </c>
      <c r="B467" s="26" t="s">
        <v>10349</v>
      </c>
    </row>
    <row r="468" spans="1:2" x14ac:dyDescent="0.25">
      <c r="A468" s="28">
        <v>1120781</v>
      </c>
      <c r="B468" s="26" t="s">
        <v>10350</v>
      </c>
    </row>
    <row r="469" spans="1:2" x14ac:dyDescent="0.25">
      <c r="A469" s="28">
        <v>1120782</v>
      </c>
      <c r="B469" s="26" t="s">
        <v>11003</v>
      </c>
    </row>
    <row r="470" spans="1:2" x14ac:dyDescent="0.25">
      <c r="A470" s="28">
        <v>1120783</v>
      </c>
      <c r="B470" s="26" t="s">
        <v>11004</v>
      </c>
    </row>
    <row r="471" spans="1:2" x14ac:dyDescent="0.25">
      <c r="A471" s="28">
        <v>1120784</v>
      </c>
      <c r="B471" s="26" t="s">
        <v>11005</v>
      </c>
    </row>
    <row r="472" spans="1:2" x14ac:dyDescent="0.25">
      <c r="A472" s="28">
        <v>1120785</v>
      </c>
      <c r="B472" s="26" t="s">
        <v>10343</v>
      </c>
    </row>
    <row r="473" spans="1:2" x14ac:dyDescent="0.25">
      <c r="A473" s="28">
        <v>1120786</v>
      </c>
      <c r="B473" s="26" t="s">
        <v>10344</v>
      </c>
    </row>
    <row r="474" spans="1:2" x14ac:dyDescent="0.25">
      <c r="A474" s="28">
        <v>1120787</v>
      </c>
      <c r="B474" s="26" t="s">
        <v>11006</v>
      </c>
    </row>
    <row r="475" spans="1:2" x14ac:dyDescent="0.25">
      <c r="A475" s="28">
        <v>1120789</v>
      </c>
      <c r="B475" s="26" t="s">
        <v>8673</v>
      </c>
    </row>
    <row r="476" spans="1:2" x14ac:dyDescent="0.25">
      <c r="A476" s="28">
        <v>1120790</v>
      </c>
      <c r="B476" s="26" t="s">
        <v>8674</v>
      </c>
    </row>
    <row r="477" spans="1:2" x14ac:dyDescent="0.25">
      <c r="A477" s="28">
        <v>1120791</v>
      </c>
      <c r="B477" s="26" t="s">
        <v>8675</v>
      </c>
    </row>
    <row r="478" spans="1:2" x14ac:dyDescent="0.25">
      <c r="A478" s="28">
        <v>1120792</v>
      </c>
      <c r="B478" s="26" t="s">
        <v>8676</v>
      </c>
    </row>
    <row r="479" spans="1:2" x14ac:dyDescent="0.25">
      <c r="A479" s="28">
        <v>1120793</v>
      </c>
      <c r="B479" s="26" t="s">
        <v>8672</v>
      </c>
    </row>
    <row r="480" spans="1:2" x14ac:dyDescent="0.25">
      <c r="A480" s="28">
        <v>1120795</v>
      </c>
      <c r="B480" s="26" t="s">
        <v>10366</v>
      </c>
    </row>
    <row r="481" spans="1:2" x14ac:dyDescent="0.25">
      <c r="A481" s="28">
        <v>1120796</v>
      </c>
      <c r="B481" s="26" t="s">
        <v>10367</v>
      </c>
    </row>
    <row r="482" spans="1:2" x14ac:dyDescent="0.25">
      <c r="A482" s="28">
        <v>1120797</v>
      </c>
      <c r="B482" s="26" t="s">
        <v>11007</v>
      </c>
    </row>
    <row r="483" spans="1:2" x14ac:dyDescent="0.25">
      <c r="A483" s="28">
        <v>1120798</v>
      </c>
      <c r="B483" s="26" t="s">
        <v>11008</v>
      </c>
    </row>
    <row r="484" spans="1:2" x14ac:dyDescent="0.25">
      <c r="A484" s="28">
        <v>1120799</v>
      </c>
      <c r="B484" s="26" t="s">
        <v>8671</v>
      </c>
    </row>
    <row r="485" spans="1:2" x14ac:dyDescent="0.25">
      <c r="A485" s="28">
        <v>1120800</v>
      </c>
      <c r="B485" s="26" t="s">
        <v>8600</v>
      </c>
    </row>
    <row r="486" spans="1:2" x14ac:dyDescent="0.25">
      <c r="A486" s="26" t="s">
        <v>12539</v>
      </c>
      <c r="B486" s="27"/>
    </row>
    <row r="487" spans="1:2" x14ac:dyDescent="0.25">
      <c r="A487" s="28">
        <v>1120801</v>
      </c>
      <c r="B487" s="26" t="s">
        <v>8601</v>
      </c>
    </row>
    <row r="488" spans="1:2" x14ac:dyDescent="0.25">
      <c r="A488" s="26" t="s">
        <v>12540</v>
      </c>
      <c r="B488" s="27"/>
    </row>
    <row r="489" spans="1:2" x14ac:dyDescent="0.25">
      <c r="A489" s="28">
        <v>1120802</v>
      </c>
      <c r="B489" s="26" t="s">
        <v>8602</v>
      </c>
    </row>
    <row r="490" spans="1:2" x14ac:dyDescent="0.25">
      <c r="A490" s="26" t="s">
        <v>12541</v>
      </c>
      <c r="B490" s="27"/>
    </row>
    <row r="491" spans="1:2" x14ac:dyDescent="0.25">
      <c r="A491" s="28">
        <v>1120803</v>
      </c>
      <c r="B491" s="26" t="s">
        <v>8603</v>
      </c>
    </row>
    <row r="492" spans="1:2" x14ac:dyDescent="0.25">
      <c r="A492" s="26" t="s">
        <v>12542</v>
      </c>
      <c r="B492" s="27"/>
    </row>
    <row r="493" spans="1:2" x14ac:dyDescent="0.25">
      <c r="A493" s="28">
        <v>1120804</v>
      </c>
      <c r="B493" s="26" t="s">
        <v>11009</v>
      </c>
    </row>
    <row r="494" spans="1:2" x14ac:dyDescent="0.25">
      <c r="A494" s="28">
        <v>1120805</v>
      </c>
      <c r="B494" s="26" t="s">
        <v>11010</v>
      </c>
    </row>
    <row r="495" spans="1:2" x14ac:dyDescent="0.25">
      <c r="A495" s="28">
        <v>1120806</v>
      </c>
      <c r="B495" s="26" t="s">
        <v>11011</v>
      </c>
    </row>
    <row r="496" spans="1:2" x14ac:dyDescent="0.25">
      <c r="A496" s="28">
        <v>1120840</v>
      </c>
      <c r="B496" s="26" t="s">
        <v>10357</v>
      </c>
    </row>
    <row r="497" spans="1:2" x14ac:dyDescent="0.25">
      <c r="A497" s="28">
        <v>1120841</v>
      </c>
      <c r="B497" s="26" t="s">
        <v>10358</v>
      </c>
    </row>
    <row r="498" spans="1:2" x14ac:dyDescent="0.25">
      <c r="A498" s="28">
        <v>1120842</v>
      </c>
      <c r="B498" s="26" t="s">
        <v>10359</v>
      </c>
    </row>
    <row r="499" spans="1:2" x14ac:dyDescent="0.25">
      <c r="A499" s="28">
        <v>1120843</v>
      </c>
      <c r="B499" s="26" t="s">
        <v>10360</v>
      </c>
    </row>
    <row r="500" spans="1:2" x14ac:dyDescent="0.25">
      <c r="A500" s="28">
        <v>1120850</v>
      </c>
      <c r="B500" s="26" t="s">
        <v>8525</v>
      </c>
    </row>
    <row r="501" spans="1:2" x14ac:dyDescent="0.25">
      <c r="A501" s="28">
        <v>1120851</v>
      </c>
      <c r="B501" s="26" t="s">
        <v>8526</v>
      </c>
    </row>
    <row r="502" spans="1:2" x14ac:dyDescent="0.25">
      <c r="A502" s="28">
        <v>1120852</v>
      </c>
      <c r="B502" s="26" t="s">
        <v>8527</v>
      </c>
    </row>
    <row r="503" spans="1:2" x14ac:dyDescent="0.25">
      <c r="A503" s="28">
        <v>1120853</v>
      </c>
      <c r="B503" s="26" t="s">
        <v>8528</v>
      </c>
    </row>
    <row r="504" spans="1:2" x14ac:dyDescent="0.25">
      <c r="A504" s="28">
        <v>1120856</v>
      </c>
      <c r="B504" s="26" t="s">
        <v>8504</v>
      </c>
    </row>
    <row r="505" spans="1:2" x14ac:dyDescent="0.25">
      <c r="A505" s="28">
        <v>1120857</v>
      </c>
      <c r="B505" s="26" t="s">
        <v>8505</v>
      </c>
    </row>
    <row r="506" spans="1:2" x14ac:dyDescent="0.25">
      <c r="A506" s="28">
        <v>1120858</v>
      </c>
      <c r="B506" s="26" t="s">
        <v>8529</v>
      </c>
    </row>
    <row r="507" spans="1:2" x14ac:dyDescent="0.25">
      <c r="A507" s="28">
        <v>1120859</v>
      </c>
      <c r="B507" s="26" t="s">
        <v>8530</v>
      </c>
    </row>
    <row r="508" spans="1:2" x14ac:dyDescent="0.25">
      <c r="A508" s="28">
        <v>1120860</v>
      </c>
      <c r="B508" s="26" t="s">
        <v>8506</v>
      </c>
    </row>
    <row r="509" spans="1:2" x14ac:dyDescent="0.25">
      <c r="A509" s="28">
        <v>1120861</v>
      </c>
      <c r="B509" s="26" t="s">
        <v>8507</v>
      </c>
    </row>
    <row r="510" spans="1:2" x14ac:dyDescent="0.25">
      <c r="A510" s="28">
        <v>1120862</v>
      </c>
      <c r="B510" s="26" t="s">
        <v>8531</v>
      </c>
    </row>
    <row r="511" spans="1:2" x14ac:dyDescent="0.25">
      <c r="A511" s="28">
        <v>1120863</v>
      </c>
      <c r="B511" s="26" t="s">
        <v>8532</v>
      </c>
    </row>
    <row r="512" spans="1:2" x14ac:dyDescent="0.25">
      <c r="A512" s="28">
        <v>1120870</v>
      </c>
      <c r="B512" s="26" t="s">
        <v>12543</v>
      </c>
    </row>
    <row r="513" spans="1:2" x14ac:dyDescent="0.25">
      <c r="A513" s="28">
        <v>1120873</v>
      </c>
      <c r="B513" s="26" t="s">
        <v>8618</v>
      </c>
    </row>
    <row r="514" spans="1:2" x14ac:dyDescent="0.25">
      <c r="A514" s="28">
        <v>1120875</v>
      </c>
      <c r="B514" s="26" t="s">
        <v>8631</v>
      </c>
    </row>
    <row r="515" spans="1:2" x14ac:dyDescent="0.25">
      <c r="A515" s="28">
        <v>1120876</v>
      </c>
      <c r="B515" s="26" t="s">
        <v>8664</v>
      </c>
    </row>
    <row r="516" spans="1:2" x14ac:dyDescent="0.25">
      <c r="A516" s="28">
        <v>1120877</v>
      </c>
      <c r="B516" s="26" t="s">
        <v>8637</v>
      </c>
    </row>
    <row r="517" spans="1:2" x14ac:dyDescent="0.25">
      <c r="A517" s="28">
        <v>1120878</v>
      </c>
      <c r="B517" s="26" t="s">
        <v>8635</v>
      </c>
    </row>
    <row r="518" spans="1:2" x14ac:dyDescent="0.25">
      <c r="A518" s="28">
        <v>1120879</v>
      </c>
      <c r="B518" s="26" t="s">
        <v>8665</v>
      </c>
    </row>
    <row r="519" spans="1:2" x14ac:dyDescent="0.25">
      <c r="A519" s="28">
        <v>1120880</v>
      </c>
      <c r="B519" s="26" t="s">
        <v>8636</v>
      </c>
    </row>
    <row r="520" spans="1:2" x14ac:dyDescent="0.25">
      <c r="A520" s="28">
        <v>1120881</v>
      </c>
      <c r="B520" s="26" t="s">
        <v>8619</v>
      </c>
    </row>
    <row r="521" spans="1:2" x14ac:dyDescent="0.25">
      <c r="A521" s="28">
        <v>1120882</v>
      </c>
      <c r="B521" s="26" t="s">
        <v>8620</v>
      </c>
    </row>
    <row r="522" spans="1:2" x14ac:dyDescent="0.25">
      <c r="A522" s="28">
        <v>1120883</v>
      </c>
      <c r="B522" s="26" t="s">
        <v>11012</v>
      </c>
    </row>
    <row r="523" spans="1:2" x14ac:dyDescent="0.25">
      <c r="A523" s="28">
        <v>1120884</v>
      </c>
      <c r="B523" s="26" t="s">
        <v>11013</v>
      </c>
    </row>
    <row r="524" spans="1:2" x14ac:dyDescent="0.25">
      <c r="A524" s="28">
        <v>1120885</v>
      </c>
      <c r="B524" s="26" t="s">
        <v>11014</v>
      </c>
    </row>
    <row r="525" spans="1:2" x14ac:dyDescent="0.25">
      <c r="A525" s="28">
        <v>1120886</v>
      </c>
      <c r="B525" s="26" t="s">
        <v>11015</v>
      </c>
    </row>
    <row r="526" spans="1:2" x14ac:dyDescent="0.25">
      <c r="A526" s="28">
        <v>1120887</v>
      </c>
      <c r="B526" s="26" t="s">
        <v>8666</v>
      </c>
    </row>
    <row r="527" spans="1:2" x14ac:dyDescent="0.25">
      <c r="A527" s="28">
        <v>1120888</v>
      </c>
      <c r="B527" s="26" t="s">
        <v>11016</v>
      </c>
    </row>
    <row r="528" spans="1:2" x14ac:dyDescent="0.25">
      <c r="A528" s="28">
        <v>1120900</v>
      </c>
      <c r="B528" s="26" t="s">
        <v>8645</v>
      </c>
    </row>
    <row r="529" spans="1:2" x14ac:dyDescent="0.25">
      <c r="A529" s="28">
        <v>1120901</v>
      </c>
      <c r="B529" s="26" t="s">
        <v>8646</v>
      </c>
    </row>
    <row r="530" spans="1:2" x14ac:dyDescent="0.25">
      <c r="A530" s="26" t="s">
        <v>13196</v>
      </c>
      <c r="B530" s="27"/>
    </row>
    <row r="531" spans="1:2" x14ac:dyDescent="0.25">
      <c r="A531" s="28">
        <v>1120902</v>
      </c>
      <c r="B531" s="26" t="s">
        <v>8647</v>
      </c>
    </row>
    <row r="532" spans="1:2" x14ac:dyDescent="0.25">
      <c r="A532" s="26" t="s">
        <v>13197</v>
      </c>
      <c r="B532" s="27"/>
    </row>
    <row r="533" spans="1:2" x14ac:dyDescent="0.25">
      <c r="A533" s="28">
        <v>1120903</v>
      </c>
      <c r="B533" s="26" t="s">
        <v>8648</v>
      </c>
    </row>
    <row r="534" spans="1:2" x14ac:dyDescent="0.25">
      <c r="A534" s="28">
        <v>1120904</v>
      </c>
      <c r="B534" s="26" t="s">
        <v>8649</v>
      </c>
    </row>
    <row r="535" spans="1:2" x14ac:dyDescent="0.25">
      <c r="A535" s="28">
        <v>1120910</v>
      </c>
      <c r="B535" s="26" t="s">
        <v>8650</v>
      </c>
    </row>
    <row r="536" spans="1:2" x14ac:dyDescent="0.25">
      <c r="A536" s="28">
        <v>1120911</v>
      </c>
      <c r="B536" s="26" t="s">
        <v>8651</v>
      </c>
    </row>
    <row r="537" spans="1:2" x14ac:dyDescent="0.25">
      <c r="A537" s="28">
        <v>1120920</v>
      </c>
      <c r="B537" s="26" t="s">
        <v>11017</v>
      </c>
    </row>
    <row r="538" spans="1:2" x14ac:dyDescent="0.25">
      <c r="A538" s="28">
        <v>1120921</v>
      </c>
      <c r="B538" s="26" t="s">
        <v>11018</v>
      </c>
    </row>
    <row r="539" spans="1:2" x14ac:dyDescent="0.25">
      <c r="A539" s="28">
        <v>1120922</v>
      </c>
      <c r="B539" s="26" t="s">
        <v>11019</v>
      </c>
    </row>
    <row r="540" spans="1:2" x14ac:dyDescent="0.25">
      <c r="A540" s="28">
        <v>1120923</v>
      </c>
      <c r="B540" s="26" t="s">
        <v>11020</v>
      </c>
    </row>
    <row r="541" spans="1:2" x14ac:dyDescent="0.25">
      <c r="A541" s="28">
        <v>1120940</v>
      </c>
      <c r="B541" s="26" t="s">
        <v>8652</v>
      </c>
    </row>
    <row r="542" spans="1:2" x14ac:dyDescent="0.25">
      <c r="A542" s="28">
        <v>112094034</v>
      </c>
      <c r="B542" s="26" t="s">
        <v>12544</v>
      </c>
    </row>
    <row r="543" spans="1:2" x14ac:dyDescent="0.25">
      <c r="A543" s="28">
        <v>112094036</v>
      </c>
      <c r="B543" s="26" t="s">
        <v>12545</v>
      </c>
    </row>
    <row r="544" spans="1:2" x14ac:dyDescent="0.25">
      <c r="A544" s="28">
        <v>112094038</v>
      </c>
      <c r="B544" s="26" t="s">
        <v>12546</v>
      </c>
    </row>
    <row r="545" spans="1:2" x14ac:dyDescent="0.25">
      <c r="A545" s="28">
        <v>112094040</v>
      </c>
      <c r="B545" s="26" t="s">
        <v>12547</v>
      </c>
    </row>
    <row r="546" spans="1:2" x14ac:dyDescent="0.25">
      <c r="A546" s="28">
        <v>112094044</v>
      </c>
      <c r="B546" s="26" t="s">
        <v>12548</v>
      </c>
    </row>
    <row r="547" spans="1:2" x14ac:dyDescent="0.25">
      <c r="A547" s="28">
        <v>112094046</v>
      </c>
      <c r="B547" s="26" t="s">
        <v>12549</v>
      </c>
    </row>
    <row r="548" spans="1:2" x14ac:dyDescent="0.25">
      <c r="A548" s="28">
        <v>112094048</v>
      </c>
      <c r="B548" s="26" t="s">
        <v>12550</v>
      </c>
    </row>
    <row r="549" spans="1:2" x14ac:dyDescent="0.25">
      <c r="A549" s="28">
        <v>112094052</v>
      </c>
      <c r="B549" s="26" t="s">
        <v>12551</v>
      </c>
    </row>
    <row r="550" spans="1:2" x14ac:dyDescent="0.25">
      <c r="A550" s="28">
        <v>1120941</v>
      </c>
      <c r="B550" s="26" t="s">
        <v>8653</v>
      </c>
    </row>
    <row r="551" spans="1:2" x14ac:dyDescent="0.25">
      <c r="A551" s="28">
        <v>112094152</v>
      </c>
      <c r="B551" s="26" t="s">
        <v>12552</v>
      </c>
    </row>
    <row r="552" spans="1:2" x14ac:dyDescent="0.25">
      <c r="A552" s="28">
        <v>112094154</v>
      </c>
      <c r="B552" s="26" t="s">
        <v>12553</v>
      </c>
    </row>
    <row r="553" spans="1:2" x14ac:dyDescent="0.25">
      <c r="A553" s="28">
        <v>1120942</v>
      </c>
      <c r="B553" s="26" t="s">
        <v>8654</v>
      </c>
    </row>
    <row r="554" spans="1:2" x14ac:dyDescent="0.25">
      <c r="A554" s="28">
        <v>112094256</v>
      </c>
      <c r="B554" s="26" t="s">
        <v>12554</v>
      </c>
    </row>
    <row r="555" spans="1:2" x14ac:dyDescent="0.25">
      <c r="A555" s="28">
        <v>112094258</v>
      </c>
      <c r="B555" s="26" t="s">
        <v>12555</v>
      </c>
    </row>
    <row r="556" spans="1:2" x14ac:dyDescent="0.25">
      <c r="A556" s="28">
        <v>112094260</v>
      </c>
      <c r="B556" s="26" t="s">
        <v>12556</v>
      </c>
    </row>
    <row r="557" spans="1:2" x14ac:dyDescent="0.25">
      <c r="A557" s="28">
        <v>1120943</v>
      </c>
      <c r="B557" s="26" t="s">
        <v>8655</v>
      </c>
    </row>
    <row r="558" spans="1:2" x14ac:dyDescent="0.25">
      <c r="A558" s="28">
        <v>1120946</v>
      </c>
      <c r="B558" s="26" t="s">
        <v>8660</v>
      </c>
    </row>
    <row r="559" spans="1:2" x14ac:dyDescent="0.25">
      <c r="A559" s="26" t="s">
        <v>12557</v>
      </c>
      <c r="B559" s="27"/>
    </row>
    <row r="560" spans="1:2" x14ac:dyDescent="0.25">
      <c r="A560" s="28">
        <v>1120947</v>
      </c>
      <c r="B560" s="26" t="s">
        <v>8661</v>
      </c>
    </row>
    <row r="561" spans="1:2" x14ac:dyDescent="0.25">
      <c r="A561" s="26" t="s">
        <v>12558</v>
      </c>
      <c r="B561" s="27"/>
    </row>
    <row r="562" spans="1:2" x14ac:dyDescent="0.25">
      <c r="A562" s="28">
        <v>1120948</v>
      </c>
      <c r="B562" s="26" t="s">
        <v>8662</v>
      </c>
    </row>
    <row r="563" spans="1:2" x14ac:dyDescent="0.25">
      <c r="A563" s="26" t="s">
        <v>12559</v>
      </c>
      <c r="B563" s="27"/>
    </row>
    <row r="564" spans="1:2" x14ac:dyDescent="0.25">
      <c r="A564" s="28">
        <v>1120949</v>
      </c>
      <c r="B564" s="26" t="s">
        <v>8663</v>
      </c>
    </row>
    <row r="565" spans="1:2" x14ac:dyDescent="0.25">
      <c r="A565" s="28">
        <v>1120950</v>
      </c>
      <c r="B565" s="26" t="s">
        <v>8533</v>
      </c>
    </row>
    <row r="566" spans="1:2" x14ac:dyDescent="0.25">
      <c r="A566" s="28">
        <v>1120952</v>
      </c>
      <c r="B566" s="26" t="s">
        <v>8534</v>
      </c>
    </row>
    <row r="567" spans="1:2" x14ac:dyDescent="0.25">
      <c r="A567" s="28">
        <v>1120953</v>
      </c>
      <c r="B567" s="26" t="s">
        <v>8535</v>
      </c>
    </row>
    <row r="568" spans="1:2" x14ac:dyDescent="0.25">
      <c r="A568" s="28">
        <v>1120954</v>
      </c>
      <c r="B568" s="26" t="s">
        <v>8536</v>
      </c>
    </row>
    <row r="569" spans="1:2" x14ac:dyDescent="0.25">
      <c r="A569" s="28">
        <v>1120963</v>
      </c>
      <c r="B569" s="26" t="s">
        <v>11021</v>
      </c>
    </row>
    <row r="570" spans="1:2" x14ac:dyDescent="0.25">
      <c r="A570" s="28">
        <v>1120977</v>
      </c>
      <c r="B570" s="26" t="s">
        <v>8638</v>
      </c>
    </row>
    <row r="571" spans="1:2" x14ac:dyDescent="0.25">
      <c r="A571" s="28">
        <v>1120978</v>
      </c>
      <c r="B571" s="26" t="s">
        <v>8656</v>
      </c>
    </row>
    <row r="572" spans="1:2" x14ac:dyDescent="0.25">
      <c r="A572" s="28">
        <v>1120979</v>
      </c>
      <c r="B572" s="26" t="s">
        <v>11022</v>
      </c>
    </row>
    <row r="573" spans="1:2" x14ac:dyDescent="0.25">
      <c r="A573" s="28">
        <v>1120980</v>
      </c>
      <c r="B573" s="26" t="s">
        <v>11023</v>
      </c>
    </row>
    <row r="574" spans="1:2" x14ac:dyDescent="0.25">
      <c r="A574" s="28">
        <v>1121003</v>
      </c>
      <c r="B574" s="26" t="s">
        <v>12560</v>
      </c>
    </row>
    <row r="575" spans="1:2" x14ac:dyDescent="0.25">
      <c r="A575" s="28">
        <v>1121004</v>
      </c>
      <c r="B575" s="26" t="s">
        <v>12561</v>
      </c>
    </row>
    <row r="576" spans="1:2" x14ac:dyDescent="0.25">
      <c r="A576" s="28">
        <v>1121005</v>
      </c>
      <c r="B576" s="26" t="s">
        <v>12562</v>
      </c>
    </row>
    <row r="577" spans="1:2" x14ac:dyDescent="0.25">
      <c r="A577" s="28">
        <v>1121006</v>
      </c>
      <c r="B577" s="26" t="s">
        <v>12563</v>
      </c>
    </row>
    <row r="578" spans="1:2" x14ac:dyDescent="0.25">
      <c r="A578" s="28">
        <v>1121106</v>
      </c>
      <c r="B578" s="26" t="s">
        <v>12564</v>
      </c>
    </row>
    <row r="579" spans="1:2" x14ac:dyDescent="0.25">
      <c r="A579" s="28">
        <v>1121107</v>
      </c>
      <c r="B579" s="26" t="s">
        <v>12565</v>
      </c>
    </row>
    <row r="580" spans="1:2" x14ac:dyDescent="0.25">
      <c r="A580" s="28">
        <v>1121110</v>
      </c>
      <c r="B580" s="26" t="s">
        <v>12566</v>
      </c>
    </row>
    <row r="581" spans="1:2" x14ac:dyDescent="0.25">
      <c r="A581" s="28">
        <v>1121111</v>
      </c>
      <c r="B581" s="26" t="s">
        <v>12567</v>
      </c>
    </row>
    <row r="582" spans="1:2" x14ac:dyDescent="0.25">
      <c r="A582" s="28">
        <v>1121130</v>
      </c>
      <c r="B582" s="26" t="s">
        <v>12568</v>
      </c>
    </row>
    <row r="583" spans="1:2" x14ac:dyDescent="0.25">
      <c r="A583" s="28">
        <v>1121131</v>
      </c>
      <c r="B583" s="26" t="s">
        <v>12569</v>
      </c>
    </row>
    <row r="584" spans="1:2" x14ac:dyDescent="0.25">
      <c r="A584" s="28">
        <v>1121132</v>
      </c>
      <c r="B584" s="26" t="s">
        <v>12570</v>
      </c>
    </row>
    <row r="585" spans="1:2" x14ac:dyDescent="0.25">
      <c r="A585" s="28">
        <v>1121133</v>
      </c>
      <c r="B585" s="26" t="s">
        <v>12571</v>
      </c>
    </row>
    <row r="586" spans="1:2" x14ac:dyDescent="0.25">
      <c r="A586" s="28">
        <v>1121140</v>
      </c>
      <c r="B586" s="26" t="s">
        <v>12572</v>
      </c>
    </row>
    <row r="587" spans="1:2" x14ac:dyDescent="0.25">
      <c r="A587" s="28">
        <v>1121150</v>
      </c>
      <c r="B587" s="26" t="s">
        <v>12573</v>
      </c>
    </row>
    <row r="588" spans="1:2" x14ac:dyDescent="0.25">
      <c r="A588" s="28">
        <v>1121160</v>
      </c>
      <c r="B588" s="26" t="s">
        <v>12574</v>
      </c>
    </row>
    <row r="589" spans="1:2" x14ac:dyDescent="0.25">
      <c r="A589" s="28">
        <v>1121165</v>
      </c>
      <c r="B589" s="26" t="s">
        <v>12575</v>
      </c>
    </row>
    <row r="590" spans="1:2" x14ac:dyDescent="0.25">
      <c r="A590" s="28">
        <v>1121166</v>
      </c>
      <c r="B590" s="26" t="s">
        <v>12576</v>
      </c>
    </row>
    <row r="591" spans="1:2" x14ac:dyDescent="0.25">
      <c r="A591" s="28">
        <v>1121167</v>
      </c>
      <c r="B591" s="26" t="s">
        <v>12577</v>
      </c>
    </row>
    <row r="592" spans="1:2" x14ac:dyDescent="0.25">
      <c r="A592" s="28">
        <v>1121168</v>
      </c>
      <c r="B592" s="26" t="s">
        <v>12578</v>
      </c>
    </row>
    <row r="593" spans="1:2" x14ac:dyDescent="0.25">
      <c r="A593" s="28">
        <v>1121170</v>
      </c>
      <c r="B593" s="26" t="s">
        <v>12579</v>
      </c>
    </row>
    <row r="594" spans="1:2" x14ac:dyDescent="0.25">
      <c r="A594" s="28">
        <v>1121175</v>
      </c>
      <c r="B594" s="26" t="s">
        <v>12580</v>
      </c>
    </row>
    <row r="595" spans="1:2" x14ac:dyDescent="0.25">
      <c r="A595" s="28">
        <v>1121180</v>
      </c>
      <c r="B595" s="26" t="s">
        <v>12581</v>
      </c>
    </row>
    <row r="596" spans="1:2" x14ac:dyDescent="0.25">
      <c r="A596" s="28">
        <v>1121182</v>
      </c>
      <c r="B596" s="26" t="s">
        <v>12582</v>
      </c>
    </row>
    <row r="597" spans="1:2" x14ac:dyDescent="0.25">
      <c r="A597" s="28">
        <v>1121183</v>
      </c>
      <c r="B597" s="26" t="s">
        <v>12583</v>
      </c>
    </row>
    <row r="598" spans="1:2" x14ac:dyDescent="0.25">
      <c r="A598" s="28">
        <v>1121184</v>
      </c>
      <c r="B598" s="26" t="s">
        <v>12584</v>
      </c>
    </row>
    <row r="599" spans="1:2" x14ac:dyDescent="0.25">
      <c r="A599" s="28">
        <v>1121185</v>
      </c>
      <c r="B599" s="26" t="s">
        <v>12585</v>
      </c>
    </row>
    <row r="600" spans="1:2" x14ac:dyDescent="0.25">
      <c r="A600" s="28">
        <v>1121190</v>
      </c>
      <c r="B600" s="26" t="s">
        <v>12586</v>
      </c>
    </row>
    <row r="601" spans="1:2" x14ac:dyDescent="0.25">
      <c r="A601" s="28">
        <v>1121195</v>
      </c>
      <c r="B601" s="26" t="s">
        <v>12587</v>
      </c>
    </row>
    <row r="602" spans="1:2" x14ac:dyDescent="0.25">
      <c r="A602" s="28">
        <v>1121206</v>
      </c>
      <c r="B602" s="26" t="s">
        <v>12588</v>
      </c>
    </row>
    <row r="603" spans="1:2" x14ac:dyDescent="0.25">
      <c r="A603" s="28">
        <v>1121207</v>
      </c>
      <c r="B603" s="26" t="s">
        <v>12589</v>
      </c>
    </row>
    <row r="604" spans="1:2" x14ac:dyDescent="0.25">
      <c r="A604" s="28">
        <v>1121208</v>
      </c>
      <c r="B604" s="26" t="s">
        <v>12590</v>
      </c>
    </row>
    <row r="605" spans="1:2" x14ac:dyDescent="0.25">
      <c r="A605" s="28">
        <v>1121209</v>
      </c>
      <c r="B605" s="26" t="s">
        <v>12591</v>
      </c>
    </row>
    <row r="606" spans="1:2" x14ac:dyDescent="0.25">
      <c r="A606" s="28">
        <v>1121224</v>
      </c>
      <c r="B606" s="26" t="s">
        <v>12592</v>
      </c>
    </row>
    <row r="607" spans="1:2" x14ac:dyDescent="0.25">
      <c r="A607" s="28">
        <v>1121225</v>
      </c>
      <c r="B607" s="26" t="s">
        <v>12593</v>
      </c>
    </row>
    <row r="608" spans="1:2" x14ac:dyDescent="0.25">
      <c r="A608" s="28">
        <v>1121246</v>
      </c>
      <c r="B608" s="26" t="s">
        <v>12594</v>
      </c>
    </row>
    <row r="609" spans="1:2" x14ac:dyDescent="0.25">
      <c r="A609" s="28">
        <v>1121247</v>
      </c>
      <c r="B609" s="26" t="s">
        <v>12595</v>
      </c>
    </row>
    <row r="610" spans="1:2" x14ac:dyDescent="0.25">
      <c r="A610" s="28">
        <v>1121248</v>
      </c>
      <c r="B610" s="26" t="s">
        <v>12596</v>
      </c>
    </row>
    <row r="611" spans="1:2" x14ac:dyDescent="0.25">
      <c r="A611" s="28">
        <v>1121285</v>
      </c>
      <c r="B611" s="26" t="s">
        <v>12597</v>
      </c>
    </row>
    <row r="612" spans="1:2" x14ac:dyDescent="0.25">
      <c r="A612" s="28">
        <v>1121315</v>
      </c>
      <c r="B612" s="26" t="s">
        <v>12598</v>
      </c>
    </row>
    <row r="613" spans="1:2" x14ac:dyDescent="0.25">
      <c r="A613" s="28">
        <v>1121316</v>
      </c>
      <c r="B613" s="26" t="s">
        <v>12599</v>
      </c>
    </row>
    <row r="614" spans="1:2" x14ac:dyDescent="0.25">
      <c r="A614" s="28">
        <v>1121317</v>
      </c>
      <c r="B614" s="26" t="s">
        <v>12600</v>
      </c>
    </row>
    <row r="615" spans="1:2" x14ac:dyDescent="0.25">
      <c r="A615" s="28">
        <v>1121318</v>
      </c>
      <c r="B615" s="26" t="s">
        <v>12601</v>
      </c>
    </row>
    <row r="616" spans="1:2" x14ac:dyDescent="0.25">
      <c r="A616" s="28">
        <v>1121323</v>
      </c>
      <c r="B616" s="26" t="s">
        <v>12602</v>
      </c>
    </row>
    <row r="617" spans="1:2" x14ac:dyDescent="0.25">
      <c r="A617" s="28">
        <v>1121324</v>
      </c>
      <c r="B617" s="26" t="s">
        <v>12603</v>
      </c>
    </row>
    <row r="618" spans="1:2" x14ac:dyDescent="0.25">
      <c r="A618" s="28">
        <v>1121325</v>
      </c>
      <c r="B618" s="26" t="s">
        <v>12604</v>
      </c>
    </row>
    <row r="619" spans="1:2" x14ac:dyDescent="0.25">
      <c r="A619" s="28">
        <v>1121330</v>
      </c>
      <c r="B619" s="26" t="s">
        <v>12605</v>
      </c>
    </row>
    <row r="620" spans="1:2" x14ac:dyDescent="0.25">
      <c r="A620" s="28">
        <v>1121331</v>
      </c>
      <c r="B620" s="26" t="s">
        <v>12606</v>
      </c>
    </row>
    <row r="621" spans="1:2" x14ac:dyDescent="0.25">
      <c r="A621" s="28">
        <v>1121332</v>
      </c>
      <c r="B621" s="26" t="s">
        <v>12607</v>
      </c>
    </row>
    <row r="622" spans="1:2" x14ac:dyDescent="0.25">
      <c r="A622" s="28">
        <v>1121333</v>
      </c>
      <c r="B622" s="26" t="s">
        <v>12608</v>
      </c>
    </row>
    <row r="623" spans="1:2" x14ac:dyDescent="0.25">
      <c r="A623" s="28">
        <v>1121334</v>
      </c>
      <c r="B623" s="26" t="s">
        <v>12609</v>
      </c>
    </row>
    <row r="624" spans="1:2" x14ac:dyDescent="0.25">
      <c r="A624" s="28">
        <v>1121335</v>
      </c>
      <c r="B624" s="26" t="s">
        <v>12610</v>
      </c>
    </row>
    <row r="625" spans="1:2" x14ac:dyDescent="0.25">
      <c r="A625" s="28">
        <v>1121336</v>
      </c>
      <c r="B625" s="26" t="s">
        <v>12611</v>
      </c>
    </row>
    <row r="626" spans="1:2" x14ac:dyDescent="0.25">
      <c r="A626" s="28">
        <v>1121400</v>
      </c>
      <c r="B626" s="26" t="s">
        <v>12612</v>
      </c>
    </row>
    <row r="627" spans="1:2" x14ac:dyDescent="0.25">
      <c r="A627" s="28">
        <v>1121401</v>
      </c>
      <c r="B627" s="26" t="s">
        <v>12613</v>
      </c>
    </row>
    <row r="628" spans="1:2" x14ac:dyDescent="0.25">
      <c r="A628" s="28">
        <v>1121402</v>
      </c>
      <c r="B628" s="26" t="s">
        <v>12614</v>
      </c>
    </row>
    <row r="629" spans="1:2" x14ac:dyDescent="0.25">
      <c r="A629" s="28">
        <v>1121433</v>
      </c>
      <c r="B629" s="26" t="s">
        <v>12615</v>
      </c>
    </row>
    <row r="630" spans="1:2" x14ac:dyDescent="0.25">
      <c r="A630" s="28">
        <v>1121434</v>
      </c>
      <c r="B630" s="26" t="s">
        <v>12616</v>
      </c>
    </row>
    <row r="631" spans="1:2" x14ac:dyDescent="0.25">
      <c r="A631" s="28">
        <v>1121441</v>
      </c>
      <c r="B631" s="26" t="s">
        <v>12617</v>
      </c>
    </row>
    <row r="632" spans="1:2" x14ac:dyDescent="0.25">
      <c r="A632" s="28">
        <v>1121442</v>
      </c>
      <c r="B632" s="26" t="s">
        <v>12618</v>
      </c>
    </row>
    <row r="633" spans="1:2" x14ac:dyDescent="0.25">
      <c r="A633" s="28">
        <v>1121443</v>
      </c>
      <c r="B633" s="26" t="s">
        <v>12619</v>
      </c>
    </row>
    <row r="634" spans="1:2" x14ac:dyDescent="0.25">
      <c r="A634" s="28">
        <v>1121444</v>
      </c>
      <c r="B634" s="26" t="s">
        <v>12620</v>
      </c>
    </row>
    <row r="635" spans="1:2" x14ac:dyDescent="0.25">
      <c r="A635" s="28">
        <v>1121445</v>
      </c>
      <c r="B635" s="26" t="s">
        <v>12621</v>
      </c>
    </row>
    <row r="636" spans="1:2" x14ac:dyDescent="0.25">
      <c r="A636" s="28">
        <v>1121446</v>
      </c>
      <c r="B636" s="26" t="s">
        <v>12622</v>
      </c>
    </row>
    <row r="637" spans="1:2" x14ac:dyDescent="0.25">
      <c r="A637" s="28">
        <v>1121462</v>
      </c>
      <c r="B637" s="26" t="s">
        <v>12623</v>
      </c>
    </row>
    <row r="638" spans="1:2" x14ac:dyDescent="0.25">
      <c r="A638" s="28">
        <v>1121463</v>
      </c>
      <c r="B638" s="26" t="s">
        <v>12624</v>
      </c>
    </row>
    <row r="639" spans="1:2" x14ac:dyDescent="0.25">
      <c r="A639" s="28">
        <v>1121464</v>
      </c>
      <c r="B639" s="26" t="s">
        <v>12625</v>
      </c>
    </row>
    <row r="640" spans="1:2" x14ac:dyDescent="0.25">
      <c r="A640" s="28">
        <v>1121478</v>
      </c>
      <c r="B640" s="26" t="s">
        <v>12626</v>
      </c>
    </row>
    <row r="641" spans="1:2" x14ac:dyDescent="0.25">
      <c r="A641" s="28">
        <v>1121479</v>
      </c>
      <c r="B641" s="26" t="s">
        <v>12627</v>
      </c>
    </row>
    <row r="642" spans="1:2" x14ac:dyDescent="0.25">
      <c r="A642" s="28">
        <v>1121493</v>
      </c>
      <c r="B642" s="26" t="s">
        <v>12628</v>
      </c>
    </row>
    <row r="643" spans="1:2" x14ac:dyDescent="0.25">
      <c r="A643" s="28">
        <v>1121496</v>
      </c>
      <c r="B643" s="26" t="s">
        <v>12629</v>
      </c>
    </row>
    <row r="644" spans="1:2" x14ac:dyDescent="0.25">
      <c r="A644" s="28">
        <v>1121497</v>
      </c>
      <c r="B644" s="26" t="s">
        <v>12630</v>
      </c>
    </row>
    <row r="645" spans="1:2" x14ac:dyDescent="0.25">
      <c r="A645" s="28">
        <v>1121498</v>
      </c>
      <c r="B645" s="26" t="s">
        <v>12631</v>
      </c>
    </row>
    <row r="646" spans="1:2" x14ac:dyDescent="0.25">
      <c r="A646" s="28">
        <v>1121499</v>
      </c>
      <c r="B646" s="26" t="s">
        <v>12632</v>
      </c>
    </row>
    <row r="647" spans="1:2" x14ac:dyDescent="0.25">
      <c r="A647" s="28">
        <v>1121512</v>
      </c>
      <c r="B647" s="26" t="s">
        <v>12633</v>
      </c>
    </row>
    <row r="648" spans="1:2" x14ac:dyDescent="0.25">
      <c r="A648" s="28">
        <v>1121513</v>
      </c>
      <c r="B648" s="26" t="s">
        <v>12634</v>
      </c>
    </row>
    <row r="649" spans="1:2" x14ac:dyDescent="0.25">
      <c r="A649" s="28">
        <v>1121514</v>
      </c>
      <c r="B649" s="26" t="s">
        <v>12635</v>
      </c>
    </row>
    <row r="650" spans="1:2" x14ac:dyDescent="0.25">
      <c r="A650" s="28">
        <v>1121623</v>
      </c>
      <c r="B650" s="26" t="s">
        <v>12636</v>
      </c>
    </row>
    <row r="651" spans="1:2" x14ac:dyDescent="0.25">
      <c r="A651" s="28">
        <v>1121624</v>
      </c>
      <c r="B651" s="26" t="s">
        <v>12637</v>
      </c>
    </row>
    <row r="652" spans="1:2" x14ac:dyDescent="0.25">
      <c r="A652" s="28">
        <v>1121625</v>
      </c>
      <c r="B652" s="26" t="s">
        <v>12638</v>
      </c>
    </row>
    <row r="653" spans="1:2" x14ac:dyDescent="0.25">
      <c r="A653" s="28">
        <v>1121626</v>
      </c>
      <c r="B653" s="26" t="s">
        <v>12639</v>
      </c>
    </row>
    <row r="654" spans="1:2" x14ac:dyDescent="0.25">
      <c r="A654" s="28">
        <v>1121640</v>
      </c>
      <c r="B654" s="26" t="s">
        <v>12640</v>
      </c>
    </row>
    <row r="655" spans="1:2" x14ac:dyDescent="0.25">
      <c r="A655" s="28">
        <v>1121641</v>
      </c>
      <c r="B655" s="26" t="s">
        <v>12641</v>
      </c>
    </row>
    <row r="656" spans="1:2" x14ac:dyDescent="0.25">
      <c r="A656" s="28">
        <v>1121642</v>
      </c>
      <c r="B656" s="26" t="s">
        <v>12642</v>
      </c>
    </row>
    <row r="657" spans="1:2" x14ac:dyDescent="0.25">
      <c r="A657" s="28">
        <v>1121643</v>
      </c>
      <c r="B657" s="26" t="s">
        <v>12643</v>
      </c>
    </row>
    <row r="658" spans="1:2" x14ac:dyDescent="0.25">
      <c r="A658" s="28">
        <v>1121666</v>
      </c>
      <c r="B658" s="26" t="s">
        <v>12644</v>
      </c>
    </row>
    <row r="659" spans="1:2" x14ac:dyDescent="0.25">
      <c r="A659" s="28">
        <v>1121667</v>
      </c>
      <c r="B659" s="26" t="s">
        <v>12645</v>
      </c>
    </row>
    <row r="660" spans="1:2" x14ac:dyDescent="0.25">
      <c r="A660" s="28">
        <v>1121668</v>
      </c>
      <c r="B660" s="26" t="s">
        <v>12646</v>
      </c>
    </row>
    <row r="661" spans="1:2" x14ac:dyDescent="0.25">
      <c r="A661" s="28">
        <v>1121669</v>
      </c>
      <c r="B661" s="26" t="s">
        <v>12647</v>
      </c>
    </row>
    <row r="662" spans="1:2" x14ac:dyDescent="0.25">
      <c r="A662" s="28">
        <v>1121750</v>
      </c>
      <c r="B662" s="26" t="s">
        <v>12648</v>
      </c>
    </row>
    <row r="663" spans="1:2" x14ac:dyDescent="0.25">
      <c r="A663" s="28">
        <v>1121751</v>
      </c>
      <c r="B663" s="26" t="s">
        <v>12649</v>
      </c>
    </row>
    <row r="664" spans="1:2" x14ac:dyDescent="0.25">
      <c r="A664" s="28">
        <v>1121752</v>
      </c>
      <c r="B664" s="26" t="s">
        <v>12650</v>
      </c>
    </row>
    <row r="665" spans="1:2" x14ac:dyDescent="0.25">
      <c r="A665" s="28">
        <v>1121753</v>
      </c>
      <c r="B665" s="26" t="s">
        <v>12651</v>
      </c>
    </row>
    <row r="666" spans="1:2" x14ac:dyDescent="0.25">
      <c r="A666" s="28">
        <v>1121800</v>
      </c>
      <c r="B666" s="26" t="s">
        <v>12652</v>
      </c>
    </row>
    <row r="667" spans="1:2" x14ac:dyDescent="0.25">
      <c r="A667" s="28">
        <v>1121801</v>
      </c>
      <c r="B667" s="26" t="s">
        <v>12653</v>
      </c>
    </row>
    <row r="668" spans="1:2" x14ac:dyDescent="0.25">
      <c r="A668" s="28">
        <v>1121802</v>
      </c>
      <c r="B668" s="26" t="s">
        <v>12654</v>
      </c>
    </row>
    <row r="669" spans="1:2" x14ac:dyDescent="0.25">
      <c r="A669" s="28">
        <v>1121803</v>
      </c>
      <c r="B669" s="26" t="s">
        <v>12655</v>
      </c>
    </row>
    <row r="670" spans="1:2" x14ac:dyDescent="0.25">
      <c r="A670" s="28">
        <v>1121850</v>
      </c>
      <c r="B670" s="26" t="s">
        <v>12656</v>
      </c>
    </row>
    <row r="671" spans="1:2" x14ac:dyDescent="0.25">
      <c r="A671" s="28">
        <v>1121851</v>
      </c>
      <c r="B671" s="26" t="s">
        <v>12657</v>
      </c>
    </row>
    <row r="672" spans="1:2" x14ac:dyDescent="0.25">
      <c r="A672" s="28">
        <v>1121852</v>
      </c>
      <c r="B672" s="26" t="s">
        <v>12658</v>
      </c>
    </row>
    <row r="673" spans="1:2" x14ac:dyDescent="0.25">
      <c r="A673" s="28">
        <v>1121853</v>
      </c>
      <c r="B673" s="26" t="s">
        <v>12659</v>
      </c>
    </row>
    <row r="674" spans="1:2" x14ac:dyDescent="0.25">
      <c r="A674" s="28">
        <v>1121856</v>
      </c>
      <c r="B674" s="26" t="s">
        <v>12660</v>
      </c>
    </row>
    <row r="675" spans="1:2" x14ac:dyDescent="0.25">
      <c r="A675" s="28">
        <v>1121857</v>
      </c>
      <c r="B675" s="26" t="s">
        <v>12661</v>
      </c>
    </row>
    <row r="676" spans="1:2" x14ac:dyDescent="0.25">
      <c r="A676" s="28">
        <v>1121858</v>
      </c>
      <c r="B676" s="26" t="s">
        <v>12662</v>
      </c>
    </row>
    <row r="677" spans="1:2" x14ac:dyDescent="0.25">
      <c r="A677" s="28">
        <v>1121859</v>
      </c>
      <c r="B677" s="26" t="s">
        <v>12663</v>
      </c>
    </row>
    <row r="678" spans="1:2" x14ac:dyDescent="0.25">
      <c r="A678" s="28">
        <v>1121860</v>
      </c>
      <c r="B678" s="26" t="s">
        <v>12664</v>
      </c>
    </row>
    <row r="679" spans="1:2" x14ac:dyDescent="0.25">
      <c r="A679" s="28">
        <v>1121861</v>
      </c>
      <c r="B679" s="26" t="s">
        <v>12665</v>
      </c>
    </row>
    <row r="680" spans="1:2" x14ac:dyDescent="0.25">
      <c r="A680" s="28">
        <v>1121862</v>
      </c>
      <c r="B680" s="26" t="s">
        <v>12666</v>
      </c>
    </row>
    <row r="681" spans="1:2" x14ac:dyDescent="0.25">
      <c r="A681" s="28">
        <v>1121863</v>
      </c>
      <c r="B681" s="26" t="s">
        <v>12667</v>
      </c>
    </row>
    <row r="682" spans="1:2" x14ac:dyDescent="0.25">
      <c r="A682" s="28">
        <v>1121873</v>
      </c>
      <c r="B682" s="26" t="s">
        <v>12668</v>
      </c>
    </row>
    <row r="683" spans="1:2" x14ac:dyDescent="0.25">
      <c r="A683" s="28">
        <v>1121875</v>
      </c>
      <c r="B683" s="26" t="s">
        <v>12669</v>
      </c>
    </row>
    <row r="684" spans="1:2" x14ac:dyDescent="0.25">
      <c r="A684" s="28">
        <v>1121876</v>
      </c>
      <c r="B684" s="26" t="s">
        <v>12670</v>
      </c>
    </row>
    <row r="685" spans="1:2" x14ac:dyDescent="0.25">
      <c r="A685" s="28">
        <v>1121877</v>
      </c>
      <c r="B685" s="26" t="s">
        <v>12671</v>
      </c>
    </row>
    <row r="686" spans="1:2" x14ac:dyDescent="0.25">
      <c r="A686" s="28">
        <v>1121879</v>
      </c>
      <c r="B686" s="26" t="s">
        <v>12672</v>
      </c>
    </row>
    <row r="687" spans="1:2" x14ac:dyDescent="0.25">
      <c r="A687" s="28">
        <v>1121881</v>
      </c>
      <c r="B687" s="26" t="s">
        <v>12673</v>
      </c>
    </row>
    <row r="688" spans="1:2" x14ac:dyDescent="0.25">
      <c r="A688" s="28">
        <v>1121882</v>
      </c>
      <c r="B688" s="26" t="s">
        <v>12674</v>
      </c>
    </row>
    <row r="689" spans="1:2" x14ac:dyDescent="0.25">
      <c r="A689" s="28">
        <v>1121887</v>
      </c>
      <c r="B689" s="26" t="s">
        <v>12675</v>
      </c>
    </row>
    <row r="690" spans="1:2" x14ac:dyDescent="0.25">
      <c r="A690" s="28">
        <v>1121900</v>
      </c>
      <c r="B690" s="26" t="s">
        <v>12676</v>
      </c>
    </row>
    <row r="691" spans="1:2" x14ac:dyDescent="0.25">
      <c r="A691" s="28">
        <v>1121901</v>
      </c>
      <c r="B691" s="26" t="s">
        <v>12677</v>
      </c>
    </row>
    <row r="692" spans="1:2" x14ac:dyDescent="0.25">
      <c r="A692" s="28">
        <v>1121902</v>
      </c>
      <c r="B692" s="26" t="s">
        <v>12678</v>
      </c>
    </row>
    <row r="693" spans="1:2" x14ac:dyDescent="0.25">
      <c r="A693" s="28">
        <v>1121903</v>
      </c>
      <c r="B693" s="26" t="s">
        <v>12679</v>
      </c>
    </row>
    <row r="694" spans="1:2" x14ac:dyDescent="0.25">
      <c r="A694" s="28">
        <v>1121904</v>
      </c>
      <c r="B694" s="26" t="s">
        <v>12680</v>
      </c>
    </row>
    <row r="695" spans="1:2" x14ac:dyDescent="0.25">
      <c r="A695" s="28">
        <v>1121940</v>
      </c>
      <c r="B695" s="26" t="s">
        <v>12681</v>
      </c>
    </row>
    <row r="696" spans="1:2" x14ac:dyDescent="0.25">
      <c r="A696" s="28">
        <v>1121941</v>
      </c>
      <c r="B696" s="26" t="s">
        <v>12682</v>
      </c>
    </row>
    <row r="697" spans="1:2" x14ac:dyDescent="0.25">
      <c r="A697" s="28">
        <v>1121942</v>
      </c>
      <c r="B697" s="26" t="s">
        <v>12683</v>
      </c>
    </row>
    <row r="698" spans="1:2" x14ac:dyDescent="0.25">
      <c r="A698" s="28">
        <v>1121943</v>
      </c>
      <c r="B698" s="26" t="s">
        <v>12684</v>
      </c>
    </row>
    <row r="699" spans="1:2" x14ac:dyDescent="0.25">
      <c r="A699" s="28">
        <v>1121946</v>
      </c>
      <c r="B699" s="26" t="s">
        <v>12685</v>
      </c>
    </row>
    <row r="700" spans="1:2" x14ac:dyDescent="0.25">
      <c r="A700" s="28">
        <v>1121947</v>
      </c>
      <c r="B700" s="26" t="s">
        <v>12686</v>
      </c>
    </row>
    <row r="701" spans="1:2" x14ac:dyDescent="0.25">
      <c r="A701" s="28">
        <v>1121948</v>
      </c>
      <c r="B701" s="26" t="s">
        <v>12687</v>
      </c>
    </row>
    <row r="702" spans="1:2" x14ac:dyDescent="0.25">
      <c r="A702" s="28">
        <v>1121949</v>
      </c>
      <c r="B702" s="26" t="s">
        <v>12688</v>
      </c>
    </row>
    <row r="703" spans="1:2" x14ac:dyDescent="0.25">
      <c r="A703" s="28">
        <v>1121950</v>
      </c>
      <c r="B703" s="26" t="s">
        <v>12689</v>
      </c>
    </row>
    <row r="704" spans="1:2" x14ac:dyDescent="0.25">
      <c r="A704" s="28">
        <v>1121952</v>
      </c>
      <c r="B704" s="26" t="s">
        <v>12690</v>
      </c>
    </row>
    <row r="705" spans="1:2" x14ac:dyDescent="0.25">
      <c r="A705" s="28">
        <v>1121953</v>
      </c>
      <c r="B705" s="26" t="s">
        <v>12691</v>
      </c>
    </row>
    <row r="706" spans="1:2" x14ac:dyDescent="0.25">
      <c r="A706" s="28">
        <v>1121954</v>
      </c>
      <c r="B706" s="26" t="s">
        <v>12692</v>
      </c>
    </row>
    <row r="707" spans="1:2" x14ac:dyDescent="0.25">
      <c r="A707" s="28">
        <v>1121977</v>
      </c>
      <c r="B707" s="26" t="s">
        <v>12693</v>
      </c>
    </row>
    <row r="708" spans="1:2" x14ac:dyDescent="0.25">
      <c r="A708" s="28">
        <v>1121978</v>
      </c>
      <c r="B708" s="26" t="s">
        <v>12694</v>
      </c>
    </row>
    <row r="709" spans="1:2" x14ac:dyDescent="0.25">
      <c r="A709" s="28">
        <v>1121979</v>
      </c>
      <c r="B709" s="26" t="s">
        <v>12695</v>
      </c>
    </row>
    <row r="710" spans="1:2" x14ac:dyDescent="0.25">
      <c r="A710" s="28">
        <v>1121980</v>
      </c>
      <c r="B710" s="26" t="s">
        <v>12696</v>
      </c>
    </row>
    <row r="711" spans="1:2" x14ac:dyDescent="0.25">
      <c r="A711" s="28">
        <v>1123456</v>
      </c>
      <c r="B711" s="26" t="s">
        <v>8538</v>
      </c>
    </row>
    <row r="712" spans="1:2" x14ac:dyDescent="0.25">
      <c r="A712" s="28">
        <v>1123457</v>
      </c>
      <c r="B712" s="26" t="s">
        <v>8539</v>
      </c>
    </row>
    <row r="713" spans="1:2" x14ac:dyDescent="0.25">
      <c r="A713" s="28">
        <v>1123458</v>
      </c>
      <c r="B713" s="26" t="s">
        <v>8540</v>
      </c>
    </row>
    <row r="714" spans="1:2" x14ac:dyDescent="0.25">
      <c r="A714" s="28">
        <v>1130000</v>
      </c>
      <c r="B714" s="26" t="s">
        <v>10015</v>
      </c>
    </row>
    <row r="715" spans="1:2" x14ac:dyDescent="0.25">
      <c r="A715" s="28">
        <v>1130001</v>
      </c>
      <c r="B715" s="26" t="s">
        <v>11024</v>
      </c>
    </row>
    <row r="716" spans="1:2" x14ac:dyDescent="0.25">
      <c r="A716" s="28">
        <v>1130002</v>
      </c>
      <c r="B716" s="26" t="s">
        <v>11025</v>
      </c>
    </row>
    <row r="717" spans="1:2" x14ac:dyDescent="0.25">
      <c r="A717" s="28">
        <v>1130003</v>
      </c>
      <c r="B717" s="26" t="s">
        <v>11026</v>
      </c>
    </row>
    <row r="718" spans="1:2" x14ac:dyDescent="0.25">
      <c r="A718" s="28">
        <v>1130008</v>
      </c>
      <c r="B718" s="26" t="s">
        <v>10314</v>
      </c>
    </row>
    <row r="719" spans="1:2" x14ac:dyDescent="0.25">
      <c r="A719" s="28">
        <v>1130009</v>
      </c>
      <c r="B719" s="26" t="s">
        <v>10316</v>
      </c>
    </row>
    <row r="720" spans="1:2" x14ac:dyDescent="0.25">
      <c r="A720" s="28">
        <v>1130226</v>
      </c>
      <c r="B720" s="26" t="s">
        <v>10351</v>
      </c>
    </row>
    <row r="721" spans="1:2" x14ac:dyDescent="0.25">
      <c r="A721" s="28">
        <v>1130254</v>
      </c>
      <c r="B721" s="26" t="s">
        <v>10018</v>
      </c>
    </row>
    <row r="722" spans="1:2" x14ac:dyDescent="0.25">
      <c r="A722" s="28">
        <v>1130255</v>
      </c>
      <c r="B722" s="26" t="s">
        <v>10017</v>
      </c>
    </row>
    <row r="723" spans="1:2" x14ac:dyDescent="0.25">
      <c r="A723" s="28">
        <v>1130284</v>
      </c>
      <c r="B723" s="26" t="s">
        <v>11027</v>
      </c>
    </row>
    <row r="724" spans="1:2" x14ac:dyDescent="0.25">
      <c r="A724" s="26" t="s">
        <v>12697</v>
      </c>
      <c r="B724" s="27"/>
    </row>
    <row r="725" spans="1:2" x14ac:dyDescent="0.25">
      <c r="A725" s="28">
        <v>1130285</v>
      </c>
      <c r="B725" s="26" t="s">
        <v>11028</v>
      </c>
    </row>
    <row r="726" spans="1:2" x14ac:dyDescent="0.25">
      <c r="A726" s="28">
        <v>1130495</v>
      </c>
      <c r="B726" s="26" t="s">
        <v>10317</v>
      </c>
    </row>
    <row r="727" spans="1:2" x14ac:dyDescent="0.25">
      <c r="A727" s="28">
        <v>1130496</v>
      </c>
      <c r="B727" s="26" t="s">
        <v>10313</v>
      </c>
    </row>
    <row r="728" spans="1:2" x14ac:dyDescent="0.25">
      <c r="A728" s="28">
        <v>1130549</v>
      </c>
      <c r="B728" s="26" t="s">
        <v>10016</v>
      </c>
    </row>
    <row r="729" spans="1:2" x14ac:dyDescent="0.25">
      <c r="A729" s="28">
        <v>1130555</v>
      </c>
      <c r="B729" s="26" t="s">
        <v>10352</v>
      </c>
    </row>
    <row r="730" spans="1:2" x14ac:dyDescent="0.25">
      <c r="A730" s="28">
        <v>1130713</v>
      </c>
      <c r="B730" s="26" t="s">
        <v>10315</v>
      </c>
    </row>
    <row r="731" spans="1:2" x14ac:dyDescent="0.25">
      <c r="A731" s="28">
        <v>1130745</v>
      </c>
      <c r="B731" s="26" t="s">
        <v>11029</v>
      </c>
    </row>
    <row r="732" spans="1:2" x14ac:dyDescent="0.25">
      <c r="A732" s="28">
        <v>1130750</v>
      </c>
      <c r="B732" s="26" t="s">
        <v>11030</v>
      </c>
    </row>
    <row r="733" spans="1:2" x14ac:dyDescent="0.25">
      <c r="A733" s="28">
        <v>1130751</v>
      </c>
      <c r="B733" s="26" t="s">
        <v>11031</v>
      </c>
    </row>
    <row r="734" spans="1:2" x14ac:dyDescent="0.25">
      <c r="A734" s="28">
        <v>1130894</v>
      </c>
      <c r="B734" s="26" t="s">
        <v>10353</v>
      </c>
    </row>
    <row r="735" spans="1:2" x14ac:dyDescent="0.25">
      <c r="A735" s="28">
        <v>1130900</v>
      </c>
      <c r="B735" s="26" t="s">
        <v>11032</v>
      </c>
    </row>
    <row r="736" spans="1:2" x14ac:dyDescent="0.25">
      <c r="A736" s="28">
        <v>1130965</v>
      </c>
      <c r="B736" s="26" t="s">
        <v>11033</v>
      </c>
    </row>
    <row r="737" spans="1:2" x14ac:dyDescent="0.25">
      <c r="A737" s="28">
        <v>1140000</v>
      </c>
      <c r="B737" s="26" t="s">
        <v>11034</v>
      </c>
    </row>
    <row r="738" spans="1:2" x14ac:dyDescent="0.25">
      <c r="A738" s="28">
        <v>1140001</v>
      </c>
      <c r="B738" s="26" t="s">
        <v>10364</v>
      </c>
    </row>
    <row r="739" spans="1:2" x14ac:dyDescent="0.25">
      <c r="A739" s="26" t="s">
        <v>12698</v>
      </c>
      <c r="B739" s="27"/>
    </row>
    <row r="740" spans="1:2" x14ac:dyDescent="0.25">
      <c r="A740" s="28">
        <v>1200001</v>
      </c>
      <c r="B740" s="26" t="s">
        <v>8604</v>
      </c>
    </row>
    <row r="741" spans="1:2" x14ac:dyDescent="0.25">
      <c r="A741" s="26" t="s">
        <v>12699</v>
      </c>
      <c r="B741" s="26" t="s">
        <v>12700</v>
      </c>
    </row>
    <row r="742" spans="1:2" x14ac:dyDescent="0.25">
      <c r="A742" s="26" t="s">
        <v>12701</v>
      </c>
      <c r="B742" s="27"/>
    </row>
    <row r="743" spans="1:2" x14ac:dyDescent="0.25">
      <c r="A743" s="26" t="s">
        <v>12702</v>
      </c>
      <c r="B743" s="27"/>
    </row>
    <row r="744" spans="1:2" x14ac:dyDescent="0.25">
      <c r="A744" s="28">
        <v>1200003</v>
      </c>
      <c r="B744" s="26" t="s">
        <v>8605</v>
      </c>
    </row>
    <row r="745" spans="1:2" x14ac:dyDescent="0.25">
      <c r="A745" s="26" t="s">
        <v>12703</v>
      </c>
      <c r="B745" s="27"/>
    </row>
    <row r="746" spans="1:2" x14ac:dyDescent="0.25">
      <c r="A746" s="28">
        <v>1200004</v>
      </c>
      <c r="B746" s="26" t="s">
        <v>8606</v>
      </c>
    </row>
    <row r="747" spans="1:2" x14ac:dyDescent="0.25">
      <c r="A747" s="26" t="s">
        <v>12704</v>
      </c>
      <c r="B747" s="27"/>
    </row>
    <row r="748" spans="1:2" x14ac:dyDescent="0.25">
      <c r="A748" s="28">
        <v>1200005</v>
      </c>
      <c r="B748" s="26" t="s">
        <v>8607</v>
      </c>
    </row>
    <row r="749" spans="1:2" x14ac:dyDescent="0.25">
      <c r="A749" s="26" t="s">
        <v>12705</v>
      </c>
      <c r="B749" s="27"/>
    </row>
    <row r="750" spans="1:2" x14ac:dyDescent="0.25">
      <c r="A750" s="28">
        <v>1200011</v>
      </c>
      <c r="B750" s="26" t="s">
        <v>8564</v>
      </c>
    </row>
    <row r="751" spans="1:2" x14ac:dyDescent="0.25">
      <c r="A751" s="26" t="s">
        <v>12706</v>
      </c>
      <c r="B751" s="27"/>
    </row>
    <row r="752" spans="1:2" x14ac:dyDescent="0.25">
      <c r="A752" s="28">
        <v>1200012</v>
      </c>
      <c r="B752" s="26" t="s">
        <v>8565</v>
      </c>
    </row>
    <row r="753" spans="1:2" x14ac:dyDescent="0.25">
      <c r="A753" s="26" t="s">
        <v>12707</v>
      </c>
      <c r="B753" s="27"/>
    </row>
    <row r="754" spans="1:2" x14ac:dyDescent="0.25">
      <c r="A754" s="28">
        <v>1200013</v>
      </c>
      <c r="B754" s="26" t="s">
        <v>8566</v>
      </c>
    </row>
    <row r="755" spans="1:2" x14ac:dyDescent="0.25">
      <c r="A755" s="26" t="s">
        <v>12708</v>
      </c>
      <c r="B755" s="27"/>
    </row>
    <row r="756" spans="1:2" x14ac:dyDescent="0.25">
      <c r="A756" s="28">
        <v>1200014</v>
      </c>
      <c r="B756" s="26" t="s">
        <v>8567</v>
      </c>
    </row>
    <row r="757" spans="1:2" x14ac:dyDescent="0.25">
      <c r="A757" s="26" t="s">
        <v>12709</v>
      </c>
      <c r="B757" s="27"/>
    </row>
    <row r="758" spans="1:2" x14ac:dyDescent="0.25">
      <c r="A758" s="28">
        <v>1200015</v>
      </c>
      <c r="B758" s="26" t="s">
        <v>8568</v>
      </c>
    </row>
    <row r="759" spans="1:2" x14ac:dyDescent="0.25">
      <c r="A759" s="26" t="s">
        <v>12710</v>
      </c>
      <c r="B759" s="27"/>
    </row>
    <row r="760" spans="1:2" x14ac:dyDescent="0.25">
      <c r="A760" s="28">
        <v>1200016</v>
      </c>
      <c r="B760" s="26" t="s">
        <v>8569</v>
      </c>
    </row>
    <row r="761" spans="1:2" x14ac:dyDescent="0.25">
      <c r="A761" s="26" t="s">
        <v>12711</v>
      </c>
      <c r="B761" s="27"/>
    </row>
    <row r="762" spans="1:2" x14ac:dyDescent="0.25">
      <c r="A762" s="28">
        <v>1200900</v>
      </c>
      <c r="B762" s="26" t="s">
        <v>8608</v>
      </c>
    </row>
    <row r="763" spans="1:2" x14ac:dyDescent="0.25">
      <c r="A763" s="26" t="s">
        <v>12712</v>
      </c>
      <c r="B763" s="27"/>
    </row>
    <row r="764" spans="1:2" x14ac:dyDescent="0.25">
      <c r="A764" s="28">
        <v>1200901</v>
      </c>
      <c r="B764" s="26" t="s">
        <v>8609</v>
      </c>
    </row>
    <row r="765" spans="1:2" x14ac:dyDescent="0.25">
      <c r="A765" s="26" t="s">
        <v>12713</v>
      </c>
      <c r="B765" s="27"/>
    </row>
    <row r="766" spans="1:2" x14ac:dyDescent="0.25">
      <c r="A766" s="28">
        <v>1213131</v>
      </c>
      <c r="B766" s="26" t="s">
        <v>11035</v>
      </c>
    </row>
    <row r="767" spans="1:2" x14ac:dyDescent="0.25">
      <c r="A767" s="28">
        <v>123456789</v>
      </c>
      <c r="B767" s="26" t="s">
        <v>13198</v>
      </c>
    </row>
    <row r="768" spans="1:2" x14ac:dyDescent="0.25">
      <c r="A768" s="28">
        <v>1407001</v>
      </c>
      <c r="B768" s="26" t="s">
        <v>10600</v>
      </c>
    </row>
    <row r="769" spans="1:2" x14ac:dyDescent="0.25">
      <c r="A769" s="28">
        <v>1407093</v>
      </c>
      <c r="B769" s="26" t="s">
        <v>10602</v>
      </c>
    </row>
    <row r="770" spans="1:2" x14ac:dyDescent="0.25">
      <c r="A770" s="28">
        <v>1407094</v>
      </c>
      <c r="B770" s="26" t="s">
        <v>10601</v>
      </c>
    </row>
    <row r="771" spans="1:2" x14ac:dyDescent="0.25">
      <c r="A771" s="28">
        <v>1524057</v>
      </c>
      <c r="B771" s="26" t="s">
        <v>11036</v>
      </c>
    </row>
    <row r="772" spans="1:2" x14ac:dyDescent="0.25">
      <c r="A772" s="26" t="s">
        <v>12714</v>
      </c>
      <c r="B772" s="27"/>
    </row>
    <row r="773" spans="1:2" x14ac:dyDescent="0.25">
      <c r="A773" s="28">
        <v>1524058</v>
      </c>
      <c r="B773" s="26" t="s">
        <v>11037</v>
      </c>
    </row>
    <row r="774" spans="1:2" x14ac:dyDescent="0.25">
      <c r="A774" s="28">
        <v>1900100</v>
      </c>
      <c r="B774" s="26" t="s">
        <v>11038</v>
      </c>
    </row>
    <row r="775" spans="1:2" x14ac:dyDescent="0.25">
      <c r="A775" s="26" t="s">
        <v>12715</v>
      </c>
      <c r="B775" s="26" t="s">
        <v>12716</v>
      </c>
    </row>
    <row r="776" spans="1:2" x14ac:dyDescent="0.25">
      <c r="A776" s="26" t="s">
        <v>12717</v>
      </c>
      <c r="B776" s="27"/>
    </row>
    <row r="777" spans="1:2" x14ac:dyDescent="0.25">
      <c r="A777" s="28">
        <v>2</v>
      </c>
      <c r="B777" s="26" t="s">
        <v>12718</v>
      </c>
    </row>
    <row r="778" spans="1:2" x14ac:dyDescent="0.25">
      <c r="A778" s="28">
        <v>2000036</v>
      </c>
      <c r="B778" s="26" t="s">
        <v>11039</v>
      </c>
    </row>
    <row r="779" spans="1:2" x14ac:dyDescent="0.25">
      <c r="A779" s="28">
        <v>2000258</v>
      </c>
      <c r="B779" s="26" t="s">
        <v>11040</v>
      </c>
    </row>
    <row r="780" spans="1:2" x14ac:dyDescent="0.25">
      <c r="A780" s="28">
        <v>2000386</v>
      </c>
      <c r="B780" s="26" t="s">
        <v>11041</v>
      </c>
    </row>
    <row r="781" spans="1:2" x14ac:dyDescent="0.25">
      <c r="A781" s="28">
        <v>2014109</v>
      </c>
      <c r="B781" s="26" t="s">
        <v>11042</v>
      </c>
    </row>
    <row r="782" spans="1:2" x14ac:dyDescent="0.25">
      <c r="A782" s="28">
        <v>2101000</v>
      </c>
      <c r="B782" s="26" t="s">
        <v>9216</v>
      </c>
    </row>
    <row r="783" spans="1:2" x14ac:dyDescent="0.25">
      <c r="A783" s="26" t="s">
        <v>12719</v>
      </c>
      <c r="B783" s="27"/>
    </row>
    <row r="784" spans="1:2" x14ac:dyDescent="0.25">
      <c r="A784" s="28">
        <v>2101001</v>
      </c>
      <c r="B784" s="26" t="s">
        <v>11043</v>
      </c>
    </row>
    <row r="785" spans="1:2" x14ac:dyDescent="0.25">
      <c r="A785" s="28">
        <v>2101002</v>
      </c>
      <c r="B785" s="26" t="s">
        <v>11044</v>
      </c>
    </row>
    <row r="786" spans="1:2" x14ac:dyDescent="0.25">
      <c r="A786" s="28">
        <v>2101003</v>
      </c>
      <c r="B786" s="26" t="s">
        <v>11045</v>
      </c>
    </row>
    <row r="787" spans="1:2" x14ac:dyDescent="0.25">
      <c r="A787" s="28">
        <v>2101004</v>
      </c>
      <c r="B787" s="26" t="s">
        <v>11046</v>
      </c>
    </row>
    <row r="788" spans="1:2" x14ac:dyDescent="0.25">
      <c r="A788" s="28">
        <v>2101005</v>
      </c>
      <c r="B788" s="26" t="s">
        <v>11047</v>
      </c>
    </row>
    <row r="789" spans="1:2" x14ac:dyDescent="0.25">
      <c r="A789" s="28">
        <v>2101006</v>
      </c>
      <c r="B789" s="26" t="s">
        <v>11048</v>
      </c>
    </row>
    <row r="790" spans="1:2" x14ac:dyDescent="0.25">
      <c r="A790" s="28">
        <v>2101007</v>
      </c>
      <c r="B790" s="26" t="s">
        <v>11049</v>
      </c>
    </row>
    <row r="791" spans="1:2" x14ac:dyDescent="0.25">
      <c r="A791" s="28">
        <v>2101008</v>
      </c>
      <c r="B791" s="26" t="s">
        <v>11050</v>
      </c>
    </row>
    <row r="792" spans="1:2" x14ac:dyDescent="0.25">
      <c r="A792" s="28">
        <v>2101009</v>
      </c>
      <c r="B792" s="26" t="s">
        <v>12720</v>
      </c>
    </row>
    <row r="793" spans="1:2" x14ac:dyDescent="0.25">
      <c r="A793" s="28">
        <v>2101010</v>
      </c>
      <c r="B793" s="26" t="s">
        <v>11051</v>
      </c>
    </row>
    <row r="794" spans="1:2" x14ac:dyDescent="0.25">
      <c r="A794" s="28">
        <v>2101013</v>
      </c>
      <c r="B794" s="26" t="s">
        <v>11052</v>
      </c>
    </row>
    <row r="795" spans="1:2" x14ac:dyDescent="0.25">
      <c r="A795" s="28">
        <v>2101014</v>
      </c>
      <c r="B795" s="26" t="s">
        <v>11053</v>
      </c>
    </row>
    <row r="796" spans="1:2" x14ac:dyDescent="0.25">
      <c r="A796" s="28">
        <v>2101015</v>
      </c>
      <c r="B796" s="26" t="s">
        <v>11054</v>
      </c>
    </row>
    <row r="797" spans="1:2" x14ac:dyDescent="0.25">
      <c r="A797" s="28">
        <v>2101016</v>
      </c>
      <c r="B797" s="26" t="s">
        <v>11055</v>
      </c>
    </row>
    <row r="798" spans="1:2" x14ac:dyDescent="0.25">
      <c r="A798" s="28">
        <v>2101026</v>
      </c>
      <c r="B798" s="26" t="s">
        <v>11056</v>
      </c>
    </row>
    <row r="799" spans="1:2" x14ac:dyDescent="0.25">
      <c r="A799" s="28">
        <v>2101027</v>
      </c>
      <c r="B799" s="26" t="s">
        <v>12721</v>
      </c>
    </row>
    <row r="800" spans="1:2" x14ac:dyDescent="0.25">
      <c r="A800" s="28">
        <v>2101060</v>
      </c>
      <c r="B800" s="26" t="s">
        <v>11057</v>
      </c>
    </row>
    <row r="801" spans="1:2" x14ac:dyDescent="0.25">
      <c r="A801" s="28">
        <v>2101098</v>
      </c>
      <c r="B801" s="26" t="s">
        <v>11058</v>
      </c>
    </row>
    <row r="802" spans="1:2" x14ac:dyDescent="0.25">
      <c r="A802" s="28">
        <v>2101100</v>
      </c>
      <c r="B802" s="26" t="s">
        <v>9190</v>
      </c>
    </row>
    <row r="803" spans="1:2" x14ac:dyDescent="0.25">
      <c r="A803" s="28">
        <v>2101101</v>
      </c>
      <c r="B803" s="26" t="s">
        <v>9231</v>
      </c>
    </row>
    <row r="804" spans="1:2" x14ac:dyDescent="0.25">
      <c r="A804" s="28">
        <v>2101102</v>
      </c>
      <c r="B804" s="26" t="s">
        <v>12211</v>
      </c>
    </row>
    <row r="805" spans="1:2" x14ac:dyDescent="0.25">
      <c r="A805" s="28">
        <v>2101103</v>
      </c>
      <c r="B805" s="26" t="s">
        <v>9191</v>
      </c>
    </row>
    <row r="806" spans="1:2" x14ac:dyDescent="0.25">
      <c r="A806" s="28">
        <v>2101105</v>
      </c>
      <c r="B806" s="26" t="s">
        <v>9218</v>
      </c>
    </row>
    <row r="807" spans="1:2" x14ac:dyDescent="0.25">
      <c r="A807" s="28">
        <v>2101106</v>
      </c>
      <c r="B807" s="26" t="s">
        <v>9217</v>
      </c>
    </row>
    <row r="808" spans="1:2" x14ac:dyDescent="0.25">
      <c r="A808" s="28">
        <v>2101108</v>
      </c>
      <c r="B808" s="26" t="s">
        <v>12306</v>
      </c>
    </row>
    <row r="809" spans="1:2" x14ac:dyDescent="0.25">
      <c r="A809" s="28">
        <v>2101109</v>
      </c>
      <c r="B809" s="26" t="s">
        <v>12307</v>
      </c>
    </row>
    <row r="810" spans="1:2" x14ac:dyDescent="0.25">
      <c r="A810" s="28">
        <v>2101110</v>
      </c>
      <c r="B810" s="26" t="s">
        <v>9192</v>
      </c>
    </row>
    <row r="811" spans="1:2" x14ac:dyDescent="0.25">
      <c r="A811" s="28">
        <v>2101111</v>
      </c>
      <c r="B811" s="26" t="s">
        <v>9215</v>
      </c>
    </row>
    <row r="812" spans="1:2" x14ac:dyDescent="0.25">
      <c r="A812" s="28">
        <v>2101113</v>
      </c>
      <c r="B812" s="26" t="s">
        <v>11059</v>
      </c>
    </row>
    <row r="813" spans="1:2" x14ac:dyDescent="0.25">
      <c r="A813" s="28">
        <v>2101114</v>
      </c>
      <c r="B813" s="26" t="s">
        <v>11060</v>
      </c>
    </row>
    <row r="814" spans="1:2" x14ac:dyDescent="0.25">
      <c r="A814" s="28">
        <v>2101115</v>
      </c>
      <c r="B814" s="26" t="s">
        <v>9211</v>
      </c>
    </row>
    <row r="815" spans="1:2" x14ac:dyDescent="0.25">
      <c r="A815" s="28">
        <v>2101116</v>
      </c>
      <c r="B815" s="26" t="s">
        <v>11061</v>
      </c>
    </row>
    <row r="816" spans="1:2" x14ac:dyDescent="0.25">
      <c r="A816" s="28">
        <v>2101117</v>
      </c>
      <c r="B816" s="26" t="s">
        <v>11062</v>
      </c>
    </row>
    <row r="817" spans="1:2" x14ac:dyDescent="0.25">
      <c r="A817" s="28">
        <v>2101120</v>
      </c>
      <c r="B817" s="26" t="s">
        <v>12722</v>
      </c>
    </row>
    <row r="818" spans="1:2" x14ac:dyDescent="0.25">
      <c r="A818" s="28">
        <v>2101121</v>
      </c>
      <c r="B818" s="26" t="s">
        <v>12723</v>
      </c>
    </row>
    <row r="819" spans="1:2" x14ac:dyDescent="0.25">
      <c r="A819" s="28">
        <v>2101158</v>
      </c>
      <c r="B819" s="26" t="s">
        <v>11063</v>
      </c>
    </row>
    <row r="820" spans="1:2" x14ac:dyDescent="0.25">
      <c r="A820" s="28">
        <v>2101200</v>
      </c>
      <c r="B820" s="26" t="s">
        <v>9207</v>
      </c>
    </row>
    <row r="821" spans="1:2" x14ac:dyDescent="0.25">
      <c r="A821" s="28">
        <v>2101201</v>
      </c>
      <c r="B821" s="26" t="s">
        <v>11064</v>
      </c>
    </row>
    <row r="822" spans="1:2" x14ac:dyDescent="0.25">
      <c r="A822" s="28">
        <v>2101202</v>
      </c>
      <c r="B822" s="26" t="s">
        <v>9209</v>
      </c>
    </row>
    <row r="823" spans="1:2" x14ac:dyDescent="0.25">
      <c r="A823" s="28">
        <v>2101203</v>
      </c>
      <c r="B823" s="26" t="s">
        <v>9208</v>
      </c>
    </row>
    <row r="824" spans="1:2" x14ac:dyDescent="0.25">
      <c r="A824" s="28">
        <v>2101251</v>
      </c>
      <c r="B824" s="26" t="s">
        <v>11065</v>
      </c>
    </row>
    <row r="825" spans="1:2" x14ac:dyDescent="0.25">
      <c r="A825" s="28">
        <v>2101300</v>
      </c>
      <c r="B825" s="26" t="s">
        <v>9193</v>
      </c>
    </row>
    <row r="826" spans="1:2" x14ac:dyDescent="0.25">
      <c r="A826" s="28">
        <v>2101301</v>
      </c>
      <c r="B826" s="26" t="s">
        <v>9221</v>
      </c>
    </row>
    <row r="827" spans="1:2" x14ac:dyDescent="0.25">
      <c r="A827" s="28">
        <v>2101302</v>
      </c>
      <c r="B827" s="26" t="s">
        <v>12308</v>
      </c>
    </row>
    <row r="828" spans="1:2" x14ac:dyDescent="0.25">
      <c r="A828" s="28">
        <v>2101303</v>
      </c>
      <c r="B828" s="26" t="s">
        <v>12309</v>
      </c>
    </row>
    <row r="829" spans="1:2" x14ac:dyDescent="0.25">
      <c r="A829" s="28">
        <v>2101321</v>
      </c>
      <c r="B829" s="26" t="s">
        <v>11066</v>
      </c>
    </row>
    <row r="830" spans="1:2" x14ac:dyDescent="0.25">
      <c r="A830" s="28">
        <v>2101333</v>
      </c>
      <c r="B830" s="26" t="s">
        <v>11067</v>
      </c>
    </row>
    <row r="831" spans="1:2" x14ac:dyDescent="0.25">
      <c r="A831" s="28">
        <v>2101350</v>
      </c>
      <c r="B831" s="26" t="s">
        <v>10750</v>
      </c>
    </row>
    <row r="832" spans="1:2" x14ac:dyDescent="0.25">
      <c r="A832" s="28">
        <v>2101351</v>
      </c>
      <c r="B832" s="26" t="s">
        <v>10749</v>
      </c>
    </row>
    <row r="833" spans="1:2" x14ac:dyDescent="0.25">
      <c r="A833" s="28">
        <v>2101369</v>
      </c>
      <c r="B833" s="26" t="s">
        <v>11068</v>
      </c>
    </row>
    <row r="834" spans="1:2" x14ac:dyDescent="0.25">
      <c r="A834" s="28">
        <v>2101395</v>
      </c>
      <c r="B834" s="26" t="s">
        <v>9185</v>
      </c>
    </row>
    <row r="835" spans="1:2" x14ac:dyDescent="0.25">
      <c r="A835" s="28">
        <v>2101396</v>
      </c>
      <c r="B835" s="26" t="s">
        <v>9184</v>
      </c>
    </row>
    <row r="836" spans="1:2" x14ac:dyDescent="0.25">
      <c r="A836" s="28">
        <v>2101397</v>
      </c>
      <c r="B836" s="26" t="s">
        <v>11069</v>
      </c>
    </row>
    <row r="837" spans="1:2" x14ac:dyDescent="0.25">
      <c r="A837" s="28">
        <v>2101400</v>
      </c>
      <c r="B837" s="26" t="s">
        <v>12212</v>
      </c>
    </row>
    <row r="838" spans="1:2" x14ac:dyDescent="0.25">
      <c r="A838" s="28">
        <v>2101401</v>
      </c>
      <c r="B838" s="26" t="s">
        <v>12213</v>
      </c>
    </row>
    <row r="839" spans="1:2" x14ac:dyDescent="0.25">
      <c r="A839" s="28">
        <v>2101493</v>
      </c>
      <c r="B839" s="26" t="s">
        <v>9219</v>
      </c>
    </row>
    <row r="840" spans="1:2" x14ac:dyDescent="0.25">
      <c r="A840" s="28">
        <v>2101494</v>
      </c>
      <c r="B840" s="26" t="s">
        <v>11070</v>
      </c>
    </row>
    <row r="841" spans="1:2" x14ac:dyDescent="0.25">
      <c r="A841" s="28">
        <v>2101495</v>
      </c>
      <c r="B841" s="26" t="s">
        <v>9187</v>
      </c>
    </row>
    <row r="842" spans="1:2" x14ac:dyDescent="0.25">
      <c r="A842" s="28">
        <v>2101496</v>
      </c>
      <c r="B842" s="26" t="s">
        <v>9220</v>
      </c>
    </row>
    <row r="843" spans="1:2" x14ac:dyDescent="0.25">
      <c r="A843" s="28">
        <v>2101497</v>
      </c>
      <c r="B843" s="26" t="s">
        <v>11071</v>
      </c>
    </row>
    <row r="844" spans="1:2" x14ac:dyDescent="0.25">
      <c r="A844" s="28">
        <v>2101498</v>
      </c>
      <c r="B844" s="26" t="s">
        <v>9183</v>
      </c>
    </row>
    <row r="845" spans="1:2" x14ac:dyDescent="0.25">
      <c r="A845" s="28">
        <v>2101499</v>
      </c>
      <c r="B845" s="26" t="s">
        <v>9186</v>
      </c>
    </row>
    <row r="846" spans="1:2" x14ac:dyDescent="0.25">
      <c r="A846" s="28">
        <v>2101500</v>
      </c>
      <c r="B846" s="26" t="s">
        <v>9214</v>
      </c>
    </row>
    <row r="847" spans="1:2" x14ac:dyDescent="0.25">
      <c r="A847" s="28">
        <v>2101501</v>
      </c>
      <c r="B847" s="26" t="s">
        <v>11072</v>
      </c>
    </row>
    <row r="848" spans="1:2" x14ac:dyDescent="0.25">
      <c r="A848" s="28">
        <v>2101502</v>
      </c>
      <c r="B848" s="26" t="s">
        <v>12310</v>
      </c>
    </row>
    <row r="849" spans="1:2" x14ac:dyDescent="0.25">
      <c r="A849" s="28">
        <v>2101503</v>
      </c>
      <c r="B849" s="26" t="s">
        <v>12311</v>
      </c>
    </row>
    <row r="850" spans="1:2" x14ac:dyDescent="0.25">
      <c r="A850" s="28">
        <v>2101510</v>
      </c>
      <c r="B850" s="26" t="s">
        <v>10747</v>
      </c>
    </row>
    <row r="851" spans="1:2" x14ac:dyDescent="0.25">
      <c r="A851" s="28">
        <v>2101520</v>
      </c>
      <c r="B851" s="26" t="s">
        <v>12312</v>
      </c>
    </row>
    <row r="852" spans="1:2" x14ac:dyDescent="0.25">
      <c r="A852" s="28">
        <v>2101521</v>
      </c>
      <c r="B852" s="26" t="s">
        <v>12313</v>
      </c>
    </row>
    <row r="853" spans="1:2" x14ac:dyDescent="0.25">
      <c r="A853" s="28">
        <v>2101530</v>
      </c>
      <c r="B853" s="26" t="s">
        <v>12214</v>
      </c>
    </row>
    <row r="854" spans="1:2" x14ac:dyDescent="0.25">
      <c r="A854" s="28">
        <v>2101531</v>
      </c>
      <c r="B854" s="26" t="s">
        <v>12215</v>
      </c>
    </row>
    <row r="855" spans="1:2" x14ac:dyDescent="0.25">
      <c r="A855" s="28">
        <v>2101532</v>
      </c>
      <c r="B855" s="26" t="s">
        <v>12724</v>
      </c>
    </row>
    <row r="856" spans="1:2" x14ac:dyDescent="0.25">
      <c r="A856" s="28">
        <v>2101533</v>
      </c>
      <c r="B856" s="26" t="s">
        <v>12725</v>
      </c>
    </row>
    <row r="857" spans="1:2" x14ac:dyDescent="0.25">
      <c r="A857" s="28">
        <v>2101550</v>
      </c>
      <c r="B857" s="26" t="s">
        <v>10744</v>
      </c>
    </row>
    <row r="858" spans="1:2" x14ac:dyDescent="0.25">
      <c r="A858" s="28">
        <v>2101551</v>
      </c>
      <c r="B858" s="26" t="s">
        <v>10743</v>
      </c>
    </row>
    <row r="859" spans="1:2" x14ac:dyDescent="0.25">
      <c r="A859" s="28">
        <v>2101552</v>
      </c>
      <c r="B859" s="26" t="s">
        <v>11073</v>
      </c>
    </row>
    <row r="860" spans="1:2" x14ac:dyDescent="0.25">
      <c r="A860" s="28">
        <v>2101553</v>
      </c>
      <c r="B860" s="26" t="s">
        <v>11074</v>
      </c>
    </row>
    <row r="861" spans="1:2" x14ac:dyDescent="0.25">
      <c r="A861" s="28">
        <v>2101555</v>
      </c>
      <c r="B861" s="26" t="s">
        <v>10754</v>
      </c>
    </row>
    <row r="862" spans="1:2" x14ac:dyDescent="0.25">
      <c r="A862" s="28">
        <v>2101556</v>
      </c>
      <c r="B862" s="26" t="s">
        <v>10753</v>
      </c>
    </row>
    <row r="863" spans="1:2" x14ac:dyDescent="0.25">
      <c r="A863" s="28">
        <v>2101557</v>
      </c>
      <c r="B863" s="26" t="s">
        <v>11075</v>
      </c>
    </row>
    <row r="864" spans="1:2" x14ac:dyDescent="0.25">
      <c r="A864" s="28">
        <v>2101558</v>
      </c>
      <c r="B864" s="26" t="s">
        <v>11076</v>
      </c>
    </row>
    <row r="865" spans="1:2" x14ac:dyDescent="0.25">
      <c r="A865" s="28">
        <v>2101559</v>
      </c>
      <c r="B865" s="26" t="s">
        <v>11077</v>
      </c>
    </row>
    <row r="866" spans="1:2" x14ac:dyDescent="0.25">
      <c r="A866" s="28">
        <v>2101560</v>
      </c>
      <c r="B866" s="26" t="s">
        <v>11078</v>
      </c>
    </row>
    <row r="867" spans="1:2" x14ac:dyDescent="0.25">
      <c r="A867" s="28">
        <v>2101561</v>
      </c>
      <c r="B867" s="26" t="s">
        <v>10751</v>
      </c>
    </row>
    <row r="868" spans="1:2" x14ac:dyDescent="0.25">
      <c r="A868" s="28">
        <v>2101562</v>
      </c>
      <c r="B868" s="26" t="s">
        <v>10752</v>
      </c>
    </row>
    <row r="869" spans="1:2" x14ac:dyDescent="0.25">
      <c r="A869" s="28">
        <v>2101563</v>
      </c>
      <c r="B869" s="26" t="s">
        <v>10748</v>
      </c>
    </row>
    <row r="870" spans="1:2" x14ac:dyDescent="0.25">
      <c r="A870" s="28">
        <v>2101564</v>
      </c>
      <c r="B870" s="26" t="s">
        <v>11079</v>
      </c>
    </row>
    <row r="871" spans="1:2" x14ac:dyDescent="0.25">
      <c r="A871" s="28">
        <v>2101565</v>
      </c>
      <c r="B871" s="26" t="s">
        <v>10757</v>
      </c>
    </row>
    <row r="872" spans="1:2" x14ac:dyDescent="0.25">
      <c r="A872" s="28">
        <v>2101566</v>
      </c>
      <c r="B872" s="26" t="s">
        <v>10758</v>
      </c>
    </row>
    <row r="873" spans="1:2" x14ac:dyDescent="0.25">
      <c r="A873" s="28">
        <v>2101567</v>
      </c>
      <c r="B873" s="26" t="s">
        <v>10755</v>
      </c>
    </row>
    <row r="874" spans="1:2" x14ac:dyDescent="0.25">
      <c r="A874" s="28">
        <v>2101568</v>
      </c>
      <c r="B874" s="26" t="s">
        <v>10756</v>
      </c>
    </row>
    <row r="875" spans="1:2" x14ac:dyDescent="0.25">
      <c r="A875" s="28">
        <v>2101569</v>
      </c>
      <c r="B875" s="26" t="s">
        <v>10759</v>
      </c>
    </row>
    <row r="876" spans="1:2" x14ac:dyDescent="0.25">
      <c r="A876" s="28">
        <v>2101570</v>
      </c>
      <c r="B876" s="26" t="s">
        <v>10760</v>
      </c>
    </row>
    <row r="877" spans="1:2" x14ac:dyDescent="0.25">
      <c r="A877" s="28">
        <v>2101580</v>
      </c>
      <c r="B877" s="26" t="s">
        <v>11080</v>
      </c>
    </row>
    <row r="878" spans="1:2" x14ac:dyDescent="0.25">
      <c r="A878" s="28">
        <v>2101600</v>
      </c>
      <c r="B878" s="26" t="s">
        <v>11081</v>
      </c>
    </row>
    <row r="879" spans="1:2" x14ac:dyDescent="0.25">
      <c r="A879" s="28">
        <v>2101601</v>
      </c>
      <c r="B879" s="26" t="s">
        <v>11082</v>
      </c>
    </row>
    <row r="880" spans="1:2" x14ac:dyDescent="0.25">
      <c r="A880" s="28">
        <v>2101602</v>
      </c>
      <c r="B880" s="26" t="s">
        <v>11083</v>
      </c>
    </row>
    <row r="881" spans="1:2" x14ac:dyDescent="0.25">
      <c r="A881" s="28">
        <v>2101603</v>
      </c>
      <c r="B881" s="26" t="s">
        <v>11084</v>
      </c>
    </row>
    <row r="882" spans="1:2" x14ac:dyDescent="0.25">
      <c r="A882" s="28">
        <v>2101604</v>
      </c>
      <c r="B882" s="26" t="s">
        <v>11085</v>
      </c>
    </row>
    <row r="883" spans="1:2" x14ac:dyDescent="0.25">
      <c r="A883" s="28">
        <v>2101605</v>
      </c>
      <c r="B883" s="26" t="s">
        <v>11086</v>
      </c>
    </row>
    <row r="884" spans="1:2" x14ac:dyDescent="0.25">
      <c r="A884" s="28">
        <v>2101650</v>
      </c>
      <c r="B884" s="26" t="s">
        <v>10745</v>
      </c>
    </row>
    <row r="885" spans="1:2" x14ac:dyDescent="0.25">
      <c r="A885" s="28">
        <v>2101651</v>
      </c>
      <c r="B885" s="26" t="s">
        <v>10746</v>
      </c>
    </row>
    <row r="886" spans="1:2" x14ac:dyDescent="0.25">
      <c r="A886" s="28">
        <v>2101657</v>
      </c>
      <c r="B886" s="26" t="s">
        <v>11087</v>
      </c>
    </row>
    <row r="887" spans="1:2" x14ac:dyDescent="0.25">
      <c r="A887" s="28">
        <v>2101658</v>
      </c>
      <c r="B887" s="26" t="s">
        <v>11088</v>
      </c>
    </row>
    <row r="888" spans="1:2" x14ac:dyDescent="0.25">
      <c r="A888" s="28">
        <v>2101666</v>
      </c>
      <c r="B888" s="26" t="s">
        <v>11089</v>
      </c>
    </row>
    <row r="889" spans="1:2" x14ac:dyDescent="0.25">
      <c r="A889" s="28">
        <v>2101741</v>
      </c>
      <c r="B889" s="26" t="s">
        <v>9228</v>
      </c>
    </row>
    <row r="890" spans="1:2" x14ac:dyDescent="0.25">
      <c r="A890" s="28">
        <v>2101742</v>
      </c>
      <c r="B890" s="26" t="s">
        <v>9229</v>
      </c>
    </row>
    <row r="891" spans="1:2" x14ac:dyDescent="0.25">
      <c r="A891" s="28">
        <v>2101743</v>
      </c>
      <c r="B891" s="26" t="s">
        <v>11090</v>
      </c>
    </row>
    <row r="892" spans="1:2" x14ac:dyDescent="0.25">
      <c r="A892" s="28">
        <v>2101744</v>
      </c>
      <c r="B892" s="26" t="s">
        <v>11091</v>
      </c>
    </row>
    <row r="893" spans="1:2" x14ac:dyDescent="0.25">
      <c r="A893" s="28">
        <v>2101750</v>
      </c>
      <c r="B893" s="26" t="s">
        <v>9195</v>
      </c>
    </row>
    <row r="894" spans="1:2" x14ac:dyDescent="0.25">
      <c r="A894" s="28">
        <v>2101751</v>
      </c>
      <c r="B894" s="26" t="s">
        <v>9223</v>
      </c>
    </row>
    <row r="895" spans="1:2" x14ac:dyDescent="0.25">
      <c r="A895" s="28">
        <v>2101752</v>
      </c>
      <c r="B895" s="26" t="s">
        <v>9222</v>
      </c>
    </row>
    <row r="896" spans="1:2" x14ac:dyDescent="0.25">
      <c r="A896" s="28">
        <v>2101760</v>
      </c>
      <c r="B896" s="26" t="s">
        <v>12726</v>
      </c>
    </row>
    <row r="897" spans="1:2" x14ac:dyDescent="0.25">
      <c r="A897" s="28">
        <v>2101761</v>
      </c>
      <c r="B897" s="26" t="s">
        <v>12727</v>
      </c>
    </row>
    <row r="898" spans="1:2" x14ac:dyDescent="0.25">
      <c r="A898" s="28">
        <v>2101770</v>
      </c>
      <c r="B898" s="26" t="s">
        <v>12728</v>
      </c>
    </row>
    <row r="899" spans="1:2" x14ac:dyDescent="0.25">
      <c r="A899" s="28">
        <v>2101771</v>
      </c>
      <c r="B899" s="26" t="s">
        <v>12729</v>
      </c>
    </row>
    <row r="900" spans="1:2" x14ac:dyDescent="0.25">
      <c r="A900" s="28">
        <v>2101799</v>
      </c>
      <c r="B900" s="26" t="s">
        <v>9194</v>
      </c>
    </row>
    <row r="901" spans="1:2" x14ac:dyDescent="0.25">
      <c r="A901" s="28">
        <v>2101802</v>
      </c>
      <c r="B901" s="26" t="s">
        <v>12216</v>
      </c>
    </row>
    <row r="902" spans="1:2" x14ac:dyDescent="0.25">
      <c r="A902" s="28">
        <v>2101803</v>
      </c>
      <c r="B902" s="26" t="s">
        <v>12217</v>
      </c>
    </row>
    <row r="903" spans="1:2" x14ac:dyDescent="0.25">
      <c r="A903" s="28">
        <v>2101877</v>
      </c>
      <c r="B903" s="26" t="s">
        <v>9189</v>
      </c>
    </row>
    <row r="904" spans="1:2" x14ac:dyDescent="0.25">
      <c r="A904" s="28">
        <v>2101878</v>
      </c>
      <c r="B904" s="26" t="s">
        <v>9188</v>
      </c>
    </row>
    <row r="905" spans="1:2" x14ac:dyDescent="0.25">
      <c r="A905" s="28">
        <v>2101879</v>
      </c>
      <c r="B905" s="26" t="s">
        <v>9206</v>
      </c>
    </row>
    <row r="906" spans="1:2" x14ac:dyDescent="0.25">
      <c r="A906" s="28">
        <v>2101880</v>
      </c>
      <c r="B906" s="26" t="s">
        <v>9205</v>
      </c>
    </row>
    <row r="907" spans="1:2" x14ac:dyDescent="0.25">
      <c r="A907" s="28">
        <v>2101888</v>
      </c>
      <c r="B907" s="26" t="s">
        <v>9200</v>
      </c>
    </row>
    <row r="908" spans="1:2" x14ac:dyDescent="0.25">
      <c r="A908" s="28">
        <v>2101889</v>
      </c>
      <c r="B908" s="26" t="s">
        <v>9202</v>
      </c>
    </row>
    <row r="909" spans="1:2" x14ac:dyDescent="0.25">
      <c r="A909" s="26" t="s">
        <v>12730</v>
      </c>
      <c r="B909" s="27"/>
    </row>
    <row r="910" spans="1:2" x14ac:dyDescent="0.25">
      <c r="A910" s="28">
        <v>2101895</v>
      </c>
      <c r="B910" s="26" t="s">
        <v>12314</v>
      </c>
    </row>
    <row r="911" spans="1:2" x14ac:dyDescent="0.25">
      <c r="A911" s="28">
        <v>2101896</v>
      </c>
      <c r="B911" s="26" t="s">
        <v>12315</v>
      </c>
    </row>
    <row r="912" spans="1:2" x14ac:dyDescent="0.25">
      <c r="A912" s="28">
        <v>2101897</v>
      </c>
      <c r="B912" s="26" t="s">
        <v>12316</v>
      </c>
    </row>
    <row r="913" spans="1:2" x14ac:dyDescent="0.25">
      <c r="A913" s="28">
        <v>2101898</v>
      </c>
      <c r="B913" s="26" t="s">
        <v>12317</v>
      </c>
    </row>
    <row r="914" spans="1:2" x14ac:dyDescent="0.25">
      <c r="A914" s="28">
        <v>2101900</v>
      </c>
      <c r="B914" s="26" t="s">
        <v>9197</v>
      </c>
    </row>
    <row r="915" spans="1:2" x14ac:dyDescent="0.25">
      <c r="A915" s="28">
        <v>2101901</v>
      </c>
      <c r="B915" s="26" t="s">
        <v>9225</v>
      </c>
    </row>
    <row r="916" spans="1:2" x14ac:dyDescent="0.25">
      <c r="A916" s="28">
        <v>2101902</v>
      </c>
      <c r="B916" s="26" t="s">
        <v>9224</v>
      </c>
    </row>
    <row r="917" spans="1:2" x14ac:dyDescent="0.25">
      <c r="A917" s="28">
        <v>2101903</v>
      </c>
      <c r="B917" s="26" t="s">
        <v>9198</v>
      </c>
    </row>
    <row r="918" spans="1:2" x14ac:dyDescent="0.25">
      <c r="A918" s="28">
        <v>2101904</v>
      </c>
      <c r="B918" s="26" t="s">
        <v>9199</v>
      </c>
    </row>
    <row r="919" spans="1:2" x14ac:dyDescent="0.25">
      <c r="A919" s="28">
        <v>2101950</v>
      </c>
      <c r="B919" s="26" t="s">
        <v>11092</v>
      </c>
    </row>
    <row r="920" spans="1:2" x14ac:dyDescent="0.25">
      <c r="A920" s="28">
        <v>2101951</v>
      </c>
      <c r="B920" s="26" t="s">
        <v>11093</v>
      </c>
    </row>
    <row r="921" spans="1:2" x14ac:dyDescent="0.25">
      <c r="A921" s="28">
        <v>2101987</v>
      </c>
      <c r="B921" s="26" t="s">
        <v>11094</v>
      </c>
    </row>
    <row r="922" spans="1:2" x14ac:dyDescent="0.25">
      <c r="A922" s="28">
        <v>2101988</v>
      </c>
      <c r="B922" s="26" t="s">
        <v>12731</v>
      </c>
    </row>
    <row r="923" spans="1:2" x14ac:dyDescent="0.25">
      <c r="A923" s="28">
        <v>2101999</v>
      </c>
      <c r="B923" s="26" t="s">
        <v>9196</v>
      </c>
    </row>
    <row r="924" spans="1:2" x14ac:dyDescent="0.25">
      <c r="A924" s="28">
        <v>2103005</v>
      </c>
      <c r="B924" s="26" t="s">
        <v>9203</v>
      </c>
    </row>
    <row r="925" spans="1:2" x14ac:dyDescent="0.25">
      <c r="A925" s="28">
        <v>2103010</v>
      </c>
      <c r="B925" s="26" t="s">
        <v>11095</v>
      </c>
    </row>
    <row r="926" spans="1:2" x14ac:dyDescent="0.25">
      <c r="A926" s="28">
        <v>2103011</v>
      </c>
      <c r="B926" s="26" t="s">
        <v>11096</v>
      </c>
    </row>
    <row r="927" spans="1:2" x14ac:dyDescent="0.25">
      <c r="A927" s="28">
        <v>2103050</v>
      </c>
      <c r="B927" s="26" t="s">
        <v>12732</v>
      </c>
    </row>
    <row r="928" spans="1:2" x14ac:dyDescent="0.25">
      <c r="A928" s="28">
        <v>2103051</v>
      </c>
      <c r="B928" s="26" t="s">
        <v>10732</v>
      </c>
    </row>
    <row r="929" spans="1:2" x14ac:dyDescent="0.25">
      <c r="A929" s="28">
        <v>2103052</v>
      </c>
      <c r="B929" s="26" t="s">
        <v>12733</v>
      </c>
    </row>
    <row r="930" spans="1:2" x14ac:dyDescent="0.25">
      <c r="A930" s="28">
        <v>2103067</v>
      </c>
      <c r="B930" s="26" t="s">
        <v>9212</v>
      </c>
    </row>
    <row r="931" spans="1:2" x14ac:dyDescent="0.25">
      <c r="A931" s="28">
        <v>2103068</v>
      </c>
      <c r="B931" s="26" t="s">
        <v>9201</v>
      </c>
    </row>
    <row r="932" spans="1:2" x14ac:dyDescent="0.25">
      <c r="A932" s="28">
        <v>2103069</v>
      </c>
      <c r="B932" s="26" t="s">
        <v>9213</v>
      </c>
    </row>
    <row r="933" spans="1:2" x14ac:dyDescent="0.25">
      <c r="A933" s="28">
        <v>2103070</v>
      </c>
      <c r="B933" s="26" t="s">
        <v>11097</v>
      </c>
    </row>
    <row r="934" spans="1:2" x14ac:dyDescent="0.25">
      <c r="A934" s="28">
        <v>2103071</v>
      </c>
      <c r="B934" s="26" t="s">
        <v>11098</v>
      </c>
    </row>
    <row r="935" spans="1:2" x14ac:dyDescent="0.25">
      <c r="A935" s="28">
        <v>2103072</v>
      </c>
      <c r="B935" s="26" t="s">
        <v>11099</v>
      </c>
    </row>
    <row r="936" spans="1:2" x14ac:dyDescent="0.25">
      <c r="A936" s="28">
        <v>2103090</v>
      </c>
      <c r="B936" s="26" t="s">
        <v>12734</v>
      </c>
    </row>
    <row r="937" spans="1:2" x14ac:dyDescent="0.25">
      <c r="A937" s="28">
        <v>2103091</v>
      </c>
      <c r="B937" s="26" t="s">
        <v>11100</v>
      </c>
    </row>
    <row r="938" spans="1:2" x14ac:dyDescent="0.25">
      <c r="A938" s="28">
        <v>2103092</v>
      </c>
      <c r="B938" s="26" t="s">
        <v>12735</v>
      </c>
    </row>
    <row r="939" spans="1:2" x14ac:dyDescent="0.25">
      <c r="A939" s="28">
        <v>2103199</v>
      </c>
      <c r="B939" s="26" t="s">
        <v>9210</v>
      </c>
    </row>
    <row r="940" spans="1:2" x14ac:dyDescent="0.25">
      <c r="A940" s="28">
        <v>2103200</v>
      </c>
      <c r="B940" s="26" t="s">
        <v>10772</v>
      </c>
    </row>
    <row r="941" spans="1:2" x14ac:dyDescent="0.25">
      <c r="A941" s="28">
        <v>2103209</v>
      </c>
      <c r="B941" s="26" t="s">
        <v>9230</v>
      </c>
    </row>
    <row r="942" spans="1:2" x14ac:dyDescent="0.25">
      <c r="A942" s="28">
        <v>2103217</v>
      </c>
      <c r="B942" s="26" t="s">
        <v>10773</v>
      </c>
    </row>
    <row r="943" spans="1:2" x14ac:dyDescent="0.25">
      <c r="A943" s="28">
        <v>2103218</v>
      </c>
      <c r="B943" s="26" t="s">
        <v>9227</v>
      </c>
    </row>
    <row r="944" spans="1:2" x14ac:dyDescent="0.25">
      <c r="A944" s="28">
        <v>2103219</v>
      </c>
      <c r="B944" s="26" t="s">
        <v>10771</v>
      </c>
    </row>
    <row r="945" spans="1:2" x14ac:dyDescent="0.25">
      <c r="A945" s="28">
        <v>2103220</v>
      </c>
      <c r="B945" s="26" t="s">
        <v>10774</v>
      </c>
    </row>
    <row r="946" spans="1:2" x14ac:dyDescent="0.25">
      <c r="A946" s="28">
        <v>2103221</v>
      </c>
      <c r="B946" s="26" t="s">
        <v>10775</v>
      </c>
    </row>
    <row r="947" spans="1:2" x14ac:dyDescent="0.25">
      <c r="A947" s="28">
        <v>2103222</v>
      </c>
      <c r="B947" s="26" t="s">
        <v>10776</v>
      </c>
    </row>
    <row r="948" spans="1:2" x14ac:dyDescent="0.25">
      <c r="A948" s="28">
        <v>2103223</v>
      </c>
      <c r="B948" s="26" t="s">
        <v>9226</v>
      </c>
    </row>
    <row r="949" spans="1:2" x14ac:dyDescent="0.25">
      <c r="A949" s="28">
        <v>2103495</v>
      </c>
      <c r="B949" s="26" t="s">
        <v>10770</v>
      </c>
    </row>
    <row r="950" spans="1:2" x14ac:dyDescent="0.25">
      <c r="A950" s="28">
        <v>2103500</v>
      </c>
      <c r="B950" s="26" t="s">
        <v>9204</v>
      </c>
    </row>
    <row r="951" spans="1:2" x14ac:dyDescent="0.25">
      <c r="A951" s="28">
        <v>2103530</v>
      </c>
      <c r="B951" s="26" t="s">
        <v>11101</v>
      </c>
    </row>
    <row r="952" spans="1:2" x14ac:dyDescent="0.25">
      <c r="A952" s="28">
        <v>2103888</v>
      </c>
      <c r="B952" s="26" t="s">
        <v>11102</v>
      </c>
    </row>
    <row r="953" spans="1:2" x14ac:dyDescent="0.25">
      <c r="A953" s="28">
        <v>210388808</v>
      </c>
      <c r="B953" s="26" t="s">
        <v>11103</v>
      </c>
    </row>
    <row r="954" spans="1:2" x14ac:dyDescent="0.25">
      <c r="A954" s="28">
        <v>2105007</v>
      </c>
      <c r="B954" s="26" t="s">
        <v>11104</v>
      </c>
    </row>
    <row r="955" spans="1:2" x14ac:dyDescent="0.25">
      <c r="A955" s="28">
        <v>2105008</v>
      </c>
      <c r="B955" s="26" t="s">
        <v>10782</v>
      </c>
    </row>
    <row r="956" spans="1:2" x14ac:dyDescent="0.25">
      <c r="A956" s="28">
        <v>2105009</v>
      </c>
      <c r="B956" s="26" t="s">
        <v>10781</v>
      </c>
    </row>
    <row r="957" spans="1:2" x14ac:dyDescent="0.25">
      <c r="A957" s="28">
        <v>2105352</v>
      </c>
      <c r="B957" s="26" t="s">
        <v>10780</v>
      </c>
    </row>
    <row r="958" spans="1:2" x14ac:dyDescent="0.25">
      <c r="A958" s="28">
        <v>2105353</v>
      </c>
      <c r="B958" s="26" t="s">
        <v>10779</v>
      </c>
    </row>
    <row r="959" spans="1:2" x14ac:dyDescent="0.25">
      <c r="A959" s="28">
        <v>2105552</v>
      </c>
      <c r="B959" s="26" t="s">
        <v>10778</v>
      </c>
    </row>
    <row r="960" spans="1:2" x14ac:dyDescent="0.25">
      <c r="A960" s="28">
        <v>2105553</v>
      </c>
      <c r="B960" s="26" t="s">
        <v>10777</v>
      </c>
    </row>
    <row r="961" spans="1:2" x14ac:dyDescent="0.25">
      <c r="A961" s="28">
        <v>2105999</v>
      </c>
      <c r="B961" s="26" t="s">
        <v>10767</v>
      </c>
    </row>
    <row r="962" spans="1:2" x14ac:dyDescent="0.25">
      <c r="A962" s="28">
        <v>2203072</v>
      </c>
      <c r="B962" s="26" t="s">
        <v>11105</v>
      </c>
    </row>
    <row r="963" spans="1:2" x14ac:dyDescent="0.25">
      <c r="A963" s="28">
        <v>2220000</v>
      </c>
      <c r="B963" s="26" t="s">
        <v>11106</v>
      </c>
    </row>
    <row r="964" spans="1:2" x14ac:dyDescent="0.25">
      <c r="A964" s="28">
        <v>2220004</v>
      </c>
      <c r="B964" s="26" t="s">
        <v>10731</v>
      </c>
    </row>
    <row r="965" spans="1:2" x14ac:dyDescent="0.25">
      <c r="A965" s="28">
        <v>2220024</v>
      </c>
      <c r="B965" s="26" t="s">
        <v>11107</v>
      </c>
    </row>
    <row r="966" spans="1:2" x14ac:dyDescent="0.25">
      <c r="A966" s="28">
        <v>2220027</v>
      </c>
      <c r="B966" s="26" t="s">
        <v>10769</v>
      </c>
    </row>
    <row r="967" spans="1:2" x14ac:dyDescent="0.25">
      <c r="A967" s="28">
        <v>2220028</v>
      </c>
      <c r="B967" s="26" t="s">
        <v>10768</v>
      </c>
    </row>
    <row r="968" spans="1:2" x14ac:dyDescent="0.25">
      <c r="A968" s="28">
        <v>2220030</v>
      </c>
      <c r="B968" s="26" t="s">
        <v>10596</v>
      </c>
    </row>
    <row r="969" spans="1:2" x14ac:dyDescent="0.25">
      <c r="A969" s="28">
        <v>2220032</v>
      </c>
      <c r="B969" s="26" t="s">
        <v>10598</v>
      </c>
    </row>
    <row r="970" spans="1:2" x14ac:dyDescent="0.25">
      <c r="A970" s="28">
        <v>2220034</v>
      </c>
      <c r="B970" s="26" t="s">
        <v>10597</v>
      </c>
    </row>
    <row r="971" spans="1:2" x14ac:dyDescent="0.25">
      <c r="A971" s="28">
        <v>2220037</v>
      </c>
      <c r="B971" s="26" t="s">
        <v>10599</v>
      </c>
    </row>
    <row r="972" spans="1:2" x14ac:dyDescent="0.25">
      <c r="A972" s="28">
        <v>2220053</v>
      </c>
      <c r="B972" s="26" t="s">
        <v>10763</v>
      </c>
    </row>
    <row r="973" spans="1:2" x14ac:dyDescent="0.25">
      <c r="A973" s="28">
        <v>2220074</v>
      </c>
      <c r="B973" s="26" t="s">
        <v>10762</v>
      </c>
    </row>
    <row r="974" spans="1:2" x14ac:dyDescent="0.25">
      <c r="A974" s="28">
        <v>2220076</v>
      </c>
      <c r="B974" s="26" t="s">
        <v>10765</v>
      </c>
    </row>
    <row r="975" spans="1:2" x14ac:dyDescent="0.25">
      <c r="A975" s="28">
        <v>2220077</v>
      </c>
      <c r="B975" s="26" t="s">
        <v>13199</v>
      </c>
    </row>
    <row r="976" spans="1:2" x14ac:dyDescent="0.25">
      <c r="A976" s="28">
        <v>2220078</v>
      </c>
      <c r="B976" s="26" t="s">
        <v>10764</v>
      </c>
    </row>
    <row r="977" spans="1:2" x14ac:dyDescent="0.25">
      <c r="A977" s="28">
        <v>2220080</v>
      </c>
      <c r="B977" s="26" t="s">
        <v>11108</v>
      </c>
    </row>
    <row r="978" spans="1:2" x14ac:dyDescent="0.25">
      <c r="A978" s="28">
        <v>2220081</v>
      </c>
      <c r="B978" s="26" t="s">
        <v>11109</v>
      </c>
    </row>
    <row r="979" spans="1:2" x14ac:dyDescent="0.25">
      <c r="A979" s="28">
        <v>2220099</v>
      </c>
      <c r="B979" s="26" t="s">
        <v>11110</v>
      </c>
    </row>
    <row r="980" spans="1:2" x14ac:dyDescent="0.25">
      <c r="A980" s="28">
        <v>2220100</v>
      </c>
      <c r="B980" s="26" t="s">
        <v>10766</v>
      </c>
    </row>
    <row r="981" spans="1:2" x14ac:dyDescent="0.25">
      <c r="A981" s="28">
        <v>2220111</v>
      </c>
      <c r="B981" s="26" t="s">
        <v>12318</v>
      </c>
    </row>
    <row r="982" spans="1:2" x14ac:dyDescent="0.25">
      <c r="A982" s="28">
        <v>2220128</v>
      </c>
      <c r="B982" s="26" t="s">
        <v>10733</v>
      </c>
    </row>
    <row r="983" spans="1:2" x14ac:dyDescent="0.25">
      <c r="A983" s="28">
        <v>2220130</v>
      </c>
      <c r="B983" s="26" t="s">
        <v>11111</v>
      </c>
    </row>
    <row r="984" spans="1:2" x14ac:dyDescent="0.25">
      <c r="A984" s="28">
        <v>2220136</v>
      </c>
      <c r="B984" s="26" t="s">
        <v>11112</v>
      </c>
    </row>
    <row r="985" spans="1:2" x14ac:dyDescent="0.25">
      <c r="A985" s="28">
        <v>2220250</v>
      </c>
      <c r="B985" s="26" t="s">
        <v>11113</v>
      </c>
    </row>
    <row r="986" spans="1:2" x14ac:dyDescent="0.25">
      <c r="A986" s="28">
        <v>2220252</v>
      </c>
      <c r="B986" s="26" t="s">
        <v>11114</v>
      </c>
    </row>
    <row r="987" spans="1:2" x14ac:dyDescent="0.25">
      <c r="A987" s="28">
        <v>2220253</v>
      </c>
      <c r="B987" s="26" t="s">
        <v>10728</v>
      </c>
    </row>
    <row r="988" spans="1:2" x14ac:dyDescent="0.25">
      <c r="A988" s="28">
        <v>2220254</v>
      </c>
      <c r="B988" s="26" t="s">
        <v>10738</v>
      </c>
    </row>
    <row r="989" spans="1:2" x14ac:dyDescent="0.25">
      <c r="A989" s="28">
        <v>2220256</v>
      </c>
      <c r="B989" s="26" t="s">
        <v>11115</v>
      </c>
    </row>
    <row r="990" spans="1:2" x14ac:dyDescent="0.25">
      <c r="A990" s="28">
        <v>2220257</v>
      </c>
      <c r="B990" s="26" t="s">
        <v>11116</v>
      </c>
    </row>
    <row r="991" spans="1:2" x14ac:dyDescent="0.25">
      <c r="A991" s="28">
        <v>2220292</v>
      </c>
      <c r="B991" s="26" t="s">
        <v>10727</v>
      </c>
    </row>
    <row r="992" spans="1:2" x14ac:dyDescent="0.25">
      <c r="A992" s="28">
        <v>2220333</v>
      </c>
      <c r="B992" s="26" t="s">
        <v>10729</v>
      </c>
    </row>
    <row r="993" spans="1:2" x14ac:dyDescent="0.25">
      <c r="A993" s="28">
        <v>2220335</v>
      </c>
      <c r="B993" s="26" t="s">
        <v>12218</v>
      </c>
    </row>
    <row r="994" spans="1:2" x14ac:dyDescent="0.25">
      <c r="A994" s="28">
        <v>2220336</v>
      </c>
      <c r="B994" s="26" t="s">
        <v>11117</v>
      </c>
    </row>
    <row r="995" spans="1:2" x14ac:dyDescent="0.25">
      <c r="A995" s="28">
        <v>2220345</v>
      </c>
      <c r="B995" s="26" t="s">
        <v>11118</v>
      </c>
    </row>
    <row r="996" spans="1:2" x14ac:dyDescent="0.25">
      <c r="A996" s="28">
        <v>2220389</v>
      </c>
      <c r="B996" s="26" t="s">
        <v>11119</v>
      </c>
    </row>
    <row r="997" spans="1:2" x14ac:dyDescent="0.25">
      <c r="A997" s="28">
        <v>2220421</v>
      </c>
      <c r="B997" s="26" t="s">
        <v>11120</v>
      </c>
    </row>
    <row r="998" spans="1:2" x14ac:dyDescent="0.25">
      <c r="A998" s="28">
        <v>2220422</v>
      </c>
      <c r="B998" s="26" t="s">
        <v>10739</v>
      </c>
    </row>
    <row r="999" spans="1:2" x14ac:dyDescent="0.25">
      <c r="A999" s="28">
        <v>2220444</v>
      </c>
      <c r="B999" s="26" t="s">
        <v>10741</v>
      </c>
    </row>
    <row r="1000" spans="1:2" x14ac:dyDescent="0.25">
      <c r="A1000" s="28">
        <v>2220450</v>
      </c>
      <c r="B1000" s="26" t="s">
        <v>11121</v>
      </c>
    </row>
    <row r="1001" spans="1:2" x14ac:dyDescent="0.25">
      <c r="A1001" s="28">
        <v>2220451</v>
      </c>
      <c r="B1001" s="26" t="s">
        <v>11122</v>
      </c>
    </row>
    <row r="1002" spans="1:2" x14ac:dyDescent="0.25">
      <c r="A1002" s="28">
        <v>2220456</v>
      </c>
      <c r="B1002" s="26" t="s">
        <v>10740</v>
      </c>
    </row>
    <row r="1003" spans="1:2" x14ac:dyDescent="0.25">
      <c r="A1003" s="28">
        <v>2220520</v>
      </c>
      <c r="B1003" s="26" t="s">
        <v>10735</v>
      </c>
    </row>
    <row r="1004" spans="1:2" x14ac:dyDescent="0.25">
      <c r="A1004" s="28">
        <v>2220555</v>
      </c>
      <c r="B1004" s="26" t="s">
        <v>11123</v>
      </c>
    </row>
    <row r="1005" spans="1:2" x14ac:dyDescent="0.25">
      <c r="A1005" s="28">
        <v>2220591</v>
      </c>
      <c r="B1005" s="26" t="s">
        <v>11124</v>
      </c>
    </row>
    <row r="1006" spans="1:2" x14ac:dyDescent="0.25">
      <c r="A1006" s="28">
        <v>2220601</v>
      </c>
      <c r="B1006" s="26" t="s">
        <v>10734</v>
      </c>
    </row>
    <row r="1007" spans="1:2" x14ac:dyDescent="0.25">
      <c r="A1007" s="28">
        <v>2220666</v>
      </c>
      <c r="B1007" s="26" t="s">
        <v>11125</v>
      </c>
    </row>
    <row r="1008" spans="1:2" x14ac:dyDescent="0.25">
      <c r="A1008" s="28">
        <v>2220750</v>
      </c>
      <c r="B1008" s="26" t="s">
        <v>10736</v>
      </c>
    </row>
    <row r="1009" spans="1:2" x14ac:dyDescent="0.25">
      <c r="A1009" s="28">
        <v>2220751</v>
      </c>
      <c r="B1009" s="26" t="s">
        <v>10737</v>
      </c>
    </row>
    <row r="1010" spans="1:2" x14ac:dyDescent="0.25">
      <c r="A1010" s="28">
        <v>2220755</v>
      </c>
      <c r="B1010" s="26" t="s">
        <v>11126</v>
      </c>
    </row>
    <row r="1011" spans="1:2" x14ac:dyDescent="0.25">
      <c r="A1011" s="28">
        <v>2220756</v>
      </c>
      <c r="B1011" s="26" t="s">
        <v>11127</v>
      </c>
    </row>
    <row r="1012" spans="1:2" x14ac:dyDescent="0.25">
      <c r="A1012" s="28">
        <v>2220856</v>
      </c>
      <c r="B1012" s="26" t="s">
        <v>10730</v>
      </c>
    </row>
    <row r="1013" spans="1:2" x14ac:dyDescent="0.25">
      <c r="A1013" s="28">
        <v>2220888</v>
      </c>
      <c r="B1013" s="26" t="s">
        <v>11128</v>
      </c>
    </row>
    <row r="1014" spans="1:2" x14ac:dyDescent="0.25">
      <c r="A1014" s="28">
        <v>2220909</v>
      </c>
      <c r="B1014" s="26" t="s">
        <v>11129</v>
      </c>
    </row>
    <row r="1015" spans="1:2" x14ac:dyDescent="0.25">
      <c r="A1015" s="28">
        <v>2220999</v>
      </c>
      <c r="B1015" s="26" t="s">
        <v>10742</v>
      </c>
    </row>
    <row r="1016" spans="1:2" x14ac:dyDescent="0.25">
      <c r="A1016" s="28">
        <v>2230600</v>
      </c>
      <c r="B1016" s="26" t="s">
        <v>10761</v>
      </c>
    </row>
    <row r="1017" spans="1:2" x14ac:dyDescent="0.25">
      <c r="A1017" s="28">
        <v>2301001</v>
      </c>
      <c r="B1017" s="26" t="s">
        <v>10833</v>
      </c>
    </row>
    <row r="1018" spans="1:2" x14ac:dyDescent="0.25">
      <c r="A1018" s="28">
        <v>2301002</v>
      </c>
      <c r="B1018" s="26" t="s">
        <v>10834</v>
      </c>
    </row>
    <row r="1019" spans="1:2" x14ac:dyDescent="0.25">
      <c r="A1019" s="28">
        <v>2301003</v>
      </c>
      <c r="B1019" s="26" t="s">
        <v>12219</v>
      </c>
    </row>
    <row r="1020" spans="1:2" x14ac:dyDescent="0.25">
      <c r="A1020" s="28">
        <v>2301046</v>
      </c>
      <c r="B1020" s="26" t="s">
        <v>10847</v>
      </c>
    </row>
    <row r="1021" spans="1:2" x14ac:dyDescent="0.25">
      <c r="A1021" s="28">
        <v>2301047</v>
      </c>
      <c r="B1021" s="26" t="s">
        <v>10845</v>
      </c>
    </row>
    <row r="1022" spans="1:2" x14ac:dyDescent="0.25">
      <c r="A1022" s="28">
        <v>2301048</v>
      </c>
      <c r="B1022" s="26" t="s">
        <v>10838</v>
      </c>
    </row>
    <row r="1023" spans="1:2" x14ac:dyDescent="0.25">
      <c r="A1023" s="28">
        <v>2301143</v>
      </c>
      <c r="B1023" s="26" t="s">
        <v>10711</v>
      </c>
    </row>
    <row r="1024" spans="1:2" x14ac:dyDescent="0.25">
      <c r="A1024" s="28">
        <v>2301158</v>
      </c>
      <c r="B1024" s="26" t="s">
        <v>10837</v>
      </c>
    </row>
    <row r="1025" spans="1:2" x14ac:dyDescent="0.25">
      <c r="A1025" s="28">
        <v>2301160</v>
      </c>
      <c r="B1025" s="26" t="s">
        <v>10846</v>
      </c>
    </row>
    <row r="1026" spans="1:2" x14ac:dyDescent="0.25">
      <c r="A1026" s="28">
        <v>2301175</v>
      </c>
      <c r="B1026" s="26" t="s">
        <v>11130</v>
      </c>
    </row>
    <row r="1027" spans="1:2" x14ac:dyDescent="0.25">
      <c r="A1027" s="28">
        <v>2301300</v>
      </c>
      <c r="B1027" s="26" t="s">
        <v>10840</v>
      </c>
    </row>
    <row r="1028" spans="1:2" x14ac:dyDescent="0.25">
      <c r="A1028" s="28">
        <v>2301333</v>
      </c>
      <c r="B1028" s="26" t="s">
        <v>10843</v>
      </c>
    </row>
    <row r="1029" spans="1:2" x14ac:dyDescent="0.25">
      <c r="A1029" s="28">
        <v>2301520</v>
      </c>
      <c r="B1029" s="26" t="s">
        <v>10848</v>
      </c>
    </row>
    <row r="1030" spans="1:2" x14ac:dyDescent="0.25">
      <c r="A1030" s="28">
        <v>2301601</v>
      </c>
      <c r="B1030" s="26" t="s">
        <v>11131</v>
      </c>
    </row>
    <row r="1031" spans="1:2" x14ac:dyDescent="0.25">
      <c r="A1031" s="28">
        <v>2301666</v>
      </c>
      <c r="B1031" s="26" t="s">
        <v>10844</v>
      </c>
    </row>
    <row r="1032" spans="1:2" x14ac:dyDescent="0.25">
      <c r="A1032" s="28">
        <v>2301777</v>
      </c>
      <c r="B1032" s="26" t="s">
        <v>10841</v>
      </c>
    </row>
    <row r="1033" spans="1:2" x14ac:dyDescent="0.25">
      <c r="A1033" s="28">
        <v>2301852</v>
      </c>
      <c r="B1033" s="26" t="s">
        <v>10839</v>
      </c>
    </row>
    <row r="1034" spans="1:2" x14ac:dyDescent="0.25">
      <c r="A1034" s="28">
        <v>2301887</v>
      </c>
      <c r="B1034" s="26" t="s">
        <v>10836</v>
      </c>
    </row>
    <row r="1035" spans="1:2" x14ac:dyDescent="0.25">
      <c r="A1035" s="28">
        <v>2301888</v>
      </c>
      <c r="B1035" s="26" t="s">
        <v>10835</v>
      </c>
    </row>
    <row r="1036" spans="1:2" x14ac:dyDescent="0.25">
      <c r="A1036" s="28">
        <v>2301900</v>
      </c>
      <c r="B1036" s="26" t="s">
        <v>10842</v>
      </c>
    </row>
    <row r="1037" spans="1:2" x14ac:dyDescent="0.25">
      <c r="A1037" s="28">
        <v>2401012</v>
      </c>
      <c r="B1037" s="26" t="s">
        <v>11132</v>
      </c>
    </row>
    <row r="1038" spans="1:2" x14ac:dyDescent="0.25">
      <c r="A1038" s="28">
        <v>2401021</v>
      </c>
      <c r="B1038" s="26" t="s">
        <v>11133</v>
      </c>
    </row>
    <row r="1039" spans="1:2" x14ac:dyDescent="0.25">
      <c r="A1039" s="28">
        <v>2401022</v>
      </c>
      <c r="B1039" s="26" t="s">
        <v>9161</v>
      </c>
    </row>
    <row r="1040" spans="1:2" x14ac:dyDescent="0.25">
      <c r="A1040" s="28">
        <v>2401023</v>
      </c>
      <c r="B1040" s="26" t="s">
        <v>11134</v>
      </c>
    </row>
    <row r="1041" spans="1:2" x14ac:dyDescent="0.25">
      <c r="A1041" s="28">
        <v>2401024</v>
      </c>
      <c r="B1041" s="26" t="s">
        <v>11135</v>
      </c>
    </row>
    <row r="1042" spans="1:2" x14ac:dyDescent="0.25">
      <c r="A1042" s="28">
        <v>2401025</v>
      </c>
      <c r="B1042" s="26" t="s">
        <v>12736</v>
      </c>
    </row>
    <row r="1043" spans="1:2" x14ac:dyDescent="0.25">
      <c r="A1043" s="28">
        <v>2401026</v>
      </c>
      <c r="B1043" s="26" t="s">
        <v>11056</v>
      </c>
    </row>
    <row r="1044" spans="1:2" x14ac:dyDescent="0.25">
      <c r="A1044" s="28">
        <v>2401100</v>
      </c>
      <c r="B1044" s="26" t="s">
        <v>9179</v>
      </c>
    </row>
    <row r="1045" spans="1:2" x14ac:dyDescent="0.25">
      <c r="A1045" s="28">
        <v>2401101</v>
      </c>
      <c r="B1045" s="26" t="s">
        <v>9150</v>
      </c>
    </row>
    <row r="1046" spans="1:2" x14ac:dyDescent="0.25">
      <c r="A1046" s="28">
        <v>2401103</v>
      </c>
      <c r="B1046" s="26" t="s">
        <v>9165</v>
      </c>
    </row>
    <row r="1047" spans="1:2" x14ac:dyDescent="0.25">
      <c r="A1047" s="28">
        <v>2401110</v>
      </c>
      <c r="B1047" s="26" t="s">
        <v>12220</v>
      </c>
    </row>
    <row r="1048" spans="1:2" x14ac:dyDescent="0.25">
      <c r="A1048" s="28">
        <v>2401111</v>
      </c>
      <c r="B1048" s="26" t="s">
        <v>12221</v>
      </c>
    </row>
    <row r="1049" spans="1:2" x14ac:dyDescent="0.25">
      <c r="A1049" s="28">
        <v>2401123</v>
      </c>
      <c r="B1049" s="26" t="s">
        <v>11136</v>
      </c>
    </row>
    <row r="1050" spans="1:2" x14ac:dyDescent="0.25">
      <c r="A1050" s="28">
        <v>2401200</v>
      </c>
      <c r="B1050" s="26" t="s">
        <v>11137</v>
      </c>
    </row>
    <row r="1051" spans="1:2" x14ac:dyDescent="0.25">
      <c r="A1051" s="28">
        <v>2401201</v>
      </c>
      <c r="B1051" s="26" t="s">
        <v>11138</v>
      </c>
    </row>
    <row r="1052" spans="1:2" x14ac:dyDescent="0.25">
      <c r="A1052" s="28">
        <v>2401242</v>
      </c>
      <c r="B1052" s="26" t="s">
        <v>9151</v>
      </c>
    </row>
    <row r="1053" spans="1:2" x14ac:dyDescent="0.25">
      <c r="A1053" s="28">
        <v>2401249</v>
      </c>
      <c r="B1053" s="26" t="s">
        <v>9158</v>
      </c>
    </row>
    <row r="1054" spans="1:2" x14ac:dyDescent="0.25">
      <c r="A1054" s="28">
        <v>2401250</v>
      </c>
      <c r="B1054" s="26" t="s">
        <v>9160</v>
      </c>
    </row>
    <row r="1055" spans="1:2" x14ac:dyDescent="0.25">
      <c r="A1055" s="28">
        <v>2401258</v>
      </c>
      <c r="B1055" s="26" t="s">
        <v>9178</v>
      </c>
    </row>
    <row r="1056" spans="1:2" x14ac:dyDescent="0.25">
      <c r="A1056" s="28">
        <v>2401260</v>
      </c>
      <c r="B1056" s="26" t="s">
        <v>11139</v>
      </c>
    </row>
    <row r="1057" spans="1:2" x14ac:dyDescent="0.25">
      <c r="A1057" s="28">
        <v>2401298</v>
      </c>
      <c r="B1057" s="26" t="s">
        <v>9174</v>
      </c>
    </row>
    <row r="1058" spans="1:2" x14ac:dyDescent="0.25">
      <c r="A1058" s="28">
        <v>2401350</v>
      </c>
      <c r="B1058" s="26" t="s">
        <v>9172</v>
      </c>
    </row>
    <row r="1059" spans="1:2" x14ac:dyDescent="0.25">
      <c r="A1059" s="28">
        <v>2401550</v>
      </c>
      <c r="B1059" s="26" t="s">
        <v>9152</v>
      </c>
    </row>
    <row r="1060" spans="1:2" x14ac:dyDescent="0.25">
      <c r="A1060" s="28">
        <v>2401555</v>
      </c>
      <c r="B1060" s="26" t="s">
        <v>9175</v>
      </c>
    </row>
    <row r="1061" spans="1:2" x14ac:dyDescent="0.25">
      <c r="A1061" s="28">
        <v>2401584</v>
      </c>
      <c r="B1061" s="26" t="s">
        <v>9156</v>
      </c>
    </row>
    <row r="1062" spans="1:2" x14ac:dyDescent="0.25">
      <c r="A1062" s="28">
        <v>2401800</v>
      </c>
      <c r="B1062" s="26" t="s">
        <v>9153</v>
      </c>
    </row>
    <row r="1063" spans="1:2" x14ac:dyDescent="0.25">
      <c r="A1063" s="28">
        <v>2401803</v>
      </c>
      <c r="B1063" s="26" t="s">
        <v>11140</v>
      </c>
    </row>
    <row r="1064" spans="1:2" x14ac:dyDescent="0.25">
      <c r="A1064" s="26" t="s">
        <v>12737</v>
      </c>
      <c r="B1064" s="27"/>
    </row>
    <row r="1065" spans="1:2" x14ac:dyDescent="0.25">
      <c r="A1065" s="28">
        <v>2401805</v>
      </c>
      <c r="B1065" s="26" t="s">
        <v>9154</v>
      </c>
    </row>
    <row r="1066" spans="1:2" x14ac:dyDescent="0.25">
      <c r="A1066" s="28">
        <v>2401806</v>
      </c>
      <c r="B1066" s="26" t="s">
        <v>9173</v>
      </c>
    </row>
    <row r="1067" spans="1:2" x14ac:dyDescent="0.25">
      <c r="A1067" s="28">
        <v>2601003</v>
      </c>
      <c r="B1067" s="26" t="s">
        <v>10831</v>
      </c>
    </row>
    <row r="1068" spans="1:2" x14ac:dyDescent="0.25">
      <c r="A1068" s="28">
        <v>2601004</v>
      </c>
      <c r="B1068" s="26" t="s">
        <v>10829</v>
      </c>
    </row>
    <row r="1069" spans="1:2" x14ac:dyDescent="0.25">
      <c r="A1069" s="28">
        <v>2601006</v>
      </c>
      <c r="B1069" s="26" t="s">
        <v>11141</v>
      </c>
    </row>
    <row r="1070" spans="1:2" x14ac:dyDescent="0.25">
      <c r="A1070" s="28">
        <v>2601007</v>
      </c>
      <c r="B1070" s="26" t="s">
        <v>11142</v>
      </c>
    </row>
    <row r="1071" spans="1:2" x14ac:dyDescent="0.25">
      <c r="A1071" s="28">
        <v>2601495</v>
      </c>
      <c r="B1071" s="26" t="s">
        <v>8829</v>
      </c>
    </row>
    <row r="1072" spans="1:2" x14ac:dyDescent="0.25">
      <c r="A1072" s="28">
        <v>2601496</v>
      </c>
      <c r="B1072" s="26" t="s">
        <v>8828</v>
      </c>
    </row>
    <row r="1073" spans="1:2" x14ac:dyDescent="0.25">
      <c r="A1073" s="28">
        <v>2601594</v>
      </c>
      <c r="B1073" s="26" t="s">
        <v>8832</v>
      </c>
    </row>
    <row r="1074" spans="1:2" x14ac:dyDescent="0.25">
      <c r="A1074" s="28">
        <v>2601750</v>
      </c>
      <c r="B1074" s="26" t="s">
        <v>10830</v>
      </c>
    </row>
    <row r="1075" spans="1:2" x14ac:dyDescent="0.25">
      <c r="A1075" s="28">
        <v>2601850</v>
      </c>
      <c r="B1075" s="26" t="s">
        <v>11143</v>
      </c>
    </row>
    <row r="1076" spans="1:2" x14ac:dyDescent="0.25">
      <c r="A1076" s="28">
        <v>2601851</v>
      </c>
      <c r="B1076" s="26" t="s">
        <v>11144</v>
      </c>
    </row>
    <row r="1077" spans="1:2" x14ac:dyDescent="0.25">
      <c r="A1077" s="28">
        <v>2601888</v>
      </c>
      <c r="B1077" s="26" t="s">
        <v>10832</v>
      </c>
    </row>
    <row r="1078" spans="1:2" x14ac:dyDescent="0.25">
      <c r="A1078" s="28">
        <v>2601900</v>
      </c>
      <c r="B1078" s="26" t="s">
        <v>8831</v>
      </c>
    </row>
    <row r="1079" spans="1:2" x14ac:dyDescent="0.25">
      <c r="A1079" s="28">
        <v>2601901</v>
      </c>
      <c r="B1079" s="26" t="s">
        <v>8830</v>
      </c>
    </row>
    <row r="1080" spans="1:2" x14ac:dyDescent="0.25">
      <c r="A1080" s="28">
        <v>2727030</v>
      </c>
      <c r="B1080" s="26" t="s">
        <v>9371</v>
      </c>
    </row>
    <row r="1081" spans="1:2" x14ac:dyDescent="0.25">
      <c r="A1081" s="28">
        <v>2846646</v>
      </c>
      <c r="B1081" s="26" t="s">
        <v>11145</v>
      </c>
    </row>
    <row r="1082" spans="1:2" x14ac:dyDescent="0.25">
      <c r="A1082" s="28">
        <v>2849103</v>
      </c>
      <c r="B1082" s="26" t="s">
        <v>11146</v>
      </c>
    </row>
    <row r="1083" spans="1:2" x14ac:dyDescent="0.25">
      <c r="A1083" s="28">
        <v>2849225</v>
      </c>
      <c r="B1083" s="26" t="s">
        <v>11147</v>
      </c>
    </row>
    <row r="1084" spans="1:2" x14ac:dyDescent="0.25">
      <c r="A1084" s="28">
        <v>2849230</v>
      </c>
      <c r="B1084" s="26" t="s">
        <v>11148</v>
      </c>
    </row>
    <row r="1085" spans="1:2" x14ac:dyDescent="0.25">
      <c r="A1085" s="28">
        <v>2849231</v>
      </c>
      <c r="B1085" s="26" t="s">
        <v>11149</v>
      </c>
    </row>
    <row r="1086" spans="1:2" x14ac:dyDescent="0.25">
      <c r="A1086" s="28">
        <v>2849232</v>
      </c>
      <c r="B1086" s="26" t="s">
        <v>11150</v>
      </c>
    </row>
    <row r="1087" spans="1:2" x14ac:dyDescent="0.25">
      <c r="A1087" s="28">
        <v>2849233</v>
      </c>
      <c r="B1087" s="26" t="s">
        <v>11151</v>
      </c>
    </row>
    <row r="1088" spans="1:2" x14ac:dyDescent="0.25">
      <c r="A1088" s="28">
        <v>2849238</v>
      </c>
      <c r="B1088" s="26" t="s">
        <v>11152</v>
      </c>
    </row>
    <row r="1089" spans="1:2" x14ac:dyDescent="0.25">
      <c r="A1089" s="28">
        <v>2849250</v>
      </c>
      <c r="B1089" s="26" t="s">
        <v>11153</v>
      </c>
    </row>
    <row r="1090" spans="1:2" x14ac:dyDescent="0.25">
      <c r="A1090" s="28">
        <v>2849302</v>
      </c>
      <c r="B1090" s="26" t="s">
        <v>11154</v>
      </c>
    </row>
    <row r="1091" spans="1:2" x14ac:dyDescent="0.25">
      <c r="A1091" s="28">
        <v>2849304</v>
      </c>
      <c r="B1091" s="26" t="s">
        <v>11155</v>
      </c>
    </row>
    <row r="1092" spans="1:2" x14ac:dyDescent="0.25">
      <c r="A1092" s="28">
        <v>2849361</v>
      </c>
      <c r="B1092" s="26" t="s">
        <v>11156</v>
      </c>
    </row>
    <row r="1093" spans="1:2" x14ac:dyDescent="0.25">
      <c r="A1093" s="28">
        <v>2849425</v>
      </c>
      <c r="B1093" s="26" t="s">
        <v>11157</v>
      </c>
    </row>
    <row r="1094" spans="1:2" x14ac:dyDescent="0.25">
      <c r="A1094" s="28">
        <v>2849437</v>
      </c>
      <c r="B1094" s="26" t="s">
        <v>11158</v>
      </c>
    </row>
    <row r="1095" spans="1:2" x14ac:dyDescent="0.25">
      <c r="A1095" s="28">
        <v>2849438</v>
      </c>
      <c r="B1095" s="26" t="s">
        <v>11159</v>
      </c>
    </row>
    <row r="1096" spans="1:2" x14ac:dyDescent="0.25">
      <c r="A1096" s="28">
        <v>2849450</v>
      </c>
      <c r="B1096" s="26" t="s">
        <v>11160</v>
      </c>
    </row>
    <row r="1097" spans="1:2" x14ac:dyDescent="0.25">
      <c r="A1097" s="28">
        <v>2849505</v>
      </c>
      <c r="B1097" s="26" t="s">
        <v>11161</v>
      </c>
    </row>
    <row r="1098" spans="1:2" x14ac:dyDescent="0.25">
      <c r="A1098" s="28">
        <v>2849525</v>
      </c>
      <c r="B1098" s="26" t="s">
        <v>11162</v>
      </c>
    </row>
    <row r="1099" spans="1:2" x14ac:dyDescent="0.25">
      <c r="A1099" s="28">
        <v>2849538</v>
      </c>
      <c r="B1099" s="26" t="s">
        <v>11163</v>
      </c>
    </row>
    <row r="1100" spans="1:2" x14ac:dyDescent="0.25">
      <c r="A1100" s="28">
        <v>2849549</v>
      </c>
      <c r="B1100" s="26" t="s">
        <v>11164</v>
      </c>
    </row>
    <row r="1101" spans="1:2" x14ac:dyDescent="0.25">
      <c r="A1101" s="28">
        <v>2849612</v>
      </c>
      <c r="B1101" s="26" t="s">
        <v>11165</v>
      </c>
    </row>
    <row r="1102" spans="1:2" x14ac:dyDescent="0.25">
      <c r="A1102" s="28">
        <v>2849646</v>
      </c>
      <c r="B1102" s="26" t="s">
        <v>11166</v>
      </c>
    </row>
    <row r="1103" spans="1:2" x14ac:dyDescent="0.25">
      <c r="A1103" s="28">
        <v>2849647</v>
      </c>
      <c r="B1103" s="26" t="s">
        <v>11167</v>
      </c>
    </row>
    <row r="1104" spans="1:2" x14ac:dyDescent="0.25">
      <c r="A1104" s="28">
        <v>2849648</v>
      </c>
      <c r="B1104" s="26" t="s">
        <v>11168</v>
      </c>
    </row>
    <row r="1105" spans="1:2" x14ac:dyDescent="0.25">
      <c r="A1105" s="28">
        <v>2849736</v>
      </c>
      <c r="B1105" s="26" t="s">
        <v>11169</v>
      </c>
    </row>
    <row r="1106" spans="1:2" x14ac:dyDescent="0.25">
      <c r="A1106" s="28">
        <v>2849737</v>
      </c>
      <c r="B1106" s="26" t="s">
        <v>11170</v>
      </c>
    </row>
    <row r="1107" spans="1:2" x14ac:dyDescent="0.25">
      <c r="A1107" s="28">
        <v>2849738</v>
      </c>
      <c r="B1107" s="26" t="s">
        <v>11171</v>
      </c>
    </row>
    <row r="1108" spans="1:2" x14ac:dyDescent="0.25">
      <c r="A1108" s="28">
        <v>2849907</v>
      </c>
      <c r="B1108" s="26" t="s">
        <v>11172</v>
      </c>
    </row>
    <row r="1109" spans="1:2" x14ac:dyDescent="0.25">
      <c r="A1109" s="26" t="s">
        <v>12738</v>
      </c>
      <c r="B1109" s="27"/>
    </row>
    <row r="1110" spans="1:2" x14ac:dyDescent="0.25">
      <c r="A1110" s="28">
        <v>3</v>
      </c>
      <c r="B1110" s="26" t="s">
        <v>12739</v>
      </c>
    </row>
    <row r="1111" spans="1:2" x14ac:dyDescent="0.25">
      <c r="A1111" s="26" t="s">
        <v>12740</v>
      </c>
      <c r="B1111" s="26" t="s">
        <v>12741</v>
      </c>
    </row>
    <row r="1112" spans="1:2" x14ac:dyDescent="0.25">
      <c r="A1112" s="28">
        <v>3101024</v>
      </c>
      <c r="B1112" s="26" t="s">
        <v>9317</v>
      </c>
    </row>
    <row r="1113" spans="1:2" x14ac:dyDescent="0.25">
      <c r="A1113" s="28">
        <v>3101025</v>
      </c>
      <c r="B1113" s="26" t="s">
        <v>10365</v>
      </c>
    </row>
    <row r="1114" spans="1:2" x14ac:dyDescent="0.25">
      <c r="A1114" s="28">
        <v>3101027</v>
      </c>
      <c r="B1114" s="26" t="s">
        <v>11173</v>
      </c>
    </row>
    <row r="1115" spans="1:2" x14ac:dyDescent="0.25">
      <c r="A1115" s="28">
        <v>3101028</v>
      </c>
      <c r="B1115" s="26" t="s">
        <v>11174</v>
      </c>
    </row>
    <row r="1116" spans="1:2" x14ac:dyDescent="0.25">
      <c r="A1116" s="28">
        <v>3101100</v>
      </c>
      <c r="B1116" s="26" t="s">
        <v>9315</v>
      </c>
    </row>
    <row r="1117" spans="1:2" x14ac:dyDescent="0.25">
      <c r="A1117" s="28">
        <v>3101101</v>
      </c>
      <c r="B1117" s="26" t="s">
        <v>9314</v>
      </c>
    </row>
    <row r="1118" spans="1:2" x14ac:dyDescent="0.25">
      <c r="A1118" s="28">
        <v>3101102</v>
      </c>
      <c r="B1118" s="26" t="s">
        <v>9318</v>
      </c>
    </row>
    <row r="1119" spans="1:2" x14ac:dyDescent="0.25">
      <c r="A1119" s="28">
        <v>3101103</v>
      </c>
      <c r="B1119" s="26" t="s">
        <v>9316</v>
      </c>
    </row>
    <row r="1120" spans="1:2" x14ac:dyDescent="0.25">
      <c r="A1120" s="28">
        <v>3101370</v>
      </c>
      <c r="B1120" s="26" t="s">
        <v>9319</v>
      </c>
    </row>
    <row r="1121" spans="1:2" x14ac:dyDescent="0.25">
      <c r="A1121" s="28">
        <v>3101485</v>
      </c>
      <c r="B1121" s="26" t="s">
        <v>9313</v>
      </c>
    </row>
    <row r="1122" spans="1:2" x14ac:dyDescent="0.25">
      <c r="A1122" s="28">
        <v>3101486</v>
      </c>
      <c r="B1122" s="26" t="s">
        <v>10373</v>
      </c>
    </row>
    <row r="1123" spans="1:2" x14ac:dyDescent="0.25">
      <c r="A1123" s="28">
        <v>3101487</v>
      </c>
      <c r="B1123" s="26" t="s">
        <v>9116</v>
      </c>
    </row>
    <row r="1124" spans="1:2" x14ac:dyDescent="0.25">
      <c r="A1124" s="28">
        <v>3101489</v>
      </c>
      <c r="B1124" s="26" t="s">
        <v>9327</v>
      </c>
    </row>
    <row r="1125" spans="1:2" x14ac:dyDescent="0.25">
      <c r="A1125" s="28">
        <v>3101555</v>
      </c>
      <c r="B1125" s="26" t="s">
        <v>9321</v>
      </c>
    </row>
    <row r="1126" spans="1:2" x14ac:dyDescent="0.25">
      <c r="A1126" s="28">
        <v>3101666</v>
      </c>
      <c r="B1126" s="26" t="s">
        <v>9322</v>
      </c>
    </row>
    <row r="1127" spans="1:2" x14ac:dyDescent="0.25">
      <c r="A1127" s="28">
        <v>3101777</v>
      </c>
      <c r="B1127" s="26" t="s">
        <v>9320</v>
      </c>
    </row>
    <row r="1128" spans="1:2" x14ac:dyDescent="0.25">
      <c r="A1128" s="28">
        <v>3101888</v>
      </c>
      <c r="B1128" s="26" t="s">
        <v>9312</v>
      </c>
    </row>
    <row r="1129" spans="1:2" x14ac:dyDescent="0.25">
      <c r="A1129" s="28">
        <v>3101948</v>
      </c>
      <c r="B1129" s="26" t="s">
        <v>9325</v>
      </c>
    </row>
    <row r="1130" spans="1:2" x14ac:dyDescent="0.25">
      <c r="A1130" s="28">
        <v>3101949</v>
      </c>
      <c r="B1130" s="26" t="s">
        <v>9326</v>
      </c>
    </row>
    <row r="1131" spans="1:2" x14ac:dyDescent="0.25">
      <c r="A1131" s="28">
        <v>3101998</v>
      </c>
      <c r="B1131" s="26" t="s">
        <v>11175</v>
      </c>
    </row>
    <row r="1132" spans="1:2" x14ac:dyDescent="0.25">
      <c r="A1132" s="28">
        <v>3101999</v>
      </c>
      <c r="B1132" s="26" t="s">
        <v>9323</v>
      </c>
    </row>
    <row r="1133" spans="1:2" x14ac:dyDescent="0.25">
      <c r="A1133" s="28">
        <v>4</v>
      </c>
      <c r="B1133" s="26" t="s">
        <v>12742</v>
      </c>
    </row>
    <row r="1134" spans="1:2" x14ac:dyDescent="0.25">
      <c r="A1134" s="28">
        <v>4027105</v>
      </c>
      <c r="B1134" s="26" t="s">
        <v>11176</v>
      </c>
    </row>
    <row r="1135" spans="1:2" x14ac:dyDescent="0.25">
      <c r="A1135" s="26" t="s">
        <v>12743</v>
      </c>
      <c r="B1135" s="27"/>
    </row>
    <row r="1136" spans="1:2" x14ac:dyDescent="0.25">
      <c r="A1136" s="28">
        <v>4027142</v>
      </c>
      <c r="B1136" s="26" t="s">
        <v>11177</v>
      </c>
    </row>
    <row r="1137" spans="1:2" x14ac:dyDescent="0.25">
      <c r="A1137" s="26" t="s">
        <v>12744</v>
      </c>
      <c r="B1137" s="27"/>
    </row>
    <row r="1138" spans="1:2" x14ac:dyDescent="0.25">
      <c r="A1138" s="28">
        <v>4027710</v>
      </c>
      <c r="B1138" s="26" t="s">
        <v>11178</v>
      </c>
    </row>
    <row r="1139" spans="1:2" x14ac:dyDescent="0.25">
      <c r="A1139" s="26" t="s">
        <v>12745</v>
      </c>
      <c r="B1139" s="27"/>
    </row>
    <row r="1140" spans="1:2" x14ac:dyDescent="0.25">
      <c r="A1140" s="28">
        <v>4027813</v>
      </c>
      <c r="B1140" s="26" t="s">
        <v>11179</v>
      </c>
    </row>
    <row r="1141" spans="1:2" x14ac:dyDescent="0.25">
      <c r="A1141" s="26" t="s">
        <v>12746</v>
      </c>
      <c r="B1141" s="27"/>
    </row>
    <row r="1142" spans="1:2" x14ac:dyDescent="0.25">
      <c r="A1142" s="28">
        <v>4101002</v>
      </c>
      <c r="B1142" s="26" t="s">
        <v>11180</v>
      </c>
    </row>
    <row r="1143" spans="1:2" x14ac:dyDescent="0.25">
      <c r="A1143" s="28">
        <v>4101003</v>
      </c>
      <c r="B1143" s="26" t="s">
        <v>11181</v>
      </c>
    </row>
    <row r="1144" spans="1:2" x14ac:dyDescent="0.25">
      <c r="A1144" s="28">
        <v>4120000</v>
      </c>
      <c r="B1144" s="26" t="s">
        <v>8918</v>
      </c>
    </row>
    <row r="1145" spans="1:2" x14ac:dyDescent="0.25">
      <c r="A1145" s="28">
        <v>4120001</v>
      </c>
      <c r="B1145" s="26" t="s">
        <v>11182</v>
      </c>
    </row>
    <row r="1146" spans="1:2" x14ac:dyDescent="0.25">
      <c r="A1146" s="28">
        <v>4120003</v>
      </c>
      <c r="B1146" s="26" t="s">
        <v>8959</v>
      </c>
    </row>
    <row r="1147" spans="1:2" x14ac:dyDescent="0.25">
      <c r="A1147" s="28">
        <v>4120004</v>
      </c>
      <c r="B1147" s="26" t="s">
        <v>8888</v>
      </c>
    </row>
    <row r="1148" spans="1:2" x14ac:dyDescent="0.25">
      <c r="A1148" s="28">
        <v>4120005</v>
      </c>
      <c r="B1148" s="26" t="s">
        <v>8960</v>
      </c>
    </row>
    <row r="1149" spans="1:2" x14ac:dyDescent="0.25">
      <c r="A1149" s="28">
        <v>4120006</v>
      </c>
      <c r="B1149" s="26" t="s">
        <v>8961</v>
      </c>
    </row>
    <row r="1150" spans="1:2" x14ac:dyDescent="0.25">
      <c r="A1150" s="28">
        <v>4120007</v>
      </c>
      <c r="B1150" s="26" t="s">
        <v>8886</v>
      </c>
    </row>
    <row r="1151" spans="1:2" x14ac:dyDescent="0.25">
      <c r="A1151" s="28">
        <v>4120008</v>
      </c>
      <c r="B1151" s="26" t="s">
        <v>8887</v>
      </c>
    </row>
    <row r="1152" spans="1:2" x14ac:dyDescent="0.25">
      <c r="A1152" s="28">
        <v>4120009</v>
      </c>
      <c r="B1152" s="26" t="s">
        <v>8971</v>
      </c>
    </row>
    <row r="1153" spans="1:2" x14ac:dyDescent="0.25">
      <c r="A1153" s="28">
        <v>4120010</v>
      </c>
      <c r="B1153" s="26" t="s">
        <v>8972</v>
      </c>
    </row>
    <row r="1154" spans="1:2" x14ac:dyDescent="0.25">
      <c r="A1154" s="28">
        <v>4120011</v>
      </c>
      <c r="B1154" s="26" t="s">
        <v>8950</v>
      </c>
    </row>
    <row r="1155" spans="1:2" x14ac:dyDescent="0.25">
      <c r="A1155" s="28">
        <v>4120012</v>
      </c>
      <c r="B1155" s="26" t="s">
        <v>8951</v>
      </c>
    </row>
    <row r="1156" spans="1:2" x14ac:dyDescent="0.25">
      <c r="A1156" s="28">
        <v>4120013</v>
      </c>
      <c r="B1156" s="26" t="s">
        <v>8952</v>
      </c>
    </row>
    <row r="1157" spans="1:2" x14ac:dyDescent="0.25">
      <c r="A1157" s="28">
        <v>4120015</v>
      </c>
      <c r="B1157" s="26" t="s">
        <v>8878</v>
      </c>
    </row>
    <row r="1158" spans="1:2" x14ac:dyDescent="0.25">
      <c r="A1158" s="28">
        <v>4120016</v>
      </c>
      <c r="B1158" s="26" t="s">
        <v>8879</v>
      </c>
    </row>
    <row r="1159" spans="1:2" x14ac:dyDescent="0.25">
      <c r="A1159" s="28">
        <v>4120018</v>
      </c>
      <c r="B1159" s="26" t="s">
        <v>8880</v>
      </c>
    </row>
    <row r="1160" spans="1:2" x14ac:dyDescent="0.25">
      <c r="A1160" s="28">
        <v>4120020</v>
      </c>
      <c r="B1160" s="26" t="s">
        <v>8995</v>
      </c>
    </row>
    <row r="1161" spans="1:2" x14ac:dyDescent="0.25">
      <c r="A1161" s="28">
        <v>4120021</v>
      </c>
      <c r="B1161" s="26" t="s">
        <v>8996</v>
      </c>
    </row>
    <row r="1162" spans="1:2" x14ac:dyDescent="0.25">
      <c r="A1162" s="28">
        <v>4120022</v>
      </c>
      <c r="B1162" s="26" t="s">
        <v>8998</v>
      </c>
    </row>
    <row r="1163" spans="1:2" x14ac:dyDescent="0.25">
      <c r="A1163" s="28">
        <v>4120023</v>
      </c>
      <c r="B1163" s="26" t="s">
        <v>8997</v>
      </c>
    </row>
    <row r="1164" spans="1:2" x14ac:dyDescent="0.25">
      <c r="A1164" s="28">
        <v>4120024</v>
      </c>
      <c r="B1164" s="26" t="s">
        <v>8933</v>
      </c>
    </row>
    <row r="1165" spans="1:2" x14ac:dyDescent="0.25">
      <c r="A1165" s="28">
        <v>4120025</v>
      </c>
      <c r="B1165" s="26" t="s">
        <v>8934</v>
      </c>
    </row>
    <row r="1166" spans="1:2" x14ac:dyDescent="0.25">
      <c r="A1166" s="28">
        <v>4120026</v>
      </c>
      <c r="B1166" s="26" t="s">
        <v>11183</v>
      </c>
    </row>
    <row r="1167" spans="1:2" x14ac:dyDescent="0.25">
      <c r="A1167" s="28">
        <v>4120027</v>
      </c>
      <c r="B1167" s="26" t="s">
        <v>8969</v>
      </c>
    </row>
    <row r="1168" spans="1:2" x14ac:dyDescent="0.25">
      <c r="A1168" s="28">
        <v>4120028</v>
      </c>
      <c r="B1168" s="26" t="s">
        <v>8970</v>
      </c>
    </row>
    <row r="1169" spans="1:2" x14ac:dyDescent="0.25">
      <c r="A1169" s="28">
        <v>4120029</v>
      </c>
      <c r="B1169" s="26" t="s">
        <v>11184</v>
      </c>
    </row>
    <row r="1170" spans="1:2" x14ac:dyDescent="0.25">
      <c r="A1170" s="28">
        <v>4120030</v>
      </c>
      <c r="B1170" s="26" t="s">
        <v>11185</v>
      </c>
    </row>
    <row r="1171" spans="1:2" x14ac:dyDescent="0.25">
      <c r="A1171" s="28">
        <v>4120031</v>
      </c>
      <c r="B1171" s="26" t="s">
        <v>11185</v>
      </c>
    </row>
    <row r="1172" spans="1:2" x14ac:dyDescent="0.25">
      <c r="A1172" s="28">
        <v>4120033</v>
      </c>
      <c r="B1172" s="26" t="s">
        <v>11185</v>
      </c>
    </row>
    <row r="1173" spans="1:2" x14ac:dyDescent="0.25">
      <c r="A1173" s="28">
        <v>4120035</v>
      </c>
      <c r="B1173" s="26" t="s">
        <v>11186</v>
      </c>
    </row>
    <row r="1174" spans="1:2" x14ac:dyDescent="0.25">
      <c r="A1174" s="28">
        <v>4120036</v>
      </c>
      <c r="B1174" s="26" t="s">
        <v>11187</v>
      </c>
    </row>
    <row r="1175" spans="1:2" x14ac:dyDescent="0.25">
      <c r="A1175" s="28">
        <v>4120037</v>
      </c>
      <c r="B1175" s="26" t="s">
        <v>11188</v>
      </c>
    </row>
    <row r="1176" spans="1:2" x14ac:dyDescent="0.25">
      <c r="A1176" s="28">
        <v>4120038</v>
      </c>
      <c r="B1176" s="26" t="s">
        <v>8857</v>
      </c>
    </row>
    <row r="1177" spans="1:2" x14ac:dyDescent="0.25">
      <c r="A1177" s="28">
        <v>4120039</v>
      </c>
      <c r="B1177" s="26" t="s">
        <v>11189</v>
      </c>
    </row>
    <row r="1178" spans="1:2" x14ac:dyDescent="0.25">
      <c r="A1178" s="28">
        <v>4120040</v>
      </c>
      <c r="B1178" s="26" t="s">
        <v>11190</v>
      </c>
    </row>
    <row r="1179" spans="1:2" x14ac:dyDescent="0.25">
      <c r="A1179" s="28">
        <v>4120041</v>
      </c>
      <c r="B1179" s="26" t="s">
        <v>11191</v>
      </c>
    </row>
    <row r="1180" spans="1:2" x14ac:dyDescent="0.25">
      <c r="A1180" s="28">
        <v>4120042</v>
      </c>
      <c r="B1180" s="26" t="s">
        <v>8889</v>
      </c>
    </row>
    <row r="1181" spans="1:2" x14ac:dyDescent="0.25">
      <c r="A1181" s="28">
        <v>4120043</v>
      </c>
      <c r="B1181" s="26" t="s">
        <v>8890</v>
      </c>
    </row>
    <row r="1182" spans="1:2" x14ac:dyDescent="0.25">
      <c r="A1182" s="28">
        <v>4120044</v>
      </c>
      <c r="B1182" s="26" t="s">
        <v>8891</v>
      </c>
    </row>
    <row r="1183" spans="1:2" x14ac:dyDescent="0.25">
      <c r="A1183" s="28">
        <v>4120045</v>
      </c>
      <c r="B1183" s="26" t="s">
        <v>11192</v>
      </c>
    </row>
    <row r="1184" spans="1:2" x14ac:dyDescent="0.25">
      <c r="A1184" s="28">
        <v>4120046</v>
      </c>
      <c r="B1184" s="26" t="s">
        <v>11193</v>
      </c>
    </row>
    <row r="1185" spans="1:2" x14ac:dyDescent="0.25">
      <c r="A1185" s="28">
        <v>4120047</v>
      </c>
      <c r="B1185" s="26" t="s">
        <v>11194</v>
      </c>
    </row>
    <row r="1186" spans="1:2" x14ac:dyDescent="0.25">
      <c r="A1186" s="26" t="s">
        <v>12747</v>
      </c>
      <c r="B1186" s="27"/>
    </row>
    <row r="1187" spans="1:2" x14ac:dyDescent="0.25">
      <c r="A1187" s="28">
        <v>4120048</v>
      </c>
      <c r="B1187" s="26" t="s">
        <v>11195</v>
      </c>
    </row>
    <row r="1188" spans="1:2" x14ac:dyDescent="0.25">
      <c r="A1188" s="28">
        <v>4120050</v>
      </c>
      <c r="B1188" s="26" t="s">
        <v>11196</v>
      </c>
    </row>
    <row r="1189" spans="1:2" x14ac:dyDescent="0.25">
      <c r="A1189" s="28">
        <v>4120051</v>
      </c>
      <c r="B1189" s="26" t="s">
        <v>11197</v>
      </c>
    </row>
    <row r="1190" spans="1:2" x14ac:dyDescent="0.25">
      <c r="A1190" s="28">
        <v>4120052</v>
      </c>
      <c r="B1190" s="26" t="s">
        <v>11198</v>
      </c>
    </row>
    <row r="1191" spans="1:2" x14ac:dyDescent="0.25">
      <c r="A1191" s="28">
        <v>4120055</v>
      </c>
      <c r="B1191" s="26" t="s">
        <v>11199</v>
      </c>
    </row>
    <row r="1192" spans="1:2" x14ac:dyDescent="0.25">
      <c r="A1192" s="28">
        <v>4120056</v>
      </c>
      <c r="B1192" s="26" t="s">
        <v>11200</v>
      </c>
    </row>
    <row r="1193" spans="1:2" x14ac:dyDescent="0.25">
      <c r="A1193" s="28">
        <v>4120057</v>
      </c>
      <c r="B1193" s="26" t="s">
        <v>11201</v>
      </c>
    </row>
    <row r="1194" spans="1:2" x14ac:dyDescent="0.25">
      <c r="A1194" s="28">
        <v>4120058</v>
      </c>
      <c r="B1194" s="26" t="s">
        <v>8946</v>
      </c>
    </row>
    <row r="1195" spans="1:2" x14ac:dyDescent="0.25">
      <c r="A1195" s="28">
        <v>4120059</v>
      </c>
      <c r="B1195" s="26" t="s">
        <v>8947</v>
      </c>
    </row>
    <row r="1196" spans="1:2" x14ac:dyDescent="0.25">
      <c r="A1196" s="28">
        <v>4120060</v>
      </c>
      <c r="B1196" s="26" t="s">
        <v>8948</v>
      </c>
    </row>
    <row r="1197" spans="1:2" x14ac:dyDescent="0.25">
      <c r="A1197" s="28">
        <v>4120061</v>
      </c>
      <c r="B1197" s="26" t="s">
        <v>8949</v>
      </c>
    </row>
    <row r="1198" spans="1:2" x14ac:dyDescent="0.25">
      <c r="A1198" s="28">
        <v>4120062</v>
      </c>
      <c r="B1198" s="26" t="s">
        <v>11202</v>
      </c>
    </row>
    <row r="1199" spans="1:2" x14ac:dyDescent="0.25">
      <c r="A1199" s="28">
        <v>4120063</v>
      </c>
      <c r="B1199" s="26" t="s">
        <v>11203</v>
      </c>
    </row>
    <row r="1200" spans="1:2" x14ac:dyDescent="0.25">
      <c r="A1200" s="28">
        <v>4120064</v>
      </c>
      <c r="B1200" s="26" t="s">
        <v>11204</v>
      </c>
    </row>
    <row r="1201" spans="1:2" x14ac:dyDescent="0.25">
      <c r="A1201" s="28">
        <v>4120065</v>
      </c>
      <c r="B1201" s="26" t="s">
        <v>11205</v>
      </c>
    </row>
    <row r="1202" spans="1:2" x14ac:dyDescent="0.25">
      <c r="A1202" s="28">
        <v>4120066</v>
      </c>
      <c r="B1202" s="26" t="s">
        <v>8965</v>
      </c>
    </row>
    <row r="1203" spans="1:2" x14ac:dyDescent="0.25">
      <c r="A1203" s="28">
        <v>4120067</v>
      </c>
      <c r="B1203" s="26" t="s">
        <v>8966</v>
      </c>
    </row>
    <row r="1204" spans="1:2" x14ac:dyDescent="0.25">
      <c r="A1204" s="28">
        <v>4120068</v>
      </c>
      <c r="B1204" s="26" t="s">
        <v>8967</v>
      </c>
    </row>
    <row r="1205" spans="1:2" x14ac:dyDescent="0.25">
      <c r="A1205" s="28">
        <v>4120069</v>
      </c>
      <c r="B1205" s="26" t="s">
        <v>8968</v>
      </c>
    </row>
    <row r="1206" spans="1:2" x14ac:dyDescent="0.25">
      <c r="A1206" s="28">
        <v>4120070</v>
      </c>
      <c r="B1206" s="26" t="s">
        <v>8904</v>
      </c>
    </row>
    <row r="1207" spans="1:2" x14ac:dyDescent="0.25">
      <c r="A1207" s="28">
        <v>4120071</v>
      </c>
      <c r="B1207" s="26" t="s">
        <v>8905</v>
      </c>
    </row>
    <row r="1208" spans="1:2" x14ac:dyDescent="0.25">
      <c r="A1208" s="28">
        <v>4120072</v>
      </c>
      <c r="B1208" s="26" t="s">
        <v>8906</v>
      </c>
    </row>
    <row r="1209" spans="1:2" x14ac:dyDescent="0.25">
      <c r="A1209" s="28">
        <v>4120073</v>
      </c>
      <c r="B1209" s="26" t="s">
        <v>8907</v>
      </c>
    </row>
    <row r="1210" spans="1:2" x14ac:dyDescent="0.25">
      <c r="A1210" s="28">
        <v>4120074</v>
      </c>
      <c r="B1210" s="26" t="s">
        <v>8900</v>
      </c>
    </row>
    <row r="1211" spans="1:2" x14ac:dyDescent="0.25">
      <c r="A1211" s="28">
        <v>4120075</v>
      </c>
      <c r="B1211" s="26" t="s">
        <v>8901</v>
      </c>
    </row>
    <row r="1212" spans="1:2" x14ac:dyDescent="0.25">
      <c r="A1212" s="28">
        <v>4120076</v>
      </c>
      <c r="B1212" s="26" t="s">
        <v>8902</v>
      </c>
    </row>
    <row r="1213" spans="1:2" x14ac:dyDescent="0.25">
      <c r="A1213" s="28">
        <v>4120077</v>
      </c>
      <c r="B1213" s="26" t="s">
        <v>8903</v>
      </c>
    </row>
    <row r="1214" spans="1:2" x14ac:dyDescent="0.25">
      <c r="A1214" s="28">
        <v>4120078</v>
      </c>
      <c r="B1214" s="26" t="s">
        <v>8908</v>
      </c>
    </row>
    <row r="1215" spans="1:2" x14ac:dyDescent="0.25">
      <c r="A1215" s="28">
        <v>4120079</v>
      </c>
      <c r="B1215" s="26" t="s">
        <v>8909</v>
      </c>
    </row>
    <row r="1216" spans="1:2" x14ac:dyDescent="0.25">
      <c r="A1216" s="28">
        <v>4120080</v>
      </c>
      <c r="B1216" s="26" t="s">
        <v>8910</v>
      </c>
    </row>
    <row r="1217" spans="1:2" x14ac:dyDescent="0.25">
      <c r="A1217" s="28">
        <v>4120081</v>
      </c>
      <c r="B1217" s="26" t="s">
        <v>11206</v>
      </c>
    </row>
    <row r="1218" spans="1:2" x14ac:dyDescent="0.25">
      <c r="A1218" s="28">
        <v>4120082</v>
      </c>
      <c r="B1218" s="26" t="s">
        <v>8911</v>
      </c>
    </row>
    <row r="1219" spans="1:2" x14ac:dyDescent="0.25">
      <c r="A1219" s="28">
        <v>4120083</v>
      </c>
      <c r="B1219" s="26" t="s">
        <v>8912</v>
      </c>
    </row>
    <row r="1220" spans="1:2" x14ac:dyDescent="0.25">
      <c r="A1220" s="28">
        <v>4120084</v>
      </c>
      <c r="B1220" s="26" t="s">
        <v>8913</v>
      </c>
    </row>
    <row r="1221" spans="1:2" x14ac:dyDescent="0.25">
      <c r="A1221" s="28">
        <v>4120085</v>
      </c>
      <c r="B1221" s="26" t="s">
        <v>11207</v>
      </c>
    </row>
    <row r="1222" spans="1:2" x14ac:dyDescent="0.25">
      <c r="A1222" s="28">
        <v>4120086</v>
      </c>
      <c r="B1222" s="26" t="s">
        <v>8838</v>
      </c>
    </row>
    <row r="1223" spans="1:2" x14ac:dyDescent="0.25">
      <c r="A1223" s="28">
        <v>4120087</v>
      </c>
      <c r="B1223" s="26" t="s">
        <v>8839</v>
      </c>
    </row>
    <row r="1224" spans="1:2" x14ac:dyDescent="0.25">
      <c r="A1224" s="28">
        <v>4120088</v>
      </c>
      <c r="B1224" s="26" t="s">
        <v>8840</v>
      </c>
    </row>
    <row r="1225" spans="1:2" x14ac:dyDescent="0.25">
      <c r="A1225" s="28">
        <v>4120089</v>
      </c>
      <c r="B1225" s="26" t="s">
        <v>11208</v>
      </c>
    </row>
    <row r="1226" spans="1:2" x14ac:dyDescent="0.25">
      <c r="A1226" s="28">
        <v>4120100</v>
      </c>
      <c r="B1226" s="26" t="s">
        <v>8927</v>
      </c>
    </row>
    <row r="1227" spans="1:2" x14ac:dyDescent="0.25">
      <c r="A1227" s="28">
        <v>4120101</v>
      </c>
      <c r="B1227" s="26" t="s">
        <v>8928</v>
      </c>
    </row>
    <row r="1228" spans="1:2" x14ac:dyDescent="0.25">
      <c r="A1228" s="28">
        <v>4120103</v>
      </c>
      <c r="B1228" s="26" t="s">
        <v>8929</v>
      </c>
    </row>
    <row r="1229" spans="1:2" x14ac:dyDescent="0.25">
      <c r="A1229" s="28">
        <v>4120104</v>
      </c>
      <c r="B1229" s="26" t="s">
        <v>8930</v>
      </c>
    </row>
    <row r="1230" spans="1:2" x14ac:dyDescent="0.25">
      <c r="A1230" s="28">
        <v>4120105</v>
      </c>
      <c r="B1230" s="26" t="s">
        <v>8863</v>
      </c>
    </row>
    <row r="1231" spans="1:2" x14ac:dyDescent="0.25">
      <c r="A1231" s="28">
        <v>4120106</v>
      </c>
      <c r="B1231" s="26" t="s">
        <v>8931</v>
      </c>
    </row>
    <row r="1232" spans="1:2" x14ac:dyDescent="0.25">
      <c r="A1232" s="28">
        <v>4120107</v>
      </c>
      <c r="B1232" s="26" t="s">
        <v>8932</v>
      </c>
    </row>
    <row r="1233" spans="1:2" x14ac:dyDescent="0.25">
      <c r="A1233" s="28">
        <v>4120108</v>
      </c>
      <c r="B1233" s="26" t="s">
        <v>11209</v>
      </c>
    </row>
    <row r="1234" spans="1:2" x14ac:dyDescent="0.25">
      <c r="A1234" s="28">
        <v>4120109</v>
      </c>
      <c r="B1234" s="26" t="s">
        <v>11210</v>
      </c>
    </row>
    <row r="1235" spans="1:2" x14ac:dyDescent="0.25">
      <c r="A1235" s="28">
        <v>4120110</v>
      </c>
      <c r="B1235" s="26" t="s">
        <v>8859</v>
      </c>
    </row>
    <row r="1236" spans="1:2" x14ac:dyDescent="0.25">
      <c r="A1236" s="28">
        <v>4120111</v>
      </c>
      <c r="B1236" s="26" t="s">
        <v>8973</v>
      </c>
    </row>
    <row r="1237" spans="1:2" x14ac:dyDescent="0.25">
      <c r="A1237" s="28">
        <v>4120112</v>
      </c>
      <c r="B1237" s="26" t="s">
        <v>11209</v>
      </c>
    </row>
    <row r="1238" spans="1:2" x14ac:dyDescent="0.25">
      <c r="A1238" s="28">
        <v>4120113</v>
      </c>
      <c r="B1238" s="26" t="s">
        <v>11209</v>
      </c>
    </row>
    <row r="1239" spans="1:2" x14ac:dyDescent="0.25">
      <c r="A1239" s="28">
        <v>4120115</v>
      </c>
      <c r="B1239" s="26" t="s">
        <v>8860</v>
      </c>
    </row>
    <row r="1240" spans="1:2" x14ac:dyDescent="0.25">
      <c r="A1240" s="28">
        <v>4120116</v>
      </c>
      <c r="B1240" s="26" t="s">
        <v>11211</v>
      </c>
    </row>
    <row r="1241" spans="1:2" x14ac:dyDescent="0.25">
      <c r="A1241" s="28">
        <v>4120117</v>
      </c>
      <c r="B1241" s="26" t="s">
        <v>12319</v>
      </c>
    </row>
    <row r="1242" spans="1:2" x14ac:dyDescent="0.25">
      <c r="A1242" s="28">
        <v>4120118</v>
      </c>
      <c r="B1242" s="26" t="s">
        <v>12320</v>
      </c>
    </row>
    <row r="1243" spans="1:2" x14ac:dyDescent="0.25">
      <c r="A1243" s="28">
        <v>4120120</v>
      </c>
      <c r="B1243" s="26" t="s">
        <v>8914</v>
      </c>
    </row>
    <row r="1244" spans="1:2" x14ac:dyDescent="0.25">
      <c r="A1244" s="28">
        <v>4120121</v>
      </c>
      <c r="B1244" s="26" t="s">
        <v>8915</v>
      </c>
    </row>
    <row r="1245" spans="1:2" x14ac:dyDescent="0.25">
      <c r="A1245" s="28">
        <v>4120123</v>
      </c>
      <c r="B1245" s="26" t="s">
        <v>8916</v>
      </c>
    </row>
    <row r="1246" spans="1:2" x14ac:dyDescent="0.25">
      <c r="A1246" s="28">
        <v>4120124</v>
      </c>
      <c r="B1246" s="26" t="s">
        <v>8917</v>
      </c>
    </row>
    <row r="1247" spans="1:2" x14ac:dyDescent="0.25">
      <c r="A1247" s="28">
        <v>4120130</v>
      </c>
      <c r="B1247" s="26" t="s">
        <v>8980</v>
      </c>
    </row>
    <row r="1248" spans="1:2" x14ac:dyDescent="0.25">
      <c r="A1248" s="28">
        <v>4120131</v>
      </c>
      <c r="B1248" s="26" t="s">
        <v>8981</v>
      </c>
    </row>
    <row r="1249" spans="1:2" x14ac:dyDescent="0.25">
      <c r="A1249" s="28">
        <v>4120138</v>
      </c>
      <c r="B1249" s="26" t="s">
        <v>11212</v>
      </c>
    </row>
    <row r="1250" spans="1:2" x14ac:dyDescent="0.25">
      <c r="A1250" s="28">
        <v>4120139</v>
      </c>
      <c r="B1250" s="26" t="s">
        <v>11213</v>
      </c>
    </row>
    <row r="1251" spans="1:2" x14ac:dyDescent="0.25">
      <c r="A1251" s="28">
        <v>4120140</v>
      </c>
      <c r="B1251" s="26" t="s">
        <v>12222</v>
      </c>
    </row>
    <row r="1252" spans="1:2" x14ac:dyDescent="0.25">
      <c r="A1252" s="28">
        <v>4120150</v>
      </c>
      <c r="B1252" s="26" t="s">
        <v>11214</v>
      </c>
    </row>
    <row r="1253" spans="1:2" x14ac:dyDescent="0.25">
      <c r="A1253" s="28">
        <v>4120151</v>
      </c>
      <c r="B1253" s="26" t="s">
        <v>11215</v>
      </c>
    </row>
    <row r="1254" spans="1:2" x14ac:dyDescent="0.25">
      <c r="A1254" s="28">
        <v>4120159</v>
      </c>
      <c r="B1254" s="26" t="s">
        <v>11216</v>
      </c>
    </row>
    <row r="1255" spans="1:2" x14ac:dyDescent="0.25">
      <c r="A1255" s="28">
        <v>4120160</v>
      </c>
      <c r="B1255" s="26" t="s">
        <v>11217</v>
      </c>
    </row>
    <row r="1256" spans="1:2" x14ac:dyDescent="0.25">
      <c r="A1256" s="28">
        <v>4120161</v>
      </c>
      <c r="B1256" s="26" t="s">
        <v>11218</v>
      </c>
    </row>
    <row r="1257" spans="1:2" x14ac:dyDescent="0.25">
      <c r="A1257" s="26" t="s">
        <v>12748</v>
      </c>
      <c r="B1257" s="26" t="s">
        <v>12749</v>
      </c>
    </row>
    <row r="1258" spans="1:2" x14ac:dyDescent="0.25">
      <c r="A1258" s="28">
        <v>4120162</v>
      </c>
      <c r="B1258" s="26" t="s">
        <v>11219</v>
      </c>
    </row>
    <row r="1259" spans="1:2" x14ac:dyDescent="0.25">
      <c r="A1259" s="28">
        <v>412017</v>
      </c>
      <c r="B1259" s="26" t="s">
        <v>13200</v>
      </c>
    </row>
    <row r="1260" spans="1:2" x14ac:dyDescent="0.25">
      <c r="A1260" s="28">
        <v>4120170</v>
      </c>
      <c r="B1260" s="26" t="s">
        <v>8939</v>
      </c>
    </row>
    <row r="1261" spans="1:2" x14ac:dyDescent="0.25">
      <c r="A1261" s="28">
        <v>4120171</v>
      </c>
      <c r="B1261" s="26" t="s">
        <v>8940</v>
      </c>
    </row>
    <row r="1262" spans="1:2" x14ac:dyDescent="0.25">
      <c r="A1262" s="28">
        <v>4120172</v>
      </c>
      <c r="B1262" s="26" t="s">
        <v>11220</v>
      </c>
    </row>
    <row r="1263" spans="1:2" x14ac:dyDescent="0.25">
      <c r="A1263" s="28">
        <v>4120201</v>
      </c>
      <c r="B1263" s="26" t="s">
        <v>11221</v>
      </c>
    </row>
    <row r="1264" spans="1:2" x14ac:dyDescent="0.25">
      <c r="A1264" s="28">
        <v>4120202</v>
      </c>
      <c r="B1264" s="26" t="s">
        <v>11222</v>
      </c>
    </row>
    <row r="1265" spans="1:2" x14ac:dyDescent="0.25">
      <c r="A1265" s="28">
        <v>4120210</v>
      </c>
      <c r="B1265" s="26" t="s">
        <v>12223</v>
      </c>
    </row>
    <row r="1266" spans="1:2" x14ac:dyDescent="0.25">
      <c r="A1266" s="28">
        <v>4120215</v>
      </c>
      <c r="B1266" s="26" t="s">
        <v>13201</v>
      </c>
    </row>
    <row r="1267" spans="1:2" x14ac:dyDescent="0.25">
      <c r="A1267" s="28">
        <v>4120216</v>
      </c>
      <c r="B1267" s="26" t="s">
        <v>13202</v>
      </c>
    </row>
    <row r="1268" spans="1:2" x14ac:dyDescent="0.25">
      <c r="A1268" s="28">
        <v>4120217</v>
      </c>
      <c r="B1268" s="26" t="s">
        <v>13203</v>
      </c>
    </row>
    <row r="1269" spans="1:2" x14ac:dyDescent="0.25">
      <c r="A1269" s="28">
        <v>4120220</v>
      </c>
      <c r="B1269" s="26" t="s">
        <v>8861</v>
      </c>
    </row>
    <row r="1270" spans="1:2" x14ac:dyDescent="0.25">
      <c r="A1270" s="28">
        <v>4120221</v>
      </c>
      <c r="B1270" s="26" t="s">
        <v>8862</v>
      </c>
    </row>
    <row r="1271" spans="1:2" x14ac:dyDescent="0.25">
      <c r="A1271" s="28">
        <v>4120222</v>
      </c>
      <c r="B1271" s="26" t="s">
        <v>8854</v>
      </c>
    </row>
    <row r="1272" spans="1:2" x14ac:dyDescent="0.25">
      <c r="A1272" s="28">
        <v>4120223</v>
      </c>
      <c r="B1272" s="26" t="s">
        <v>8855</v>
      </c>
    </row>
    <row r="1273" spans="1:2" x14ac:dyDescent="0.25">
      <c r="A1273" s="28">
        <v>4120224</v>
      </c>
      <c r="B1273" s="26" t="s">
        <v>8856</v>
      </c>
    </row>
    <row r="1274" spans="1:2" x14ac:dyDescent="0.25">
      <c r="A1274" s="28">
        <v>4120232</v>
      </c>
      <c r="B1274" s="26" t="s">
        <v>8938</v>
      </c>
    </row>
    <row r="1275" spans="1:2" x14ac:dyDescent="0.25">
      <c r="A1275" s="28">
        <v>4120233</v>
      </c>
      <c r="B1275" s="26" t="s">
        <v>11223</v>
      </c>
    </row>
    <row r="1276" spans="1:2" x14ac:dyDescent="0.25">
      <c r="A1276" s="28">
        <v>4120234</v>
      </c>
      <c r="B1276" s="26" t="s">
        <v>11224</v>
      </c>
    </row>
    <row r="1277" spans="1:2" x14ac:dyDescent="0.25">
      <c r="A1277" s="28">
        <v>4120235</v>
      </c>
      <c r="B1277" s="26" t="s">
        <v>11225</v>
      </c>
    </row>
    <row r="1278" spans="1:2" x14ac:dyDescent="0.25">
      <c r="A1278" s="28">
        <v>4120236</v>
      </c>
      <c r="B1278" s="26" t="s">
        <v>8935</v>
      </c>
    </row>
    <row r="1279" spans="1:2" x14ac:dyDescent="0.25">
      <c r="A1279" s="28">
        <v>4120237</v>
      </c>
      <c r="B1279" s="26" t="s">
        <v>8936</v>
      </c>
    </row>
    <row r="1280" spans="1:2" x14ac:dyDescent="0.25">
      <c r="A1280" s="28">
        <v>4120238</v>
      </c>
      <c r="B1280" s="26" t="s">
        <v>8937</v>
      </c>
    </row>
    <row r="1281" spans="1:2" x14ac:dyDescent="0.25">
      <c r="A1281" s="28">
        <v>4120239</v>
      </c>
      <c r="B1281" s="26" t="s">
        <v>8871</v>
      </c>
    </row>
    <row r="1282" spans="1:2" x14ac:dyDescent="0.25">
      <c r="A1282" s="28">
        <v>4120240</v>
      </c>
      <c r="B1282" s="26" t="s">
        <v>8872</v>
      </c>
    </row>
    <row r="1283" spans="1:2" x14ac:dyDescent="0.25">
      <c r="A1283" s="28">
        <v>4120241</v>
      </c>
      <c r="B1283" s="26" t="s">
        <v>8873</v>
      </c>
    </row>
    <row r="1284" spans="1:2" x14ac:dyDescent="0.25">
      <c r="A1284" s="28">
        <v>4120242</v>
      </c>
      <c r="B1284" s="26" t="s">
        <v>10860</v>
      </c>
    </row>
    <row r="1285" spans="1:2" x14ac:dyDescent="0.25">
      <c r="A1285" s="28">
        <v>4120243</v>
      </c>
      <c r="B1285" s="26" t="s">
        <v>10861</v>
      </c>
    </row>
    <row r="1286" spans="1:2" x14ac:dyDescent="0.25">
      <c r="A1286" s="28">
        <v>4120244</v>
      </c>
      <c r="B1286" s="26" t="s">
        <v>10862</v>
      </c>
    </row>
    <row r="1287" spans="1:2" x14ac:dyDescent="0.25">
      <c r="A1287" s="28">
        <v>4120245</v>
      </c>
      <c r="B1287" s="26" t="s">
        <v>8868</v>
      </c>
    </row>
    <row r="1288" spans="1:2" x14ac:dyDescent="0.25">
      <c r="A1288" s="28">
        <v>4120246</v>
      </c>
      <c r="B1288" s="26" t="s">
        <v>8869</v>
      </c>
    </row>
    <row r="1289" spans="1:2" x14ac:dyDescent="0.25">
      <c r="A1289" s="28">
        <v>4120247</v>
      </c>
      <c r="B1289" s="26" t="s">
        <v>8870</v>
      </c>
    </row>
    <row r="1290" spans="1:2" x14ac:dyDescent="0.25">
      <c r="A1290" s="28">
        <v>4120250</v>
      </c>
      <c r="B1290" s="26" t="s">
        <v>11226</v>
      </c>
    </row>
    <row r="1291" spans="1:2" x14ac:dyDescent="0.25">
      <c r="A1291" s="28">
        <v>4120251</v>
      </c>
      <c r="B1291" s="26" t="s">
        <v>11226</v>
      </c>
    </row>
    <row r="1292" spans="1:2" x14ac:dyDescent="0.25">
      <c r="A1292" s="28">
        <v>4120252</v>
      </c>
      <c r="B1292" s="26" t="s">
        <v>11226</v>
      </c>
    </row>
    <row r="1293" spans="1:2" x14ac:dyDescent="0.25">
      <c r="A1293" s="28">
        <v>4120254</v>
      </c>
      <c r="B1293" s="26" t="s">
        <v>11227</v>
      </c>
    </row>
    <row r="1294" spans="1:2" x14ac:dyDescent="0.25">
      <c r="A1294" s="28">
        <v>4120255</v>
      </c>
      <c r="B1294" s="26" t="s">
        <v>11228</v>
      </c>
    </row>
    <row r="1295" spans="1:2" x14ac:dyDescent="0.25">
      <c r="A1295" s="28">
        <v>4120256</v>
      </c>
      <c r="B1295" s="26" t="s">
        <v>11229</v>
      </c>
    </row>
    <row r="1296" spans="1:2" x14ac:dyDescent="0.25">
      <c r="A1296" s="28">
        <v>4120270</v>
      </c>
      <c r="B1296" s="26" t="s">
        <v>8922</v>
      </c>
    </row>
    <row r="1297" spans="1:2" x14ac:dyDescent="0.25">
      <c r="A1297" s="28">
        <v>4120271</v>
      </c>
      <c r="B1297" s="26" t="s">
        <v>8923</v>
      </c>
    </row>
    <row r="1298" spans="1:2" x14ac:dyDescent="0.25">
      <c r="A1298" s="28">
        <v>4120272</v>
      </c>
      <c r="B1298" s="26" t="s">
        <v>8924</v>
      </c>
    </row>
    <row r="1299" spans="1:2" x14ac:dyDescent="0.25">
      <c r="A1299" s="28">
        <v>4120300</v>
      </c>
      <c r="B1299" s="26" t="s">
        <v>8844</v>
      </c>
    </row>
    <row r="1300" spans="1:2" x14ac:dyDescent="0.25">
      <c r="A1300" s="28">
        <v>4120301</v>
      </c>
      <c r="B1300" s="26" t="s">
        <v>11230</v>
      </c>
    </row>
    <row r="1301" spans="1:2" x14ac:dyDescent="0.25">
      <c r="A1301" s="28">
        <v>4120302</v>
      </c>
      <c r="B1301" s="26" t="s">
        <v>11231</v>
      </c>
    </row>
    <row r="1302" spans="1:2" x14ac:dyDescent="0.25">
      <c r="A1302" s="28">
        <v>4120303</v>
      </c>
      <c r="B1302" s="26" t="s">
        <v>8845</v>
      </c>
    </row>
    <row r="1303" spans="1:2" x14ac:dyDescent="0.25">
      <c r="A1303" s="28">
        <v>4120304</v>
      </c>
      <c r="B1303" s="26" t="s">
        <v>8846</v>
      </c>
    </row>
    <row r="1304" spans="1:2" x14ac:dyDescent="0.25">
      <c r="A1304" s="28">
        <v>4120334</v>
      </c>
      <c r="B1304" s="26" t="s">
        <v>8848</v>
      </c>
    </row>
    <row r="1305" spans="1:2" x14ac:dyDescent="0.25">
      <c r="A1305" s="28">
        <v>4120335</v>
      </c>
      <c r="B1305" s="26" t="s">
        <v>8849</v>
      </c>
    </row>
    <row r="1306" spans="1:2" x14ac:dyDescent="0.25">
      <c r="A1306" s="28">
        <v>4120350</v>
      </c>
      <c r="B1306" s="26" t="s">
        <v>11232</v>
      </c>
    </row>
    <row r="1307" spans="1:2" x14ac:dyDescent="0.25">
      <c r="A1307" s="28">
        <v>4120351</v>
      </c>
      <c r="B1307" s="26" t="s">
        <v>11233</v>
      </c>
    </row>
    <row r="1308" spans="1:2" x14ac:dyDescent="0.25">
      <c r="A1308" s="28">
        <v>4120352</v>
      </c>
      <c r="B1308" s="26" t="s">
        <v>11234</v>
      </c>
    </row>
    <row r="1309" spans="1:2" x14ac:dyDescent="0.25">
      <c r="A1309" s="28">
        <v>4120353</v>
      </c>
      <c r="B1309" s="26" t="s">
        <v>11235</v>
      </c>
    </row>
    <row r="1310" spans="1:2" x14ac:dyDescent="0.25">
      <c r="A1310" s="28">
        <v>4120354</v>
      </c>
      <c r="B1310" s="26" t="s">
        <v>11236</v>
      </c>
    </row>
    <row r="1311" spans="1:2" x14ac:dyDescent="0.25">
      <c r="A1311" s="28">
        <v>4120355</v>
      </c>
      <c r="B1311" s="26" t="s">
        <v>11237</v>
      </c>
    </row>
    <row r="1312" spans="1:2" x14ac:dyDescent="0.25">
      <c r="A1312" s="28">
        <v>4120356</v>
      </c>
      <c r="B1312" s="26" t="s">
        <v>11238</v>
      </c>
    </row>
    <row r="1313" spans="1:2" x14ac:dyDescent="0.25">
      <c r="A1313" s="28">
        <v>4120357</v>
      </c>
      <c r="B1313" s="26" t="s">
        <v>11239</v>
      </c>
    </row>
    <row r="1314" spans="1:2" x14ac:dyDescent="0.25">
      <c r="A1314" s="28">
        <v>4120358</v>
      </c>
      <c r="B1314" s="26" t="s">
        <v>11240</v>
      </c>
    </row>
    <row r="1315" spans="1:2" x14ac:dyDescent="0.25">
      <c r="A1315" s="28">
        <v>4120359</v>
      </c>
      <c r="B1315" s="26" t="s">
        <v>11241</v>
      </c>
    </row>
    <row r="1316" spans="1:2" x14ac:dyDescent="0.25">
      <c r="A1316" s="28">
        <v>4120400</v>
      </c>
      <c r="B1316" s="26" t="s">
        <v>8858</v>
      </c>
    </row>
    <row r="1317" spans="1:2" x14ac:dyDescent="0.25">
      <c r="A1317" s="28">
        <v>4120401</v>
      </c>
      <c r="B1317" s="26" t="s">
        <v>11242</v>
      </c>
    </row>
    <row r="1318" spans="1:2" x14ac:dyDescent="0.25">
      <c r="A1318" s="28">
        <v>4120402</v>
      </c>
      <c r="B1318" s="26" t="s">
        <v>11243</v>
      </c>
    </row>
    <row r="1319" spans="1:2" x14ac:dyDescent="0.25">
      <c r="A1319" s="28">
        <v>4120418</v>
      </c>
      <c r="B1319" s="26" t="s">
        <v>11244</v>
      </c>
    </row>
    <row r="1320" spans="1:2" x14ac:dyDescent="0.25">
      <c r="A1320" s="28">
        <v>4120419</v>
      </c>
      <c r="B1320" s="26" t="s">
        <v>11245</v>
      </c>
    </row>
    <row r="1321" spans="1:2" x14ac:dyDescent="0.25">
      <c r="A1321" s="28">
        <v>4120420</v>
      </c>
      <c r="B1321" s="26" t="s">
        <v>11246</v>
      </c>
    </row>
    <row r="1322" spans="1:2" x14ac:dyDescent="0.25">
      <c r="A1322" s="28">
        <v>4120421</v>
      </c>
      <c r="B1322" s="26" t="s">
        <v>11247</v>
      </c>
    </row>
    <row r="1323" spans="1:2" x14ac:dyDescent="0.25">
      <c r="A1323" s="28">
        <v>4120442</v>
      </c>
      <c r="B1323" s="26" t="s">
        <v>11248</v>
      </c>
    </row>
    <row r="1324" spans="1:2" x14ac:dyDescent="0.25">
      <c r="A1324" s="28">
        <v>4120443</v>
      </c>
      <c r="B1324" s="26" t="s">
        <v>11249</v>
      </c>
    </row>
    <row r="1325" spans="1:2" x14ac:dyDescent="0.25">
      <c r="A1325" s="28">
        <v>4120444</v>
      </c>
      <c r="B1325" s="26" t="s">
        <v>11250</v>
      </c>
    </row>
    <row r="1326" spans="1:2" x14ac:dyDescent="0.25">
      <c r="A1326" s="28">
        <v>4120450</v>
      </c>
      <c r="B1326" s="26" t="s">
        <v>11251</v>
      </c>
    </row>
    <row r="1327" spans="1:2" x14ac:dyDescent="0.25">
      <c r="A1327" s="28">
        <v>4120451</v>
      </c>
      <c r="B1327" s="26" t="s">
        <v>11252</v>
      </c>
    </row>
    <row r="1328" spans="1:2" x14ac:dyDescent="0.25">
      <c r="A1328" s="28">
        <v>4120454</v>
      </c>
      <c r="B1328" s="26" t="s">
        <v>11253</v>
      </c>
    </row>
    <row r="1329" spans="1:2" x14ac:dyDescent="0.25">
      <c r="A1329" s="28">
        <v>4120455</v>
      </c>
      <c r="B1329" s="26" t="s">
        <v>11254</v>
      </c>
    </row>
    <row r="1330" spans="1:2" x14ac:dyDescent="0.25">
      <c r="A1330" s="28">
        <v>4120456</v>
      </c>
      <c r="B1330" s="26" t="s">
        <v>11255</v>
      </c>
    </row>
    <row r="1331" spans="1:2" x14ac:dyDescent="0.25">
      <c r="A1331" s="28">
        <v>4120457</v>
      </c>
      <c r="B1331" s="26" t="s">
        <v>8992</v>
      </c>
    </row>
    <row r="1332" spans="1:2" x14ac:dyDescent="0.25">
      <c r="A1332" s="28">
        <v>4120458</v>
      </c>
      <c r="B1332" s="26" t="s">
        <v>11256</v>
      </c>
    </row>
    <row r="1333" spans="1:2" x14ac:dyDescent="0.25">
      <c r="A1333" s="28">
        <v>4120459</v>
      </c>
      <c r="B1333" s="26" t="s">
        <v>11257</v>
      </c>
    </row>
    <row r="1334" spans="1:2" x14ac:dyDescent="0.25">
      <c r="A1334" s="28">
        <v>4120460</v>
      </c>
      <c r="B1334" s="26" t="s">
        <v>8993</v>
      </c>
    </row>
    <row r="1335" spans="1:2" x14ac:dyDescent="0.25">
      <c r="A1335" s="28">
        <v>4120461</v>
      </c>
      <c r="B1335" s="26" t="s">
        <v>8994</v>
      </c>
    </row>
    <row r="1336" spans="1:2" x14ac:dyDescent="0.25">
      <c r="A1336" s="28">
        <v>4120462</v>
      </c>
      <c r="B1336" s="26" t="s">
        <v>11258</v>
      </c>
    </row>
    <row r="1337" spans="1:2" x14ac:dyDescent="0.25">
      <c r="A1337" s="28">
        <v>4120464</v>
      </c>
      <c r="B1337" s="26" t="s">
        <v>11259</v>
      </c>
    </row>
    <row r="1338" spans="1:2" x14ac:dyDescent="0.25">
      <c r="A1338" s="26" t="s">
        <v>12750</v>
      </c>
      <c r="B1338" s="27"/>
    </row>
    <row r="1339" spans="1:2" x14ac:dyDescent="0.25">
      <c r="A1339" s="28">
        <v>4120465</v>
      </c>
      <c r="B1339" s="26" t="s">
        <v>11260</v>
      </c>
    </row>
    <row r="1340" spans="1:2" x14ac:dyDescent="0.25">
      <c r="A1340" s="28">
        <v>4120466</v>
      </c>
      <c r="B1340" s="26" t="s">
        <v>11261</v>
      </c>
    </row>
    <row r="1341" spans="1:2" x14ac:dyDescent="0.25">
      <c r="A1341" s="28">
        <v>4120467</v>
      </c>
      <c r="B1341" s="26" t="s">
        <v>11262</v>
      </c>
    </row>
    <row r="1342" spans="1:2" x14ac:dyDescent="0.25">
      <c r="A1342" s="28">
        <v>4120495</v>
      </c>
      <c r="B1342" s="26" t="s">
        <v>8982</v>
      </c>
    </row>
    <row r="1343" spans="1:2" x14ac:dyDescent="0.25">
      <c r="A1343" s="28">
        <v>4120496</v>
      </c>
      <c r="B1343" s="26" t="s">
        <v>8983</v>
      </c>
    </row>
    <row r="1344" spans="1:2" x14ac:dyDescent="0.25">
      <c r="A1344" s="28">
        <v>4120497</v>
      </c>
      <c r="B1344" s="26" t="s">
        <v>8984</v>
      </c>
    </row>
    <row r="1345" spans="1:2" x14ac:dyDescent="0.25">
      <c r="A1345" s="28">
        <v>4120500</v>
      </c>
      <c r="B1345" s="26" t="s">
        <v>11263</v>
      </c>
    </row>
    <row r="1346" spans="1:2" x14ac:dyDescent="0.25">
      <c r="A1346" s="28">
        <v>4120501</v>
      </c>
      <c r="B1346" s="26" t="s">
        <v>11264</v>
      </c>
    </row>
    <row r="1347" spans="1:2" x14ac:dyDescent="0.25">
      <c r="A1347" s="28">
        <v>4120502</v>
      </c>
      <c r="B1347" s="26" t="s">
        <v>11265</v>
      </c>
    </row>
    <row r="1348" spans="1:2" x14ac:dyDescent="0.25">
      <c r="A1348" s="28">
        <v>4120505</v>
      </c>
      <c r="B1348" s="26" t="s">
        <v>11266</v>
      </c>
    </row>
    <row r="1349" spans="1:2" x14ac:dyDescent="0.25">
      <c r="A1349" s="28">
        <v>4120506</v>
      </c>
      <c r="B1349" s="26" t="s">
        <v>11267</v>
      </c>
    </row>
    <row r="1350" spans="1:2" x14ac:dyDescent="0.25">
      <c r="A1350" s="28">
        <v>4120507</v>
      </c>
      <c r="B1350" s="26" t="s">
        <v>11268</v>
      </c>
    </row>
    <row r="1351" spans="1:2" x14ac:dyDescent="0.25">
      <c r="A1351" s="28">
        <v>4120544</v>
      </c>
      <c r="B1351" s="26" t="s">
        <v>8875</v>
      </c>
    </row>
    <row r="1352" spans="1:2" x14ac:dyDescent="0.25">
      <c r="A1352" s="28">
        <v>4120545</v>
      </c>
      <c r="B1352" s="26" t="s">
        <v>8877</v>
      </c>
    </row>
    <row r="1353" spans="1:2" x14ac:dyDescent="0.25">
      <c r="A1353" s="28">
        <v>4120546</v>
      </c>
      <c r="B1353" s="26" t="s">
        <v>11269</v>
      </c>
    </row>
    <row r="1354" spans="1:2" x14ac:dyDescent="0.25">
      <c r="A1354" s="28">
        <v>4120549</v>
      </c>
      <c r="B1354" s="26" t="s">
        <v>11270</v>
      </c>
    </row>
    <row r="1355" spans="1:2" x14ac:dyDescent="0.25">
      <c r="A1355" s="28">
        <v>4120567</v>
      </c>
      <c r="B1355" s="26" t="s">
        <v>8883</v>
      </c>
    </row>
    <row r="1356" spans="1:2" x14ac:dyDescent="0.25">
      <c r="A1356" s="28">
        <v>4120568</v>
      </c>
      <c r="B1356" s="26" t="s">
        <v>8884</v>
      </c>
    </row>
    <row r="1357" spans="1:2" x14ac:dyDescent="0.25">
      <c r="A1357" s="28">
        <v>4120569</v>
      </c>
      <c r="B1357" s="26" t="s">
        <v>8885</v>
      </c>
    </row>
    <row r="1358" spans="1:2" x14ac:dyDescent="0.25">
      <c r="A1358" s="28">
        <v>4120570</v>
      </c>
      <c r="B1358" s="26" t="s">
        <v>11271</v>
      </c>
    </row>
    <row r="1359" spans="1:2" x14ac:dyDescent="0.25">
      <c r="A1359" s="28">
        <v>4120600</v>
      </c>
      <c r="B1359" s="26" t="s">
        <v>8841</v>
      </c>
    </row>
    <row r="1360" spans="1:2" x14ac:dyDescent="0.25">
      <c r="A1360" s="28">
        <v>4120601</v>
      </c>
      <c r="B1360" s="26" t="s">
        <v>8842</v>
      </c>
    </row>
    <row r="1361" spans="1:2" x14ac:dyDescent="0.25">
      <c r="A1361" s="28">
        <v>4120602</v>
      </c>
      <c r="B1361" s="26" t="s">
        <v>8843</v>
      </c>
    </row>
    <row r="1362" spans="1:2" x14ac:dyDescent="0.25">
      <c r="A1362" s="28">
        <v>4120625</v>
      </c>
      <c r="B1362" s="26" t="s">
        <v>8898</v>
      </c>
    </row>
    <row r="1363" spans="1:2" x14ac:dyDescent="0.25">
      <c r="A1363" s="28">
        <v>4120627</v>
      </c>
      <c r="B1363" s="26" t="s">
        <v>8899</v>
      </c>
    </row>
    <row r="1364" spans="1:2" x14ac:dyDescent="0.25">
      <c r="A1364" s="28">
        <v>4120628</v>
      </c>
      <c r="B1364" s="26" t="s">
        <v>11272</v>
      </c>
    </row>
    <row r="1365" spans="1:2" x14ac:dyDescent="0.25">
      <c r="A1365" s="28">
        <v>4120670</v>
      </c>
      <c r="B1365" s="26" t="s">
        <v>8881</v>
      </c>
    </row>
    <row r="1366" spans="1:2" x14ac:dyDescent="0.25">
      <c r="A1366" s="28">
        <v>4120672</v>
      </c>
      <c r="B1366" s="26" t="s">
        <v>8882</v>
      </c>
    </row>
    <row r="1367" spans="1:2" x14ac:dyDescent="0.25">
      <c r="A1367" s="28">
        <v>4120674</v>
      </c>
      <c r="B1367" s="26" t="s">
        <v>11273</v>
      </c>
    </row>
    <row r="1368" spans="1:2" x14ac:dyDescent="0.25">
      <c r="A1368" s="28">
        <v>4120676</v>
      </c>
      <c r="B1368" s="26" t="s">
        <v>11274</v>
      </c>
    </row>
    <row r="1369" spans="1:2" x14ac:dyDescent="0.25">
      <c r="A1369" s="28">
        <v>4120700</v>
      </c>
      <c r="B1369" s="26" t="s">
        <v>8894</v>
      </c>
    </row>
    <row r="1370" spans="1:2" x14ac:dyDescent="0.25">
      <c r="A1370" s="28">
        <v>4120701</v>
      </c>
      <c r="B1370" s="26" t="s">
        <v>8895</v>
      </c>
    </row>
    <row r="1371" spans="1:2" x14ac:dyDescent="0.25">
      <c r="A1371" s="28">
        <v>4120702</v>
      </c>
      <c r="B1371" s="26" t="s">
        <v>8896</v>
      </c>
    </row>
    <row r="1372" spans="1:2" x14ac:dyDescent="0.25">
      <c r="A1372" s="28">
        <v>4120750</v>
      </c>
      <c r="B1372" s="26" t="s">
        <v>11275</v>
      </c>
    </row>
    <row r="1373" spans="1:2" x14ac:dyDescent="0.25">
      <c r="A1373" s="28">
        <v>4120751</v>
      </c>
      <c r="B1373" s="26" t="s">
        <v>11276</v>
      </c>
    </row>
    <row r="1374" spans="1:2" x14ac:dyDescent="0.25">
      <c r="A1374" s="28">
        <v>4120752</v>
      </c>
      <c r="B1374" s="26" t="s">
        <v>11277</v>
      </c>
    </row>
    <row r="1375" spans="1:2" x14ac:dyDescent="0.25">
      <c r="A1375" s="28">
        <v>4120753</v>
      </c>
      <c r="B1375" s="26" t="s">
        <v>8943</v>
      </c>
    </row>
    <row r="1376" spans="1:2" x14ac:dyDescent="0.25">
      <c r="A1376" s="28">
        <v>4120754</v>
      </c>
      <c r="B1376" s="26" t="s">
        <v>8944</v>
      </c>
    </row>
    <row r="1377" spans="1:2" x14ac:dyDescent="0.25">
      <c r="A1377" s="28">
        <v>4120755</v>
      </c>
      <c r="B1377" s="26" t="s">
        <v>8945</v>
      </c>
    </row>
    <row r="1378" spans="1:2" x14ac:dyDescent="0.25">
      <c r="A1378" s="28">
        <v>4120770</v>
      </c>
      <c r="B1378" s="26" t="s">
        <v>8962</v>
      </c>
    </row>
    <row r="1379" spans="1:2" x14ac:dyDescent="0.25">
      <c r="A1379" s="28">
        <v>4120771</v>
      </c>
      <c r="B1379" s="26" t="s">
        <v>8963</v>
      </c>
    </row>
    <row r="1380" spans="1:2" x14ac:dyDescent="0.25">
      <c r="A1380" s="28">
        <v>4120772</v>
      </c>
      <c r="B1380" s="26" t="s">
        <v>8964</v>
      </c>
    </row>
    <row r="1381" spans="1:2" x14ac:dyDescent="0.25">
      <c r="A1381" s="28">
        <v>4120773</v>
      </c>
      <c r="B1381" s="26" t="s">
        <v>11278</v>
      </c>
    </row>
    <row r="1382" spans="1:2" x14ac:dyDescent="0.25">
      <c r="A1382" s="28">
        <v>4120778</v>
      </c>
      <c r="B1382" s="26" t="s">
        <v>8876</v>
      </c>
    </row>
    <row r="1383" spans="1:2" x14ac:dyDescent="0.25">
      <c r="A1383" s="28">
        <v>4120790</v>
      </c>
      <c r="B1383" s="26" t="s">
        <v>8957</v>
      </c>
    </row>
    <row r="1384" spans="1:2" x14ac:dyDescent="0.25">
      <c r="A1384" s="28">
        <v>4120791</v>
      </c>
      <c r="B1384" s="26" t="s">
        <v>8958</v>
      </c>
    </row>
    <row r="1385" spans="1:2" x14ac:dyDescent="0.25">
      <c r="A1385" s="28">
        <v>4120792</v>
      </c>
      <c r="B1385" s="26" t="s">
        <v>11279</v>
      </c>
    </row>
    <row r="1386" spans="1:2" x14ac:dyDescent="0.25">
      <c r="A1386" s="28">
        <v>4120800</v>
      </c>
      <c r="B1386" s="26" t="s">
        <v>8874</v>
      </c>
    </row>
    <row r="1387" spans="1:2" x14ac:dyDescent="0.25">
      <c r="A1387" s="28">
        <v>4120813</v>
      </c>
      <c r="B1387" s="26" t="s">
        <v>11179</v>
      </c>
    </row>
    <row r="1388" spans="1:2" x14ac:dyDescent="0.25">
      <c r="A1388" s="28">
        <v>4120846</v>
      </c>
      <c r="B1388" s="26" t="s">
        <v>11280</v>
      </c>
    </row>
    <row r="1389" spans="1:2" x14ac:dyDescent="0.25">
      <c r="A1389" s="28">
        <v>4120850</v>
      </c>
      <c r="B1389" s="26" t="s">
        <v>8941</v>
      </c>
    </row>
    <row r="1390" spans="1:2" x14ac:dyDescent="0.25">
      <c r="A1390" s="28">
        <v>4120852</v>
      </c>
      <c r="B1390" s="26" t="s">
        <v>8942</v>
      </c>
    </row>
    <row r="1391" spans="1:2" x14ac:dyDescent="0.25">
      <c r="A1391" s="28">
        <v>4120853</v>
      </c>
      <c r="B1391" s="26" t="s">
        <v>8919</v>
      </c>
    </row>
    <row r="1392" spans="1:2" x14ac:dyDescent="0.25">
      <c r="A1392" s="28">
        <v>4120854</v>
      </c>
      <c r="B1392" s="26" t="s">
        <v>8847</v>
      </c>
    </row>
    <row r="1393" spans="1:2" x14ac:dyDescent="0.25">
      <c r="A1393" s="28">
        <v>4120855</v>
      </c>
      <c r="B1393" s="26" t="s">
        <v>8920</v>
      </c>
    </row>
    <row r="1394" spans="1:2" x14ac:dyDescent="0.25">
      <c r="A1394" s="28">
        <v>4120857</v>
      </c>
      <c r="B1394" s="26" t="s">
        <v>8921</v>
      </c>
    </row>
    <row r="1395" spans="1:2" x14ac:dyDescent="0.25">
      <c r="A1395" s="28">
        <v>4120860</v>
      </c>
      <c r="B1395" s="26" t="s">
        <v>8864</v>
      </c>
    </row>
    <row r="1396" spans="1:2" x14ac:dyDescent="0.25">
      <c r="A1396" s="28">
        <v>4120870</v>
      </c>
      <c r="B1396" s="26" t="s">
        <v>8865</v>
      </c>
    </row>
    <row r="1397" spans="1:2" x14ac:dyDescent="0.25">
      <c r="A1397" s="28">
        <v>4120880</v>
      </c>
      <c r="B1397" s="26" t="s">
        <v>8866</v>
      </c>
    </row>
    <row r="1398" spans="1:2" x14ac:dyDescent="0.25">
      <c r="A1398" s="28">
        <v>4120881</v>
      </c>
      <c r="B1398" s="26" t="s">
        <v>11281</v>
      </c>
    </row>
    <row r="1399" spans="1:2" x14ac:dyDescent="0.25">
      <c r="A1399" s="28">
        <v>4120890</v>
      </c>
      <c r="B1399" s="26" t="s">
        <v>8867</v>
      </c>
    </row>
    <row r="1400" spans="1:2" x14ac:dyDescent="0.25">
      <c r="A1400" s="28">
        <v>4120900</v>
      </c>
      <c r="B1400" s="26" t="s">
        <v>8953</v>
      </c>
    </row>
    <row r="1401" spans="1:2" x14ac:dyDescent="0.25">
      <c r="A1401" s="28">
        <v>4120901</v>
      </c>
      <c r="B1401" s="26" t="s">
        <v>8954</v>
      </c>
    </row>
    <row r="1402" spans="1:2" x14ac:dyDescent="0.25">
      <c r="A1402" s="28">
        <v>4120902</v>
      </c>
      <c r="B1402" s="26" t="s">
        <v>8955</v>
      </c>
    </row>
    <row r="1403" spans="1:2" x14ac:dyDescent="0.25">
      <c r="A1403" s="28">
        <v>4120903</v>
      </c>
      <c r="B1403" s="26" t="s">
        <v>8956</v>
      </c>
    </row>
    <row r="1404" spans="1:2" x14ac:dyDescent="0.25">
      <c r="A1404" s="28">
        <v>4120905</v>
      </c>
      <c r="B1404" s="26" t="s">
        <v>8892</v>
      </c>
    </row>
    <row r="1405" spans="1:2" x14ac:dyDescent="0.25">
      <c r="A1405" s="28">
        <v>4120906</v>
      </c>
      <c r="B1405" s="26" t="s">
        <v>8893</v>
      </c>
    </row>
    <row r="1406" spans="1:2" x14ac:dyDescent="0.25">
      <c r="A1406" s="28">
        <v>4120910</v>
      </c>
      <c r="B1406" s="26" t="s">
        <v>8989</v>
      </c>
    </row>
    <row r="1407" spans="1:2" x14ac:dyDescent="0.25">
      <c r="A1407" s="28">
        <v>4120911</v>
      </c>
      <c r="B1407" s="26" t="s">
        <v>8990</v>
      </c>
    </row>
    <row r="1408" spans="1:2" x14ac:dyDescent="0.25">
      <c r="A1408" s="28">
        <v>4120912</v>
      </c>
      <c r="B1408" s="26" t="s">
        <v>8991</v>
      </c>
    </row>
    <row r="1409" spans="1:2" x14ac:dyDescent="0.25">
      <c r="A1409" s="28">
        <v>4120913</v>
      </c>
      <c r="B1409" s="26" t="s">
        <v>8985</v>
      </c>
    </row>
    <row r="1410" spans="1:2" x14ac:dyDescent="0.25">
      <c r="A1410" s="28">
        <v>4120914</v>
      </c>
      <c r="B1410" s="26" t="s">
        <v>8986</v>
      </c>
    </row>
    <row r="1411" spans="1:2" x14ac:dyDescent="0.25">
      <c r="A1411" s="28">
        <v>4120915</v>
      </c>
      <c r="B1411" s="26" t="s">
        <v>8987</v>
      </c>
    </row>
    <row r="1412" spans="1:2" x14ac:dyDescent="0.25">
      <c r="A1412" s="28">
        <v>4120916</v>
      </c>
      <c r="B1412" s="26" t="s">
        <v>8988</v>
      </c>
    </row>
    <row r="1413" spans="1:2" x14ac:dyDescent="0.25">
      <c r="A1413" s="28">
        <v>4120917</v>
      </c>
      <c r="B1413" s="26" t="s">
        <v>11282</v>
      </c>
    </row>
    <row r="1414" spans="1:2" x14ac:dyDescent="0.25">
      <c r="A1414" s="28">
        <v>4120950</v>
      </c>
      <c r="B1414" s="26" t="s">
        <v>8976</v>
      </c>
    </row>
    <row r="1415" spans="1:2" x14ac:dyDescent="0.25">
      <c r="A1415" s="28">
        <v>4120951</v>
      </c>
      <c r="B1415" s="26" t="s">
        <v>8977</v>
      </c>
    </row>
    <row r="1416" spans="1:2" x14ac:dyDescent="0.25">
      <c r="A1416" s="28">
        <v>4120952</v>
      </c>
      <c r="B1416" s="26" t="s">
        <v>8978</v>
      </c>
    </row>
    <row r="1417" spans="1:2" x14ac:dyDescent="0.25">
      <c r="A1417" s="28">
        <v>4120953</v>
      </c>
      <c r="B1417" s="26" t="s">
        <v>11283</v>
      </c>
    </row>
    <row r="1418" spans="1:2" x14ac:dyDescent="0.25">
      <c r="A1418" s="28">
        <v>4120954</v>
      </c>
      <c r="B1418" s="26" t="s">
        <v>11284</v>
      </c>
    </row>
    <row r="1419" spans="1:2" x14ac:dyDescent="0.25">
      <c r="A1419" s="28">
        <v>4120963</v>
      </c>
      <c r="B1419" s="26" t="s">
        <v>8979</v>
      </c>
    </row>
    <row r="1420" spans="1:2" x14ac:dyDescent="0.25">
      <c r="A1420" s="28">
        <v>4120982</v>
      </c>
      <c r="B1420" s="26" t="s">
        <v>8897</v>
      </c>
    </row>
    <row r="1421" spans="1:2" x14ac:dyDescent="0.25">
      <c r="A1421" s="28">
        <v>4120987</v>
      </c>
      <c r="B1421" s="26" t="s">
        <v>8974</v>
      </c>
    </row>
    <row r="1422" spans="1:2" x14ac:dyDescent="0.25">
      <c r="A1422" s="28">
        <v>4120988</v>
      </c>
      <c r="B1422" s="26" t="s">
        <v>8975</v>
      </c>
    </row>
    <row r="1423" spans="1:2" x14ac:dyDescent="0.25">
      <c r="A1423" s="28">
        <v>4120989</v>
      </c>
      <c r="B1423" s="26" t="s">
        <v>11285</v>
      </c>
    </row>
    <row r="1424" spans="1:2" x14ac:dyDescent="0.25">
      <c r="A1424" s="28">
        <v>4120999</v>
      </c>
      <c r="B1424" s="26" t="s">
        <v>12224</v>
      </c>
    </row>
    <row r="1425" spans="1:2" x14ac:dyDescent="0.25">
      <c r="A1425" s="28">
        <v>4129001</v>
      </c>
      <c r="B1425" s="26" t="s">
        <v>11286</v>
      </c>
    </row>
    <row r="1426" spans="1:2" x14ac:dyDescent="0.25">
      <c r="A1426" s="28">
        <v>4130124</v>
      </c>
      <c r="B1426" s="26" t="s">
        <v>11287</v>
      </c>
    </row>
    <row r="1427" spans="1:2" x14ac:dyDescent="0.25">
      <c r="A1427" s="28">
        <v>4130125</v>
      </c>
      <c r="B1427" s="26" t="s">
        <v>11288</v>
      </c>
    </row>
    <row r="1428" spans="1:2" x14ac:dyDescent="0.25">
      <c r="A1428" s="28">
        <v>4130126</v>
      </c>
      <c r="B1428" s="26" t="s">
        <v>11289</v>
      </c>
    </row>
    <row r="1429" spans="1:2" x14ac:dyDescent="0.25">
      <c r="A1429" s="28">
        <v>4130127</v>
      </c>
      <c r="B1429" s="26" t="s">
        <v>11290</v>
      </c>
    </row>
    <row r="1430" spans="1:2" x14ac:dyDescent="0.25">
      <c r="A1430" s="28">
        <v>4130128</v>
      </c>
      <c r="B1430" s="26" t="s">
        <v>11291</v>
      </c>
    </row>
    <row r="1431" spans="1:2" x14ac:dyDescent="0.25">
      <c r="A1431" s="28">
        <v>4130150</v>
      </c>
      <c r="B1431" s="26" t="s">
        <v>8851</v>
      </c>
    </row>
    <row r="1432" spans="1:2" x14ac:dyDescent="0.25">
      <c r="A1432" s="28">
        <v>4130151</v>
      </c>
      <c r="B1432" s="26" t="s">
        <v>8852</v>
      </c>
    </row>
    <row r="1433" spans="1:2" x14ac:dyDescent="0.25">
      <c r="A1433" s="28">
        <v>4130152</v>
      </c>
      <c r="B1433" s="26" t="s">
        <v>8853</v>
      </c>
    </row>
    <row r="1434" spans="1:2" x14ac:dyDescent="0.25">
      <c r="A1434" s="28">
        <v>4130234</v>
      </c>
      <c r="B1434" s="26" t="s">
        <v>11292</v>
      </c>
    </row>
    <row r="1435" spans="1:2" x14ac:dyDescent="0.25">
      <c r="A1435" s="28">
        <v>4130771</v>
      </c>
      <c r="B1435" s="26" t="s">
        <v>8925</v>
      </c>
    </row>
    <row r="1436" spans="1:2" x14ac:dyDescent="0.25">
      <c r="A1436" s="28">
        <v>4130776</v>
      </c>
      <c r="B1436" s="26" t="s">
        <v>11293</v>
      </c>
    </row>
    <row r="1437" spans="1:2" x14ac:dyDescent="0.25">
      <c r="A1437" s="28">
        <v>4130777</v>
      </c>
      <c r="B1437" s="26" t="s">
        <v>8850</v>
      </c>
    </row>
    <row r="1438" spans="1:2" x14ac:dyDescent="0.25">
      <c r="A1438" s="28">
        <v>4130950</v>
      </c>
      <c r="B1438" s="26" t="s">
        <v>8926</v>
      </c>
    </row>
    <row r="1439" spans="1:2" x14ac:dyDescent="0.25">
      <c r="A1439" s="28">
        <v>4307349</v>
      </c>
      <c r="B1439" s="26" t="s">
        <v>11294</v>
      </c>
    </row>
    <row r="1440" spans="1:2" x14ac:dyDescent="0.25">
      <c r="A1440" s="28">
        <v>4829230</v>
      </c>
      <c r="B1440" s="26" t="s">
        <v>11148</v>
      </c>
    </row>
    <row r="1441" spans="1:2" x14ac:dyDescent="0.25">
      <c r="A1441" s="26" t="s">
        <v>12751</v>
      </c>
      <c r="B1441" s="27"/>
    </row>
    <row r="1442" spans="1:2" x14ac:dyDescent="0.25">
      <c r="A1442" s="28">
        <v>5</v>
      </c>
      <c r="B1442" s="26" t="s">
        <v>12752</v>
      </c>
    </row>
    <row r="1443" spans="1:2" x14ac:dyDescent="0.25">
      <c r="A1443" s="28">
        <v>5101001</v>
      </c>
      <c r="B1443" s="26" t="s">
        <v>9053</v>
      </c>
    </row>
    <row r="1444" spans="1:2" x14ac:dyDescent="0.25">
      <c r="A1444" s="28">
        <v>5101002</v>
      </c>
      <c r="B1444" s="26" t="s">
        <v>9650</v>
      </c>
    </row>
    <row r="1445" spans="1:2" x14ac:dyDescent="0.25">
      <c r="A1445" s="28">
        <v>5101003</v>
      </c>
      <c r="B1445" s="26" t="s">
        <v>9054</v>
      </c>
    </row>
    <row r="1446" spans="1:2" x14ac:dyDescent="0.25">
      <c r="A1446" s="28">
        <v>5101005</v>
      </c>
      <c r="B1446" s="26" t="s">
        <v>9084</v>
      </c>
    </row>
    <row r="1447" spans="1:2" x14ac:dyDescent="0.25">
      <c r="A1447" s="28">
        <v>5101006</v>
      </c>
      <c r="B1447" s="26" t="s">
        <v>9625</v>
      </c>
    </row>
    <row r="1448" spans="1:2" x14ac:dyDescent="0.25">
      <c r="A1448" s="28">
        <v>5101007</v>
      </c>
      <c r="B1448" s="26" t="s">
        <v>11295</v>
      </c>
    </row>
    <row r="1449" spans="1:2" x14ac:dyDescent="0.25">
      <c r="A1449" s="28">
        <v>5101008</v>
      </c>
      <c r="B1449" s="26" t="s">
        <v>9631</v>
      </c>
    </row>
    <row r="1450" spans="1:2" x14ac:dyDescent="0.25">
      <c r="A1450" s="28">
        <v>5101009</v>
      </c>
      <c r="B1450" s="26" t="s">
        <v>9014</v>
      </c>
    </row>
    <row r="1451" spans="1:2" x14ac:dyDescent="0.25">
      <c r="A1451" s="28">
        <v>5101010</v>
      </c>
      <c r="B1451" s="26" t="s">
        <v>9096</v>
      </c>
    </row>
    <row r="1452" spans="1:2" x14ac:dyDescent="0.25">
      <c r="A1452" s="28">
        <v>5101011</v>
      </c>
      <c r="B1452" s="26" t="s">
        <v>9016</v>
      </c>
    </row>
    <row r="1453" spans="1:2" x14ac:dyDescent="0.25">
      <c r="A1453" s="28">
        <v>5101012</v>
      </c>
      <c r="B1453" s="26" t="s">
        <v>9630</v>
      </c>
    </row>
    <row r="1454" spans="1:2" x14ac:dyDescent="0.25">
      <c r="A1454" s="28">
        <v>5101013</v>
      </c>
      <c r="B1454" s="26" t="s">
        <v>9097</v>
      </c>
    </row>
    <row r="1455" spans="1:2" x14ac:dyDescent="0.25">
      <c r="A1455" s="28">
        <v>5101014</v>
      </c>
      <c r="B1455" s="26" t="s">
        <v>11296</v>
      </c>
    </row>
    <row r="1456" spans="1:2" x14ac:dyDescent="0.25">
      <c r="A1456" s="28">
        <v>5101015</v>
      </c>
      <c r="B1456" s="26" t="s">
        <v>11297</v>
      </c>
    </row>
    <row r="1457" spans="1:2" x14ac:dyDescent="0.25">
      <c r="A1457" s="28">
        <v>5101016</v>
      </c>
      <c r="B1457" s="26" t="s">
        <v>11298</v>
      </c>
    </row>
    <row r="1458" spans="1:2" x14ac:dyDescent="0.25">
      <c r="A1458" s="28">
        <v>5101017</v>
      </c>
      <c r="B1458" s="26" t="s">
        <v>11299</v>
      </c>
    </row>
    <row r="1459" spans="1:2" x14ac:dyDescent="0.25">
      <c r="A1459" s="26" t="s">
        <v>12753</v>
      </c>
      <c r="B1459" s="27"/>
    </row>
    <row r="1460" spans="1:2" x14ac:dyDescent="0.25">
      <c r="A1460" s="28">
        <v>5101018</v>
      </c>
      <c r="B1460" s="26" t="s">
        <v>11300</v>
      </c>
    </row>
    <row r="1461" spans="1:2" x14ac:dyDescent="0.25">
      <c r="A1461" s="28">
        <v>5101021</v>
      </c>
      <c r="B1461" s="26" t="s">
        <v>11301</v>
      </c>
    </row>
    <row r="1462" spans="1:2" x14ac:dyDescent="0.25">
      <c r="A1462" s="28">
        <v>5101022</v>
      </c>
      <c r="B1462" s="26" t="s">
        <v>9019</v>
      </c>
    </row>
    <row r="1463" spans="1:2" x14ac:dyDescent="0.25">
      <c r="A1463" s="28">
        <v>5101026</v>
      </c>
      <c r="B1463" s="26" t="s">
        <v>9646</v>
      </c>
    </row>
    <row r="1464" spans="1:2" x14ac:dyDescent="0.25">
      <c r="A1464" s="28">
        <v>5101027</v>
      </c>
      <c r="B1464" s="26" t="s">
        <v>9647</v>
      </c>
    </row>
    <row r="1465" spans="1:2" x14ac:dyDescent="0.25">
      <c r="A1465" s="28">
        <v>5101028</v>
      </c>
      <c r="B1465" s="26" t="s">
        <v>9637</v>
      </c>
    </row>
    <row r="1466" spans="1:2" x14ac:dyDescent="0.25">
      <c r="A1466" s="28">
        <v>5101029</v>
      </c>
      <c r="B1466" s="26" t="s">
        <v>9636</v>
      </c>
    </row>
    <row r="1467" spans="1:2" x14ac:dyDescent="0.25">
      <c r="A1467" s="28">
        <v>5101030</v>
      </c>
      <c r="B1467" s="26" t="s">
        <v>9601</v>
      </c>
    </row>
    <row r="1468" spans="1:2" x14ac:dyDescent="0.25">
      <c r="A1468" s="28">
        <v>5101031</v>
      </c>
      <c r="B1468" s="26" t="s">
        <v>9603</v>
      </c>
    </row>
    <row r="1469" spans="1:2" x14ac:dyDescent="0.25">
      <c r="A1469" s="28">
        <v>5101032</v>
      </c>
      <c r="B1469" s="26" t="s">
        <v>9602</v>
      </c>
    </row>
    <row r="1470" spans="1:2" x14ac:dyDescent="0.25">
      <c r="A1470" s="28">
        <v>5101033</v>
      </c>
      <c r="B1470" s="26" t="s">
        <v>9612</v>
      </c>
    </row>
    <row r="1471" spans="1:2" x14ac:dyDescent="0.25">
      <c r="A1471" s="28">
        <v>5101034</v>
      </c>
      <c r="B1471" s="26" t="s">
        <v>9613</v>
      </c>
    </row>
    <row r="1472" spans="1:2" x14ac:dyDescent="0.25">
      <c r="A1472" s="28">
        <v>5101035</v>
      </c>
      <c r="B1472" s="26" t="s">
        <v>11302</v>
      </c>
    </row>
    <row r="1473" spans="1:2" x14ac:dyDescent="0.25">
      <c r="A1473" s="28">
        <v>5101036</v>
      </c>
      <c r="B1473" s="26" t="s">
        <v>11303</v>
      </c>
    </row>
    <row r="1474" spans="1:2" x14ac:dyDescent="0.25">
      <c r="A1474" s="28">
        <v>5101037</v>
      </c>
      <c r="B1474" s="26" t="s">
        <v>11304</v>
      </c>
    </row>
    <row r="1475" spans="1:2" x14ac:dyDescent="0.25">
      <c r="A1475" s="28">
        <v>5101038</v>
      </c>
      <c r="B1475" s="26" t="s">
        <v>11305</v>
      </c>
    </row>
    <row r="1476" spans="1:2" x14ac:dyDescent="0.25">
      <c r="A1476" s="28">
        <v>5101040</v>
      </c>
      <c r="B1476" s="26" t="s">
        <v>11306</v>
      </c>
    </row>
    <row r="1477" spans="1:2" x14ac:dyDescent="0.25">
      <c r="A1477" s="28">
        <v>5101041</v>
      </c>
      <c r="B1477" s="26" t="s">
        <v>11307</v>
      </c>
    </row>
    <row r="1478" spans="1:2" x14ac:dyDescent="0.25">
      <c r="A1478" s="28">
        <v>5101042</v>
      </c>
      <c r="B1478" s="26" t="s">
        <v>11308</v>
      </c>
    </row>
    <row r="1479" spans="1:2" x14ac:dyDescent="0.25">
      <c r="A1479" s="28">
        <v>5101044</v>
      </c>
      <c r="B1479" s="26" t="s">
        <v>11309</v>
      </c>
    </row>
    <row r="1480" spans="1:2" x14ac:dyDescent="0.25">
      <c r="A1480" s="28">
        <v>5101046</v>
      </c>
      <c r="B1480" s="26" t="s">
        <v>9618</v>
      </c>
    </row>
    <row r="1481" spans="1:2" x14ac:dyDescent="0.25">
      <c r="A1481" s="28">
        <v>5101047</v>
      </c>
      <c r="B1481" s="26" t="s">
        <v>9617</v>
      </c>
    </row>
    <row r="1482" spans="1:2" x14ac:dyDescent="0.25">
      <c r="A1482" s="28">
        <v>5101048</v>
      </c>
      <c r="B1482" s="26" t="s">
        <v>9616</v>
      </c>
    </row>
    <row r="1483" spans="1:2" x14ac:dyDescent="0.25">
      <c r="A1483" s="28">
        <v>5101049</v>
      </c>
      <c r="B1483" s="26" t="s">
        <v>9615</v>
      </c>
    </row>
    <row r="1484" spans="1:2" x14ac:dyDescent="0.25">
      <c r="A1484" s="28">
        <v>5101050</v>
      </c>
      <c r="B1484" s="26" t="s">
        <v>11310</v>
      </c>
    </row>
    <row r="1485" spans="1:2" x14ac:dyDescent="0.25">
      <c r="A1485" s="28">
        <v>5101051</v>
      </c>
      <c r="B1485" s="26" t="s">
        <v>11311</v>
      </c>
    </row>
    <row r="1486" spans="1:2" x14ac:dyDescent="0.25">
      <c r="A1486" s="28">
        <v>5101052</v>
      </c>
      <c r="B1486" s="26" t="s">
        <v>9619</v>
      </c>
    </row>
    <row r="1487" spans="1:2" x14ac:dyDescent="0.25">
      <c r="A1487" s="28">
        <v>5101053</v>
      </c>
      <c r="B1487" s="26" t="s">
        <v>9620</v>
      </c>
    </row>
    <row r="1488" spans="1:2" x14ac:dyDescent="0.25">
      <c r="A1488" s="28">
        <v>5101083</v>
      </c>
      <c r="B1488" s="26" t="s">
        <v>9022</v>
      </c>
    </row>
    <row r="1489" spans="1:2" x14ac:dyDescent="0.25">
      <c r="A1489" s="28">
        <v>5101088</v>
      </c>
      <c r="B1489" s="26" t="s">
        <v>9056</v>
      </c>
    </row>
    <row r="1490" spans="1:2" x14ac:dyDescent="0.25">
      <c r="A1490" s="28">
        <v>5101090</v>
      </c>
      <c r="B1490" s="26" t="s">
        <v>9059</v>
      </c>
    </row>
    <row r="1491" spans="1:2" x14ac:dyDescent="0.25">
      <c r="A1491" s="28">
        <v>5101091</v>
      </c>
      <c r="B1491" s="26" t="s">
        <v>9060</v>
      </c>
    </row>
    <row r="1492" spans="1:2" x14ac:dyDescent="0.25">
      <c r="A1492" s="28">
        <v>5101092</v>
      </c>
      <c r="B1492" s="26" t="s">
        <v>11312</v>
      </c>
    </row>
    <row r="1493" spans="1:2" x14ac:dyDescent="0.25">
      <c r="A1493" s="28">
        <v>5101093</v>
      </c>
      <c r="B1493" s="26" t="s">
        <v>9061</v>
      </c>
    </row>
    <row r="1494" spans="1:2" x14ac:dyDescent="0.25">
      <c r="A1494" s="28">
        <v>5101094</v>
      </c>
      <c r="B1494" s="26" t="s">
        <v>9062</v>
      </c>
    </row>
    <row r="1495" spans="1:2" x14ac:dyDescent="0.25">
      <c r="A1495" s="28">
        <v>5101100</v>
      </c>
      <c r="B1495" s="26" t="s">
        <v>11313</v>
      </c>
    </row>
    <row r="1496" spans="1:2" x14ac:dyDescent="0.25">
      <c r="A1496" s="28">
        <v>5101101</v>
      </c>
      <c r="B1496" s="26" t="s">
        <v>9058</v>
      </c>
    </row>
    <row r="1497" spans="1:2" x14ac:dyDescent="0.25">
      <c r="A1497" s="28">
        <v>5101102</v>
      </c>
      <c r="B1497" s="26" t="s">
        <v>11314</v>
      </c>
    </row>
    <row r="1498" spans="1:2" x14ac:dyDescent="0.25">
      <c r="A1498" s="28">
        <v>5101104</v>
      </c>
      <c r="B1498" s="26" t="s">
        <v>9012</v>
      </c>
    </row>
    <row r="1499" spans="1:2" x14ac:dyDescent="0.25">
      <c r="A1499" s="28">
        <v>5101106</v>
      </c>
      <c r="B1499" s="26" t="s">
        <v>9057</v>
      </c>
    </row>
    <row r="1500" spans="1:2" x14ac:dyDescent="0.25">
      <c r="A1500" s="28">
        <v>5101112</v>
      </c>
      <c r="B1500" s="26" t="s">
        <v>9177</v>
      </c>
    </row>
    <row r="1501" spans="1:2" x14ac:dyDescent="0.25">
      <c r="A1501" s="28">
        <v>5101114</v>
      </c>
      <c r="B1501" s="26" t="s">
        <v>9011</v>
      </c>
    </row>
    <row r="1502" spans="1:2" x14ac:dyDescent="0.25">
      <c r="A1502" s="28">
        <v>5101115</v>
      </c>
      <c r="B1502" s="26" t="s">
        <v>9009</v>
      </c>
    </row>
    <row r="1503" spans="1:2" x14ac:dyDescent="0.25">
      <c r="A1503" s="28">
        <v>5101116</v>
      </c>
      <c r="B1503" s="26" t="s">
        <v>11315</v>
      </c>
    </row>
    <row r="1504" spans="1:2" x14ac:dyDescent="0.25">
      <c r="A1504" s="28">
        <v>5101118</v>
      </c>
      <c r="B1504" s="26" t="s">
        <v>11316</v>
      </c>
    </row>
    <row r="1505" spans="1:2" x14ac:dyDescent="0.25">
      <c r="A1505" s="28">
        <v>5101119</v>
      </c>
      <c r="B1505" s="26" t="s">
        <v>9017</v>
      </c>
    </row>
    <row r="1506" spans="1:2" x14ac:dyDescent="0.25">
      <c r="A1506" s="28">
        <v>5101132</v>
      </c>
      <c r="B1506" s="26" t="s">
        <v>11317</v>
      </c>
    </row>
    <row r="1507" spans="1:2" x14ac:dyDescent="0.25">
      <c r="A1507" s="28">
        <v>5101133</v>
      </c>
      <c r="B1507" s="26" t="s">
        <v>13204</v>
      </c>
    </row>
    <row r="1508" spans="1:2" x14ac:dyDescent="0.25">
      <c r="A1508" s="28">
        <v>5101135</v>
      </c>
      <c r="B1508" s="26" t="s">
        <v>9064</v>
      </c>
    </row>
    <row r="1509" spans="1:2" x14ac:dyDescent="0.25">
      <c r="A1509" s="28">
        <v>5101136</v>
      </c>
      <c r="B1509" s="26" t="s">
        <v>9065</v>
      </c>
    </row>
    <row r="1510" spans="1:2" x14ac:dyDescent="0.25">
      <c r="A1510" s="28">
        <v>5101138</v>
      </c>
      <c r="B1510" s="26" t="s">
        <v>9063</v>
      </c>
    </row>
    <row r="1511" spans="1:2" x14ac:dyDescent="0.25">
      <c r="A1511" s="28">
        <v>5101140</v>
      </c>
      <c r="B1511" s="26" t="s">
        <v>9623</v>
      </c>
    </row>
    <row r="1512" spans="1:2" x14ac:dyDescent="0.25">
      <c r="A1512" s="28">
        <v>5101141</v>
      </c>
      <c r="B1512" s="26" t="s">
        <v>9624</v>
      </c>
    </row>
    <row r="1513" spans="1:2" x14ac:dyDescent="0.25">
      <c r="A1513" s="28">
        <v>5101142</v>
      </c>
      <c r="B1513" s="26" t="s">
        <v>11318</v>
      </c>
    </row>
    <row r="1514" spans="1:2" x14ac:dyDescent="0.25">
      <c r="A1514" s="28">
        <v>5101145</v>
      </c>
      <c r="B1514" s="26" t="s">
        <v>11319</v>
      </c>
    </row>
    <row r="1515" spans="1:2" x14ac:dyDescent="0.25">
      <c r="A1515" s="28">
        <v>5101146</v>
      </c>
      <c r="B1515" s="26" t="s">
        <v>11320</v>
      </c>
    </row>
    <row r="1516" spans="1:2" x14ac:dyDescent="0.25">
      <c r="A1516" s="28">
        <v>5101147</v>
      </c>
      <c r="B1516" s="26" t="s">
        <v>9047</v>
      </c>
    </row>
    <row r="1517" spans="1:2" x14ac:dyDescent="0.25">
      <c r="A1517" s="28">
        <v>5101148</v>
      </c>
      <c r="B1517" s="26" t="s">
        <v>9048</v>
      </c>
    </row>
    <row r="1518" spans="1:2" x14ac:dyDescent="0.25">
      <c r="A1518" s="28">
        <v>5101149</v>
      </c>
      <c r="B1518" s="26" t="s">
        <v>9052</v>
      </c>
    </row>
    <row r="1519" spans="1:2" x14ac:dyDescent="0.25">
      <c r="A1519" s="28">
        <v>5101150</v>
      </c>
      <c r="B1519" s="26" t="s">
        <v>9013</v>
      </c>
    </row>
    <row r="1520" spans="1:2" x14ac:dyDescent="0.25">
      <c r="A1520" s="28">
        <v>5101151</v>
      </c>
      <c r="B1520" s="26" t="s">
        <v>12225</v>
      </c>
    </row>
    <row r="1521" spans="1:2" x14ac:dyDescent="0.25">
      <c r="A1521" s="28">
        <v>5101158</v>
      </c>
      <c r="B1521" s="26" t="s">
        <v>11321</v>
      </c>
    </row>
    <row r="1522" spans="1:2" x14ac:dyDescent="0.25">
      <c r="A1522" s="28">
        <v>5101159</v>
      </c>
      <c r="B1522" s="26" t="s">
        <v>11322</v>
      </c>
    </row>
    <row r="1523" spans="1:2" x14ac:dyDescent="0.25">
      <c r="A1523" s="28">
        <v>5101165</v>
      </c>
      <c r="B1523" s="26" t="s">
        <v>9626</v>
      </c>
    </row>
    <row r="1524" spans="1:2" x14ac:dyDescent="0.25">
      <c r="A1524" s="28">
        <v>5101166</v>
      </c>
      <c r="B1524" s="26" t="s">
        <v>11323</v>
      </c>
    </row>
    <row r="1525" spans="1:2" x14ac:dyDescent="0.25">
      <c r="A1525" s="28">
        <v>5101170</v>
      </c>
      <c r="B1525" s="26" t="s">
        <v>9049</v>
      </c>
    </row>
    <row r="1526" spans="1:2" x14ac:dyDescent="0.25">
      <c r="A1526" s="28">
        <v>5101171</v>
      </c>
      <c r="B1526" s="26" t="s">
        <v>9051</v>
      </c>
    </row>
    <row r="1527" spans="1:2" x14ac:dyDescent="0.25">
      <c r="A1527" s="28">
        <v>510117100</v>
      </c>
      <c r="B1527" s="26" t="s">
        <v>11324</v>
      </c>
    </row>
    <row r="1528" spans="1:2" x14ac:dyDescent="0.25">
      <c r="A1528" s="28">
        <v>5101172</v>
      </c>
      <c r="B1528" s="26" t="s">
        <v>11325</v>
      </c>
    </row>
    <row r="1529" spans="1:2" x14ac:dyDescent="0.25">
      <c r="A1529" s="28">
        <v>5101185</v>
      </c>
      <c r="B1529" s="26" t="s">
        <v>9029</v>
      </c>
    </row>
    <row r="1530" spans="1:2" x14ac:dyDescent="0.25">
      <c r="A1530" s="28">
        <v>5101186</v>
      </c>
      <c r="B1530" s="26" t="s">
        <v>9030</v>
      </c>
    </row>
    <row r="1531" spans="1:2" x14ac:dyDescent="0.25">
      <c r="A1531" s="28">
        <v>5101187</v>
      </c>
      <c r="B1531" s="26" t="s">
        <v>9068</v>
      </c>
    </row>
    <row r="1532" spans="1:2" x14ac:dyDescent="0.25">
      <c r="A1532" s="28">
        <v>5101188</v>
      </c>
      <c r="B1532" s="26" t="s">
        <v>9069</v>
      </c>
    </row>
    <row r="1533" spans="1:2" x14ac:dyDescent="0.25">
      <c r="A1533" s="28">
        <v>5101189</v>
      </c>
      <c r="B1533" s="26" t="s">
        <v>9070</v>
      </c>
    </row>
    <row r="1534" spans="1:2" x14ac:dyDescent="0.25">
      <c r="A1534" s="28">
        <v>5101190</v>
      </c>
      <c r="B1534" s="26" t="s">
        <v>9025</v>
      </c>
    </row>
    <row r="1535" spans="1:2" x14ac:dyDescent="0.25">
      <c r="A1535" s="28">
        <v>5101191</v>
      </c>
      <c r="B1535" s="26" t="s">
        <v>9026</v>
      </c>
    </row>
    <row r="1536" spans="1:2" x14ac:dyDescent="0.25">
      <c r="A1536" s="28">
        <v>5101192</v>
      </c>
      <c r="B1536" s="26" t="s">
        <v>9066</v>
      </c>
    </row>
    <row r="1537" spans="1:2" x14ac:dyDescent="0.25">
      <c r="A1537" s="28">
        <v>5101193</v>
      </c>
      <c r="B1537" s="26" t="s">
        <v>9067</v>
      </c>
    </row>
    <row r="1538" spans="1:2" x14ac:dyDescent="0.25">
      <c r="A1538" s="28">
        <v>5101195</v>
      </c>
      <c r="B1538" s="26" t="s">
        <v>9027</v>
      </c>
    </row>
    <row r="1539" spans="1:2" x14ac:dyDescent="0.25">
      <c r="A1539" s="28">
        <v>5101196</v>
      </c>
      <c r="B1539" s="26" t="s">
        <v>9028</v>
      </c>
    </row>
    <row r="1540" spans="1:2" x14ac:dyDescent="0.25">
      <c r="A1540" s="28">
        <v>5101200</v>
      </c>
      <c r="B1540" s="26" t="s">
        <v>9614</v>
      </c>
    </row>
    <row r="1541" spans="1:2" x14ac:dyDescent="0.25">
      <c r="A1541" s="28">
        <v>5101202</v>
      </c>
      <c r="B1541" s="26" t="s">
        <v>11326</v>
      </c>
    </row>
    <row r="1542" spans="1:2" x14ac:dyDescent="0.25">
      <c r="A1542" s="28">
        <v>5101203</v>
      </c>
      <c r="B1542" s="26" t="s">
        <v>11327</v>
      </c>
    </row>
    <row r="1543" spans="1:2" x14ac:dyDescent="0.25">
      <c r="A1543" s="28">
        <v>5101204</v>
      </c>
      <c r="B1543" s="26" t="s">
        <v>9640</v>
      </c>
    </row>
    <row r="1544" spans="1:2" x14ac:dyDescent="0.25">
      <c r="A1544" s="28">
        <v>5101205</v>
      </c>
      <c r="B1544" s="26" t="s">
        <v>9641</v>
      </c>
    </row>
    <row r="1545" spans="1:2" x14ac:dyDescent="0.25">
      <c r="A1545" s="28">
        <v>5101206</v>
      </c>
      <c r="B1545" s="26" t="s">
        <v>11328</v>
      </c>
    </row>
    <row r="1546" spans="1:2" x14ac:dyDescent="0.25">
      <c r="A1546" s="28">
        <v>5101210</v>
      </c>
      <c r="B1546" s="26" t="s">
        <v>8999</v>
      </c>
    </row>
    <row r="1547" spans="1:2" x14ac:dyDescent="0.25">
      <c r="A1547" s="28">
        <v>5101220</v>
      </c>
      <c r="B1547" s="26" t="s">
        <v>9001</v>
      </c>
    </row>
    <row r="1548" spans="1:2" x14ac:dyDescent="0.25">
      <c r="A1548" s="28">
        <v>5101221</v>
      </c>
      <c r="B1548" s="26" t="s">
        <v>9007</v>
      </c>
    </row>
    <row r="1549" spans="1:2" x14ac:dyDescent="0.25">
      <c r="A1549" s="28">
        <v>5101223</v>
      </c>
      <c r="B1549" s="26" t="s">
        <v>9010</v>
      </c>
    </row>
    <row r="1550" spans="1:2" x14ac:dyDescent="0.25">
      <c r="A1550" s="28">
        <v>5101230</v>
      </c>
      <c r="B1550" s="26" t="s">
        <v>9607</v>
      </c>
    </row>
    <row r="1551" spans="1:2" x14ac:dyDescent="0.25">
      <c r="A1551" s="28">
        <v>5101231</v>
      </c>
      <c r="B1551" s="26" t="s">
        <v>11329</v>
      </c>
    </row>
    <row r="1552" spans="1:2" x14ac:dyDescent="0.25">
      <c r="A1552" s="28">
        <v>5101234</v>
      </c>
      <c r="B1552" s="26" t="s">
        <v>9606</v>
      </c>
    </row>
    <row r="1553" spans="1:2" x14ac:dyDescent="0.25">
      <c r="A1553" s="28">
        <v>5101235</v>
      </c>
      <c r="B1553" s="26" t="s">
        <v>9611</v>
      </c>
    </row>
    <row r="1554" spans="1:2" x14ac:dyDescent="0.25">
      <c r="A1554" s="28">
        <v>5101239</v>
      </c>
      <c r="B1554" s="26" t="s">
        <v>11330</v>
      </c>
    </row>
    <row r="1555" spans="1:2" x14ac:dyDescent="0.25">
      <c r="A1555" s="28">
        <v>5101240</v>
      </c>
      <c r="B1555" s="26" t="s">
        <v>11331</v>
      </c>
    </row>
    <row r="1556" spans="1:2" x14ac:dyDescent="0.25">
      <c r="A1556" s="28">
        <v>5101241</v>
      </c>
      <c r="B1556" s="26" t="s">
        <v>11332</v>
      </c>
    </row>
    <row r="1557" spans="1:2" x14ac:dyDescent="0.25">
      <c r="A1557" s="28">
        <v>5101252</v>
      </c>
      <c r="B1557" s="26" t="s">
        <v>11333</v>
      </c>
    </row>
    <row r="1558" spans="1:2" x14ac:dyDescent="0.25">
      <c r="A1558" s="28">
        <v>5101301</v>
      </c>
      <c r="B1558" s="26" t="s">
        <v>11334</v>
      </c>
    </row>
    <row r="1559" spans="1:2" x14ac:dyDescent="0.25">
      <c r="A1559" s="28">
        <v>5101310</v>
      </c>
      <c r="B1559" s="26" t="s">
        <v>9003</v>
      </c>
    </row>
    <row r="1560" spans="1:2" x14ac:dyDescent="0.25">
      <c r="A1560" s="28">
        <v>5101320</v>
      </c>
      <c r="B1560" s="26" t="s">
        <v>11335</v>
      </c>
    </row>
    <row r="1561" spans="1:2" x14ac:dyDescent="0.25">
      <c r="A1561" s="28">
        <v>5101325</v>
      </c>
      <c r="B1561" s="26" t="s">
        <v>9095</v>
      </c>
    </row>
    <row r="1562" spans="1:2" x14ac:dyDescent="0.25">
      <c r="A1562" s="28">
        <v>5101329</v>
      </c>
      <c r="B1562" s="26" t="s">
        <v>11336</v>
      </c>
    </row>
    <row r="1563" spans="1:2" x14ac:dyDescent="0.25">
      <c r="A1563" s="28">
        <v>5101330</v>
      </c>
      <c r="B1563" s="26" t="s">
        <v>11337</v>
      </c>
    </row>
    <row r="1564" spans="1:2" x14ac:dyDescent="0.25">
      <c r="A1564" s="28">
        <v>5101340</v>
      </c>
      <c r="B1564" s="26" t="s">
        <v>9006</v>
      </c>
    </row>
    <row r="1565" spans="1:2" x14ac:dyDescent="0.25">
      <c r="A1565" s="28">
        <v>5101341</v>
      </c>
      <c r="B1565" s="26" t="s">
        <v>11338</v>
      </c>
    </row>
    <row r="1566" spans="1:2" x14ac:dyDescent="0.25">
      <c r="A1566" s="28">
        <v>5101342</v>
      </c>
      <c r="B1566" s="26" t="s">
        <v>9005</v>
      </c>
    </row>
    <row r="1567" spans="1:2" x14ac:dyDescent="0.25">
      <c r="A1567" s="28">
        <v>5101350</v>
      </c>
      <c r="B1567" s="26" t="s">
        <v>11339</v>
      </c>
    </row>
    <row r="1568" spans="1:2" x14ac:dyDescent="0.25">
      <c r="A1568" s="28">
        <v>5101370</v>
      </c>
      <c r="B1568" s="26" t="s">
        <v>9075</v>
      </c>
    </row>
    <row r="1569" spans="1:2" x14ac:dyDescent="0.25">
      <c r="A1569" s="28">
        <v>5101381</v>
      </c>
      <c r="B1569" s="26" t="s">
        <v>11340</v>
      </c>
    </row>
    <row r="1570" spans="1:2" x14ac:dyDescent="0.25">
      <c r="A1570" s="28">
        <v>5101382</v>
      </c>
      <c r="B1570" s="26" t="s">
        <v>11341</v>
      </c>
    </row>
    <row r="1571" spans="1:2" x14ac:dyDescent="0.25">
      <c r="A1571" s="28">
        <v>5101390</v>
      </c>
      <c r="B1571" s="26" t="s">
        <v>9002</v>
      </c>
    </row>
    <row r="1572" spans="1:2" x14ac:dyDescent="0.25">
      <c r="A1572" s="28">
        <v>5101391</v>
      </c>
      <c r="B1572" s="26" t="s">
        <v>9004</v>
      </c>
    </row>
    <row r="1573" spans="1:2" x14ac:dyDescent="0.25">
      <c r="A1573" s="28">
        <v>5101392</v>
      </c>
      <c r="B1573" s="26" t="s">
        <v>11342</v>
      </c>
    </row>
    <row r="1574" spans="1:2" x14ac:dyDescent="0.25">
      <c r="A1574" s="28">
        <v>5101400</v>
      </c>
      <c r="B1574" s="26" t="s">
        <v>12226</v>
      </c>
    </row>
    <row r="1575" spans="1:2" x14ac:dyDescent="0.25">
      <c r="A1575" s="28">
        <v>5101410</v>
      </c>
      <c r="B1575" s="26" t="s">
        <v>9082</v>
      </c>
    </row>
    <row r="1576" spans="1:2" x14ac:dyDescent="0.25">
      <c r="A1576" s="28">
        <v>5101411</v>
      </c>
      <c r="B1576" s="26" t="s">
        <v>11343</v>
      </c>
    </row>
    <row r="1577" spans="1:2" x14ac:dyDescent="0.25">
      <c r="A1577" s="28">
        <v>5101439</v>
      </c>
      <c r="B1577" s="26" t="s">
        <v>9008</v>
      </c>
    </row>
    <row r="1578" spans="1:2" x14ac:dyDescent="0.25">
      <c r="A1578" s="28">
        <v>5101445</v>
      </c>
      <c r="B1578" s="26" t="s">
        <v>9000</v>
      </c>
    </row>
    <row r="1579" spans="1:2" x14ac:dyDescent="0.25">
      <c r="A1579" s="28">
        <v>5101456</v>
      </c>
      <c r="B1579" s="26" t="s">
        <v>11344</v>
      </c>
    </row>
    <row r="1580" spans="1:2" x14ac:dyDescent="0.25">
      <c r="A1580" s="28">
        <v>5101457</v>
      </c>
      <c r="B1580" s="26" t="s">
        <v>11345</v>
      </c>
    </row>
    <row r="1581" spans="1:2" x14ac:dyDescent="0.25">
      <c r="A1581" s="28">
        <v>5101458</v>
      </c>
      <c r="B1581" s="26" t="s">
        <v>11346</v>
      </c>
    </row>
    <row r="1582" spans="1:2" x14ac:dyDescent="0.25">
      <c r="A1582" s="28">
        <v>5101495</v>
      </c>
      <c r="B1582" s="26" t="s">
        <v>9605</v>
      </c>
    </row>
    <row r="1583" spans="1:2" x14ac:dyDescent="0.25">
      <c r="A1583" s="28">
        <v>5101496</v>
      </c>
      <c r="B1583" s="26" t="s">
        <v>11347</v>
      </c>
    </row>
    <row r="1584" spans="1:2" x14ac:dyDescent="0.25">
      <c r="A1584" s="28">
        <v>5101500</v>
      </c>
      <c r="B1584" s="26" t="s">
        <v>11348</v>
      </c>
    </row>
    <row r="1585" spans="1:2" x14ac:dyDescent="0.25">
      <c r="A1585" s="28">
        <v>5101501</v>
      </c>
      <c r="B1585" s="26" t="s">
        <v>11349</v>
      </c>
    </row>
    <row r="1586" spans="1:2" x14ac:dyDescent="0.25">
      <c r="A1586" s="28">
        <v>5101502</v>
      </c>
      <c r="B1586" s="26" t="s">
        <v>11350</v>
      </c>
    </row>
    <row r="1587" spans="1:2" x14ac:dyDescent="0.25">
      <c r="A1587" s="28">
        <v>5101503</v>
      </c>
      <c r="B1587" s="26" t="s">
        <v>11351</v>
      </c>
    </row>
    <row r="1588" spans="1:2" x14ac:dyDescent="0.25">
      <c r="A1588" s="28">
        <v>5101504</v>
      </c>
      <c r="B1588" s="26" t="s">
        <v>11352</v>
      </c>
    </row>
    <row r="1589" spans="1:2" x14ac:dyDescent="0.25">
      <c r="A1589" s="28">
        <v>5101505</v>
      </c>
      <c r="B1589" s="26" t="s">
        <v>11353</v>
      </c>
    </row>
    <row r="1590" spans="1:2" x14ac:dyDescent="0.25">
      <c r="A1590" s="28">
        <v>5101506</v>
      </c>
      <c r="B1590" s="26" t="s">
        <v>11354</v>
      </c>
    </row>
    <row r="1591" spans="1:2" x14ac:dyDescent="0.25">
      <c r="A1591" s="28">
        <v>5101507</v>
      </c>
      <c r="B1591" s="26" t="s">
        <v>11355</v>
      </c>
    </row>
    <row r="1592" spans="1:2" x14ac:dyDescent="0.25">
      <c r="A1592" s="28">
        <v>5101508</v>
      </c>
      <c r="B1592" s="26" t="s">
        <v>11356</v>
      </c>
    </row>
    <row r="1593" spans="1:2" x14ac:dyDescent="0.25">
      <c r="A1593" s="28">
        <v>5101509</v>
      </c>
      <c r="B1593" s="26" t="s">
        <v>11357</v>
      </c>
    </row>
    <row r="1594" spans="1:2" x14ac:dyDescent="0.25">
      <c r="A1594" s="28">
        <v>5101510</v>
      </c>
      <c r="B1594" s="26" t="s">
        <v>11358</v>
      </c>
    </row>
    <row r="1595" spans="1:2" x14ac:dyDescent="0.25">
      <c r="A1595" s="28">
        <v>5101511</v>
      </c>
      <c r="B1595" s="26" t="s">
        <v>11359</v>
      </c>
    </row>
    <row r="1596" spans="1:2" x14ac:dyDescent="0.25">
      <c r="A1596" s="28">
        <v>5101555</v>
      </c>
      <c r="B1596" s="26" t="s">
        <v>9071</v>
      </c>
    </row>
    <row r="1597" spans="1:2" x14ac:dyDescent="0.25">
      <c r="A1597" s="28">
        <v>5101556</v>
      </c>
      <c r="B1597" s="26" t="s">
        <v>9078</v>
      </c>
    </row>
    <row r="1598" spans="1:2" x14ac:dyDescent="0.25">
      <c r="A1598" s="28">
        <v>5101557</v>
      </c>
      <c r="B1598" s="26" t="s">
        <v>9073</v>
      </c>
    </row>
    <row r="1599" spans="1:2" x14ac:dyDescent="0.25">
      <c r="A1599" s="28">
        <v>5101558</v>
      </c>
      <c r="B1599" s="26" t="s">
        <v>11360</v>
      </c>
    </row>
    <row r="1600" spans="1:2" x14ac:dyDescent="0.25">
      <c r="A1600" s="28">
        <v>5101559</v>
      </c>
      <c r="B1600" s="26" t="s">
        <v>9079</v>
      </c>
    </row>
    <row r="1601" spans="1:2" x14ac:dyDescent="0.25">
      <c r="A1601" s="28">
        <v>5101560</v>
      </c>
      <c r="B1601" s="26" t="s">
        <v>9072</v>
      </c>
    </row>
    <row r="1602" spans="1:2" x14ac:dyDescent="0.25">
      <c r="A1602" s="28">
        <v>5101561</v>
      </c>
      <c r="B1602" s="26" t="s">
        <v>9074</v>
      </c>
    </row>
    <row r="1603" spans="1:2" x14ac:dyDescent="0.25">
      <c r="A1603" s="28">
        <v>5101562</v>
      </c>
      <c r="B1603" s="26" t="s">
        <v>11361</v>
      </c>
    </row>
    <row r="1604" spans="1:2" x14ac:dyDescent="0.25">
      <c r="A1604" s="28">
        <v>5101563</v>
      </c>
      <c r="B1604" s="26" t="s">
        <v>11362</v>
      </c>
    </row>
    <row r="1605" spans="1:2" x14ac:dyDescent="0.25">
      <c r="A1605" s="28">
        <v>5101564</v>
      </c>
      <c r="B1605" s="26" t="s">
        <v>11363</v>
      </c>
    </row>
    <row r="1606" spans="1:2" x14ac:dyDescent="0.25">
      <c r="A1606" s="28">
        <v>5101565</v>
      </c>
      <c r="B1606" s="26" t="s">
        <v>9076</v>
      </c>
    </row>
    <row r="1607" spans="1:2" x14ac:dyDescent="0.25">
      <c r="A1607" s="28">
        <v>5101566</v>
      </c>
      <c r="B1607" s="26" t="s">
        <v>9077</v>
      </c>
    </row>
    <row r="1608" spans="1:2" x14ac:dyDescent="0.25">
      <c r="A1608" s="28">
        <v>5101567</v>
      </c>
      <c r="B1608" s="26" t="s">
        <v>9083</v>
      </c>
    </row>
    <row r="1609" spans="1:2" x14ac:dyDescent="0.25">
      <c r="A1609" s="28">
        <v>5101568</v>
      </c>
      <c r="B1609" s="26" t="s">
        <v>11364</v>
      </c>
    </row>
    <row r="1610" spans="1:2" x14ac:dyDescent="0.25">
      <c r="A1610" s="28">
        <v>5101569</v>
      </c>
      <c r="B1610" s="26" t="s">
        <v>9080</v>
      </c>
    </row>
    <row r="1611" spans="1:2" x14ac:dyDescent="0.25">
      <c r="A1611" s="28">
        <v>5101570</v>
      </c>
      <c r="B1611" s="26" t="s">
        <v>9081</v>
      </c>
    </row>
    <row r="1612" spans="1:2" x14ac:dyDescent="0.25">
      <c r="A1612" s="28">
        <v>5101571</v>
      </c>
      <c r="B1612" s="26" t="s">
        <v>11365</v>
      </c>
    </row>
    <row r="1613" spans="1:2" x14ac:dyDescent="0.25">
      <c r="A1613" s="28">
        <v>5101600</v>
      </c>
      <c r="B1613" s="26" t="s">
        <v>9055</v>
      </c>
    </row>
    <row r="1614" spans="1:2" x14ac:dyDescent="0.25">
      <c r="A1614" s="28">
        <v>5101601</v>
      </c>
      <c r="B1614" s="26" t="s">
        <v>12227</v>
      </c>
    </row>
    <row r="1615" spans="1:2" x14ac:dyDescent="0.25">
      <c r="A1615" s="28">
        <v>5101602</v>
      </c>
      <c r="B1615" s="26" t="s">
        <v>12321</v>
      </c>
    </row>
    <row r="1616" spans="1:2" x14ac:dyDescent="0.25">
      <c r="A1616" s="28">
        <v>5101603</v>
      </c>
      <c r="B1616" s="26" t="s">
        <v>12322</v>
      </c>
    </row>
    <row r="1617" spans="1:2" x14ac:dyDescent="0.25">
      <c r="A1617" s="28">
        <v>5101604</v>
      </c>
      <c r="B1617" s="26" t="s">
        <v>12323</v>
      </c>
    </row>
    <row r="1618" spans="1:2" x14ac:dyDescent="0.25">
      <c r="A1618" s="28">
        <v>5101605</v>
      </c>
      <c r="B1618" s="26" t="s">
        <v>12324</v>
      </c>
    </row>
    <row r="1619" spans="1:2" x14ac:dyDescent="0.25">
      <c r="A1619" s="28">
        <v>5101606</v>
      </c>
      <c r="B1619" s="26" t="s">
        <v>12325</v>
      </c>
    </row>
    <row r="1620" spans="1:2" x14ac:dyDescent="0.25">
      <c r="A1620" s="28">
        <v>5101607</v>
      </c>
      <c r="B1620" s="26" t="s">
        <v>12326</v>
      </c>
    </row>
    <row r="1621" spans="1:2" x14ac:dyDescent="0.25">
      <c r="A1621" s="28">
        <v>5101625</v>
      </c>
      <c r="B1621" s="26" t="s">
        <v>9162</v>
      </c>
    </row>
    <row r="1622" spans="1:2" x14ac:dyDescent="0.25">
      <c r="A1622" s="28">
        <v>5101626</v>
      </c>
      <c r="B1622" s="26" t="s">
        <v>11366</v>
      </c>
    </row>
    <row r="1623" spans="1:2" x14ac:dyDescent="0.25">
      <c r="A1623" s="28">
        <v>5101650</v>
      </c>
      <c r="B1623" s="26" t="s">
        <v>11367</v>
      </c>
    </row>
    <row r="1624" spans="1:2" x14ac:dyDescent="0.25">
      <c r="A1624" s="28">
        <v>5101654</v>
      </c>
      <c r="B1624" s="26" t="s">
        <v>9648</v>
      </c>
    </row>
    <row r="1625" spans="1:2" x14ac:dyDescent="0.25">
      <c r="A1625" s="28">
        <v>5101655</v>
      </c>
      <c r="B1625" s="26" t="s">
        <v>9649</v>
      </c>
    </row>
    <row r="1626" spans="1:2" x14ac:dyDescent="0.25">
      <c r="A1626" s="28">
        <v>5101666</v>
      </c>
      <c r="B1626" s="26" t="s">
        <v>9033</v>
      </c>
    </row>
    <row r="1627" spans="1:2" x14ac:dyDescent="0.25">
      <c r="A1627" s="28">
        <v>5101680</v>
      </c>
      <c r="B1627" s="26" t="s">
        <v>11368</v>
      </c>
    </row>
    <row r="1628" spans="1:2" x14ac:dyDescent="0.25">
      <c r="A1628" s="28">
        <v>5101681</v>
      </c>
      <c r="B1628" s="26" t="s">
        <v>11369</v>
      </c>
    </row>
    <row r="1629" spans="1:2" x14ac:dyDescent="0.25">
      <c r="A1629" s="28">
        <v>5101710</v>
      </c>
      <c r="B1629" s="26" t="s">
        <v>13205</v>
      </c>
    </row>
    <row r="1630" spans="1:2" x14ac:dyDescent="0.25">
      <c r="A1630" s="28">
        <v>5101750</v>
      </c>
      <c r="B1630" s="26" t="s">
        <v>9015</v>
      </c>
    </row>
    <row r="1631" spans="1:2" x14ac:dyDescent="0.25">
      <c r="A1631" s="28">
        <v>5101751</v>
      </c>
      <c r="B1631" s="26" t="s">
        <v>11370</v>
      </c>
    </row>
    <row r="1632" spans="1:2" x14ac:dyDescent="0.25">
      <c r="A1632" s="28">
        <v>5101752</v>
      </c>
      <c r="B1632" s="26" t="s">
        <v>11371</v>
      </c>
    </row>
    <row r="1633" spans="1:2" x14ac:dyDescent="0.25">
      <c r="A1633" s="28">
        <v>5101753</v>
      </c>
      <c r="B1633" s="26" t="s">
        <v>11372</v>
      </c>
    </row>
    <row r="1634" spans="1:2" x14ac:dyDescent="0.25">
      <c r="A1634" s="28">
        <v>5101754</v>
      </c>
      <c r="B1634" s="26" t="s">
        <v>11373</v>
      </c>
    </row>
    <row r="1635" spans="1:2" x14ac:dyDescent="0.25">
      <c r="A1635" s="28">
        <v>5101775</v>
      </c>
      <c r="B1635" s="26" t="s">
        <v>9036</v>
      </c>
    </row>
    <row r="1636" spans="1:2" x14ac:dyDescent="0.25">
      <c r="A1636" s="28">
        <v>5101776</v>
      </c>
      <c r="B1636" s="26" t="s">
        <v>9037</v>
      </c>
    </row>
    <row r="1637" spans="1:2" x14ac:dyDescent="0.25">
      <c r="A1637" s="28">
        <v>5101777</v>
      </c>
      <c r="B1637" s="26" t="s">
        <v>9034</v>
      </c>
    </row>
    <row r="1638" spans="1:2" x14ac:dyDescent="0.25">
      <c r="A1638" s="28">
        <v>510177707</v>
      </c>
      <c r="B1638" s="26" t="s">
        <v>11374</v>
      </c>
    </row>
    <row r="1639" spans="1:2" x14ac:dyDescent="0.25">
      <c r="A1639" s="28">
        <v>5101778</v>
      </c>
      <c r="B1639" s="26" t="s">
        <v>9035</v>
      </c>
    </row>
    <row r="1640" spans="1:2" x14ac:dyDescent="0.25">
      <c r="A1640" s="28">
        <v>5101799</v>
      </c>
      <c r="B1640" s="26" t="s">
        <v>11375</v>
      </c>
    </row>
    <row r="1641" spans="1:2" x14ac:dyDescent="0.25">
      <c r="A1641" s="28">
        <v>5101845</v>
      </c>
      <c r="B1641" s="26" t="s">
        <v>9632</v>
      </c>
    </row>
    <row r="1642" spans="1:2" x14ac:dyDescent="0.25">
      <c r="A1642" s="28">
        <v>5101846</v>
      </c>
      <c r="B1642" s="26" t="s">
        <v>9633</v>
      </c>
    </row>
    <row r="1643" spans="1:2" x14ac:dyDescent="0.25">
      <c r="A1643" s="28">
        <v>5101850</v>
      </c>
      <c r="B1643" s="26" t="s">
        <v>9050</v>
      </c>
    </row>
    <row r="1644" spans="1:2" x14ac:dyDescent="0.25">
      <c r="A1644" s="28">
        <v>5101852</v>
      </c>
      <c r="B1644" s="26" t="s">
        <v>9621</v>
      </c>
    </row>
    <row r="1645" spans="1:2" x14ac:dyDescent="0.25">
      <c r="A1645" s="28">
        <v>5101853</v>
      </c>
      <c r="B1645" s="26" t="s">
        <v>9622</v>
      </c>
    </row>
    <row r="1646" spans="1:2" x14ac:dyDescent="0.25">
      <c r="A1646" s="28">
        <v>5101854</v>
      </c>
      <c r="B1646" s="26" t="s">
        <v>11376</v>
      </c>
    </row>
    <row r="1647" spans="1:2" x14ac:dyDescent="0.25">
      <c r="A1647" s="28">
        <v>5101855</v>
      </c>
      <c r="B1647" s="26" t="s">
        <v>9634</v>
      </c>
    </row>
    <row r="1648" spans="1:2" x14ac:dyDescent="0.25">
      <c r="A1648" s="28">
        <v>5101856</v>
      </c>
      <c r="B1648" s="26" t="s">
        <v>9635</v>
      </c>
    </row>
    <row r="1649" spans="1:2" x14ac:dyDescent="0.25">
      <c r="A1649" s="28">
        <v>5101857</v>
      </c>
      <c r="B1649" s="26" t="s">
        <v>12327</v>
      </c>
    </row>
    <row r="1650" spans="1:2" x14ac:dyDescent="0.25">
      <c r="A1650" s="28">
        <v>5101858</v>
      </c>
      <c r="B1650" s="26" t="s">
        <v>12328</v>
      </c>
    </row>
    <row r="1651" spans="1:2" x14ac:dyDescent="0.25">
      <c r="A1651" s="28">
        <v>5101863</v>
      </c>
      <c r="B1651" s="26" t="s">
        <v>9644</v>
      </c>
    </row>
    <row r="1652" spans="1:2" x14ac:dyDescent="0.25">
      <c r="A1652" s="28">
        <v>5101864</v>
      </c>
      <c r="B1652" s="26" t="s">
        <v>9645</v>
      </c>
    </row>
    <row r="1653" spans="1:2" x14ac:dyDescent="0.25">
      <c r="A1653" s="28">
        <v>5101870</v>
      </c>
      <c r="B1653" s="26" t="s">
        <v>9642</v>
      </c>
    </row>
    <row r="1654" spans="1:2" x14ac:dyDescent="0.25">
      <c r="A1654" s="28">
        <v>5101871</v>
      </c>
      <c r="B1654" s="26" t="s">
        <v>9643</v>
      </c>
    </row>
    <row r="1655" spans="1:2" x14ac:dyDescent="0.25">
      <c r="A1655" s="28">
        <v>5101873</v>
      </c>
      <c r="B1655" s="26" t="s">
        <v>9628</v>
      </c>
    </row>
    <row r="1656" spans="1:2" x14ac:dyDescent="0.25">
      <c r="A1656" s="28">
        <v>5101874</v>
      </c>
      <c r="B1656" s="26" t="s">
        <v>9629</v>
      </c>
    </row>
    <row r="1657" spans="1:2" x14ac:dyDescent="0.25">
      <c r="A1657" s="28">
        <v>5101875</v>
      </c>
      <c r="B1657" s="26" t="s">
        <v>9609</v>
      </c>
    </row>
    <row r="1658" spans="1:2" x14ac:dyDescent="0.25">
      <c r="A1658" s="28">
        <v>5101876</v>
      </c>
      <c r="B1658" s="26" t="s">
        <v>9652</v>
      </c>
    </row>
    <row r="1659" spans="1:2" x14ac:dyDescent="0.25">
      <c r="A1659" s="28">
        <v>5101877</v>
      </c>
      <c r="B1659" s="26" t="s">
        <v>9639</v>
      </c>
    </row>
    <row r="1660" spans="1:2" x14ac:dyDescent="0.25">
      <c r="A1660" s="28">
        <v>5101878</v>
      </c>
      <c r="B1660" s="26" t="s">
        <v>9608</v>
      </c>
    </row>
    <row r="1661" spans="1:2" x14ac:dyDescent="0.25">
      <c r="A1661" s="28">
        <v>5101879</v>
      </c>
      <c r="B1661" s="26" t="s">
        <v>11377</v>
      </c>
    </row>
    <row r="1662" spans="1:2" x14ac:dyDescent="0.25">
      <c r="A1662" s="28">
        <v>5101880</v>
      </c>
      <c r="B1662" s="26" t="s">
        <v>9610</v>
      </c>
    </row>
    <row r="1663" spans="1:2" x14ac:dyDescent="0.25">
      <c r="A1663" s="28">
        <v>5101881</v>
      </c>
      <c r="B1663" s="26" t="s">
        <v>9651</v>
      </c>
    </row>
    <row r="1664" spans="1:2" x14ac:dyDescent="0.25">
      <c r="A1664" s="28">
        <v>5101882</v>
      </c>
      <c r="B1664" s="26" t="s">
        <v>11378</v>
      </c>
    </row>
    <row r="1665" spans="1:2" x14ac:dyDescent="0.25">
      <c r="A1665" s="28">
        <v>5101883</v>
      </c>
      <c r="B1665" s="26" t="s">
        <v>9638</v>
      </c>
    </row>
    <row r="1666" spans="1:2" x14ac:dyDescent="0.25">
      <c r="A1666" s="28">
        <v>5101884</v>
      </c>
      <c r="B1666" s="26" t="s">
        <v>11379</v>
      </c>
    </row>
    <row r="1667" spans="1:2" x14ac:dyDescent="0.25">
      <c r="A1667" s="28">
        <v>5101885</v>
      </c>
      <c r="B1667" s="26" t="s">
        <v>9653</v>
      </c>
    </row>
    <row r="1668" spans="1:2" x14ac:dyDescent="0.25">
      <c r="A1668" s="28">
        <v>5101886</v>
      </c>
      <c r="B1668" s="26" t="s">
        <v>9627</v>
      </c>
    </row>
    <row r="1669" spans="1:2" x14ac:dyDescent="0.25">
      <c r="A1669" s="28">
        <v>5101887</v>
      </c>
      <c r="B1669" s="26" t="s">
        <v>11380</v>
      </c>
    </row>
    <row r="1670" spans="1:2" x14ac:dyDescent="0.25">
      <c r="A1670" s="28">
        <v>5101888</v>
      </c>
      <c r="B1670" s="26" t="s">
        <v>9038</v>
      </c>
    </row>
    <row r="1671" spans="1:2" x14ac:dyDescent="0.25">
      <c r="A1671" s="28">
        <v>5101889</v>
      </c>
      <c r="B1671" s="26" t="s">
        <v>9039</v>
      </c>
    </row>
    <row r="1672" spans="1:2" x14ac:dyDescent="0.25">
      <c r="A1672" s="28">
        <v>5101900</v>
      </c>
      <c r="B1672" s="26" t="s">
        <v>9023</v>
      </c>
    </row>
    <row r="1673" spans="1:2" x14ac:dyDescent="0.25">
      <c r="A1673" s="28">
        <v>5101901</v>
      </c>
      <c r="B1673" s="26" t="s">
        <v>9024</v>
      </c>
    </row>
    <row r="1674" spans="1:2" x14ac:dyDescent="0.25">
      <c r="A1674" s="28">
        <v>5101902</v>
      </c>
      <c r="B1674" s="26" t="s">
        <v>9041</v>
      </c>
    </row>
    <row r="1675" spans="1:2" x14ac:dyDescent="0.25">
      <c r="A1675" s="28">
        <v>5101903</v>
      </c>
      <c r="B1675" s="26" t="s">
        <v>12228</v>
      </c>
    </row>
    <row r="1676" spans="1:2" x14ac:dyDescent="0.25">
      <c r="A1676" s="28">
        <v>5101906</v>
      </c>
      <c r="B1676" s="26" t="s">
        <v>9085</v>
      </c>
    </row>
    <row r="1677" spans="1:2" x14ac:dyDescent="0.25">
      <c r="A1677" s="28">
        <v>5101907</v>
      </c>
      <c r="B1677" s="26" t="s">
        <v>9086</v>
      </c>
    </row>
    <row r="1678" spans="1:2" x14ac:dyDescent="0.25">
      <c r="A1678" s="28">
        <v>5101911</v>
      </c>
      <c r="B1678" s="26" t="s">
        <v>9042</v>
      </c>
    </row>
    <row r="1679" spans="1:2" x14ac:dyDescent="0.25">
      <c r="A1679" s="28">
        <v>5101912</v>
      </c>
      <c r="B1679" s="26" t="s">
        <v>9040</v>
      </c>
    </row>
    <row r="1680" spans="1:2" x14ac:dyDescent="0.25">
      <c r="A1680" s="28">
        <v>5101915</v>
      </c>
      <c r="B1680" s="26" t="s">
        <v>9046</v>
      </c>
    </row>
    <row r="1681" spans="1:2" x14ac:dyDescent="0.25">
      <c r="A1681" s="28">
        <v>5101917</v>
      </c>
      <c r="B1681" s="26" t="s">
        <v>9043</v>
      </c>
    </row>
    <row r="1682" spans="1:2" x14ac:dyDescent="0.25">
      <c r="A1682" s="28">
        <v>5101919</v>
      </c>
      <c r="B1682" s="26" t="s">
        <v>9045</v>
      </c>
    </row>
    <row r="1683" spans="1:2" x14ac:dyDescent="0.25">
      <c r="A1683" s="28">
        <v>5101925</v>
      </c>
      <c r="B1683" s="26" t="s">
        <v>9044</v>
      </c>
    </row>
    <row r="1684" spans="1:2" x14ac:dyDescent="0.25">
      <c r="A1684" s="28">
        <v>5101929</v>
      </c>
      <c r="B1684" s="26" t="s">
        <v>11381</v>
      </c>
    </row>
    <row r="1685" spans="1:2" x14ac:dyDescent="0.25">
      <c r="A1685" s="28">
        <v>5101951</v>
      </c>
      <c r="B1685" s="26" t="s">
        <v>9604</v>
      </c>
    </row>
    <row r="1686" spans="1:2" x14ac:dyDescent="0.25">
      <c r="A1686" s="28">
        <v>5101952</v>
      </c>
      <c r="B1686" s="26" t="s">
        <v>11382</v>
      </c>
    </row>
    <row r="1687" spans="1:2" x14ac:dyDescent="0.25">
      <c r="A1687" s="28">
        <v>5101954</v>
      </c>
      <c r="B1687" s="26" t="s">
        <v>11383</v>
      </c>
    </row>
    <row r="1688" spans="1:2" x14ac:dyDescent="0.25">
      <c r="A1688" s="28">
        <v>5101955</v>
      </c>
      <c r="B1688" s="26" t="s">
        <v>11384</v>
      </c>
    </row>
    <row r="1689" spans="1:2" x14ac:dyDescent="0.25">
      <c r="A1689" s="28">
        <v>5101980</v>
      </c>
      <c r="B1689" s="26" t="s">
        <v>9018</v>
      </c>
    </row>
    <row r="1690" spans="1:2" x14ac:dyDescent="0.25">
      <c r="A1690" s="28">
        <v>5101985</v>
      </c>
      <c r="B1690" s="26" t="s">
        <v>9020</v>
      </c>
    </row>
    <row r="1691" spans="1:2" x14ac:dyDescent="0.25">
      <c r="A1691" s="28">
        <v>5101986</v>
      </c>
      <c r="B1691" s="26" t="s">
        <v>9021</v>
      </c>
    </row>
    <row r="1692" spans="1:2" x14ac:dyDescent="0.25">
      <c r="A1692" s="28">
        <v>5101987</v>
      </c>
      <c r="B1692" s="26" t="s">
        <v>11385</v>
      </c>
    </row>
    <row r="1693" spans="1:2" x14ac:dyDescent="0.25">
      <c r="A1693" s="28">
        <v>5101998</v>
      </c>
      <c r="B1693" s="26" t="s">
        <v>9031</v>
      </c>
    </row>
    <row r="1694" spans="1:2" x14ac:dyDescent="0.25">
      <c r="A1694" s="28">
        <v>5101999</v>
      </c>
      <c r="B1694" s="26" t="s">
        <v>9032</v>
      </c>
    </row>
    <row r="1695" spans="1:2" x14ac:dyDescent="0.25">
      <c r="A1695" s="28">
        <v>5102000</v>
      </c>
      <c r="B1695" s="26" t="s">
        <v>11386</v>
      </c>
    </row>
    <row r="1696" spans="1:2" x14ac:dyDescent="0.25">
      <c r="A1696" s="28">
        <v>5102001</v>
      </c>
      <c r="B1696" s="26" t="s">
        <v>9155</v>
      </c>
    </row>
    <row r="1697" spans="1:2" x14ac:dyDescent="0.25">
      <c r="A1697" s="28">
        <v>5102247</v>
      </c>
      <c r="B1697" s="26" t="s">
        <v>9159</v>
      </c>
    </row>
    <row r="1698" spans="1:2" x14ac:dyDescent="0.25">
      <c r="A1698" s="28">
        <v>5102248</v>
      </c>
      <c r="B1698" s="26" t="s">
        <v>9157</v>
      </c>
    </row>
    <row r="1699" spans="1:2" x14ac:dyDescent="0.25">
      <c r="A1699" s="28">
        <v>5102249</v>
      </c>
      <c r="B1699" s="26" t="s">
        <v>11387</v>
      </c>
    </row>
    <row r="1700" spans="1:2" x14ac:dyDescent="0.25">
      <c r="A1700" s="28">
        <v>5103444</v>
      </c>
      <c r="B1700" s="26" t="s">
        <v>11388</v>
      </c>
    </row>
    <row r="1701" spans="1:2" x14ac:dyDescent="0.25">
      <c r="A1701" s="28">
        <v>5103555</v>
      </c>
      <c r="B1701" s="26" t="s">
        <v>11389</v>
      </c>
    </row>
    <row r="1702" spans="1:2" x14ac:dyDescent="0.25">
      <c r="A1702" s="28">
        <v>5103777</v>
      </c>
      <c r="B1702" s="26" t="s">
        <v>11390</v>
      </c>
    </row>
    <row r="1703" spans="1:2" x14ac:dyDescent="0.25">
      <c r="A1703" s="28">
        <v>5320027</v>
      </c>
      <c r="B1703" s="26" t="s">
        <v>9181</v>
      </c>
    </row>
    <row r="1704" spans="1:2" x14ac:dyDescent="0.25">
      <c r="A1704" s="28">
        <v>5320151</v>
      </c>
      <c r="B1704" s="26" t="s">
        <v>11391</v>
      </c>
    </row>
    <row r="1705" spans="1:2" x14ac:dyDescent="0.25">
      <c r="A1705" s="28">
        <v>5320152</v>
      </c>
      <c r="B1705" s="26" t="s">
        <v>12229</v>
      </c>
    </row>
    <row r="1706" spans="1:2" x14ac:dyDescent="0.25">
      <c r="A1706" s="28">
        <v>5320787</v>
      </c>
      <c r="B1706" s="26" t="s">
        <v>9182</v>
      </c>
    </row>
    <row r="1707" spans="1:2" x14ac:dyDescent="0.25">
      <c r="A1707" s="28">
        <v>5320788</v>
      </c>
      <c r="B1707" s="26" t="s">
        <v>12230</v>
      </c>
    </row>
    <row r="1708" spans="1:2" x14ac:dyDescent="0.25">
      <c r="A1708" s="28">
        <v>5330000</v>
      </c>
      <c r="B1708" s="26" t="s">
        <v>11392</v>
      </c>
    </row>
    <row r="1709" spans="1:2" x14ac:dyDescent="0.25">
      <c r="A1709" s="28">
        <v>5919025</v>
      </c>
      <c r="B1709" s="26" t="s">
        <v>9996</v>
      </c>
    </row>
    <row r="1710" spans="1:2" x14ac:dyDescent="0.25">
      <c r="A1710" s="28">
        <v>5919026</v>
      </c>
      <c r="B1710" s="26" t="s">
        <v>11393</v>
      </c>
    </row>
    <row r="1711" spans="1:2" x14ac:dyDescent="0.25">
      <c r="A1711" s="26" t="s">
        <v>12754</v>
      </c>
      <c r="B1711" s="27"/>
    </row>
    <row r="1712" spans="1:2" x14ac:dyDescent="0.25">
      <c r="A1712" s="28">
        <v>5919165</v>
      </c>
      <c r="B1712" s="26" t="s">
        <v>9987</v>
      </c>
    </row>
    <row r="1713" spans="1:2" x14ac:dyDescent="0.25">
      <c r="A1713" s="28">
        <v>5919222</v>
      </c>
      <c r="B1713" s="26" t="s">
        <v>11394</v>
      </c>
    </row>
    <row r="1714" spans="1:2" x14ac:dyDescent="0.25">
      <c r="A1714" s="28">
        <v>5919223</v>
      </c>
      <c r="B1714" s="26" t="s">
        <v>11395</v>
      </c>
    </row>
    <row r="1715" spans="1:2" x14ac:dyDescent="0.25">
      <c r="A1715" s="28">
        <v>5919321</v>
      </c>
      <c r="B1715" s="26" t="s">
        <v>11396</v>
      </c>
    </row>
    <row r="1716" spans="1:2" x14ac:dyDescent="0.25">
      <c r="A1716" s="28">
        <v>5919325</v>
      </c>
      <c r="B1716" s="26" t="s">
        <v>10020</v>
      </c>
    </row>
    <row r="1717" spans="1:2" x14ac:dyDescent="0.25">
      <c r="A1717" s="28">
        <v>6000003</v>
      </c>
      <c r="B1717" s="26" t="s">
        <v>9280</v>
      </c>
    </row>
    <row r="1718" spans="1:2" x14ac:dyDescent="0.25">
      <c r="A1718" s="28">
        <v>6000004</v>
      </c>
      <c r="B1718" s="26" t="s">
        <v>9281</v>
      </c>
    </row>
    <row r="1719" spans="1:2" x14ac:dyDescent="0.25">
      <c r="A1719" s="28">
        <v>6000005</v>
      </c>
      <c r="B1719" s="26" t="s">
        <v>9282</v>
      </c>
    </row>
    <row r="1720" spans="1:2" x14ac:dyDescent="0.25">
      <c r="A1720" s="28">
        <v>6000006</v>
      </c>
      <c r="B1720" s="26" t="s">
        <v>9292</v>
      </c>
    </row>
    <row r="1721" spans="1:2" x14ac:dyDescent="0.25">
      <c r="A1721" s="28">
        <v>6000007</v>
      </c>
      <c r="B1721" s="26" t="s">
        <v>9279</v>
      </c>
    </row>
    <row r="1722" spans="1:2" x14ac:dyDescent="0.25">
      <c r="A1722" s="28">
        <v>6000008</v>
      </c>
      <c r="B1722" s="26" t="s">
        <v>9278</v>
      </c>
    </row>
    <row r="1723" spans="1:2" x14ac:dyDescent="0.25">
      <c r="A1723" s="28">
        <v>6000009</v>
      </c>
      <c r="B1723" s="26" t="s">
        <v>9303</v>
      </c>
    </row>
    <row r="1724" spans="1:2" x14ac:dyDescent="0.25">
      <c r="A1724" s="28">
        <v>6000010</v>
      </c>
      <c r="B1724" s="26" t="s">
        <v>9305</v>
      </c>
    </row>
    <row r="1725" spans="1:2" x14ac:dyDescent="0.25">
      <c r="A1725" s="28">
        <v>6000011</v>
      </c>
      <c r="B1725" s="26" t="s">
        <v>9304</v>
      </c>
    </row>
    <row r="1726" spans="1:2" x14ac:dyDescent="0.25">
      <c r="A1726" s="28">
        <v>6000013</v>
      </c>
      <c r="B1726" s="26" t="s">
        <v>9286</v>
      </c>
    </row>
    <row r="1727" spans="1:2" x14ac:dyDescent="0.25">
      <c r="A1727" s="28">
        <v>6000014</v>
      </c>
      <c r="B1727" s="26" t="s">
        <v>9277</v>
      </c>
    </row>
    <row r="1728" spans="1:2" x14ac:dyDescent="0.25">
      <c r="A1728" s="28">
        <v>6000015</v>
      </c>
      <c r="B1728" s="26" t="s">
        <v>9309</v>
      </c>
    </row>
    <row r="1729" spans="1:2" x14ac:dyDescent="0.25">
      <c r="A1729" s="28">
        <v>6000016</v>
      </c>
      <c r="B1729" s="26" t="s">
        <v>9276</v>
      </c>
    </row>
    <row r="1730" spans="1:2" x14ac:dyDescent="0.25">
      <c r="A1730" s="28">
        <v>6000017</v>
      </c>
      <c r="B1730" s="26" t="s">
        <v>9283</v>
      </c>
    </row>
    <row r="1731" spans="1:2" x14ac:dyDescent="0.25">
      <c r="A1731" s="28">
        <v>6000019</v>
      </c>
      <c r="B1731" s="26" t="s">
        <v>9308</v>
      </c>
    </row>
    <row r="1732" spans="1:2" x14ac:dyDescent="0.25">
      <c r="A1732" s="28">
        <v>6000020</v>
      </c>
      <c r="B1732" s="26" t="s">
        <v>9285</v>
      </c>
    </row>
    <row r="1733" spans="1:2" x14ac:dyDescent="0.25">
      <c r="A1733" s="28">
        <v>6000021</v>
      </c>
      <c r="B1733" s="26" t="s">
        <v>9285</v>
      </c>
    </row>
    <row r="1734" spans="1:2" x14ac:dyDescent="0.25">
      <c r="A1734" s="28">
        <v>6000022</v>
      </c>
      <c r="B1734" s="26" t="s">
        <v>9284</v>
      </c>
    </row>
    <row r="1735" spans="1:2" x14ac:dyDescent="0.25">
      <c r="A1735" s="28">
        <v>6000023</v>
      </c>
      <c r="B1735" s="26" t="s">
        <v>9290</v>
      </c>
    </row>
    <row r="1736" spans="1:2" x14ac:dyDescent="0.25">
      <c r="A1736" s="28">
        <v>6000024</v>
      </c>
      <c r="B1736" s="26" t="s">
        <v>9306</v>
      </c>
    </row>
    <row r="1737" spans="1:2" x14ac:dyDescent="0.25">
      <c r="A1737" s="28">
        <v>6000025</v>
      </c>
      <c r="B1737" s="26" t="s">
        <v>9302</v>
      </c>
    </row>
    <row r="1738" spans="1:2" x14ac:dyDescent="0.25">
      <c r="A1738" s="28">
        <v>6000026</v>
      </c>
      <c r="B1738" s="26" t="s">
        <v>9288</v>
      </c>
    </row>
    <row r="1739" spans="1:2" x14ac:dyDescent="0.25">
      <c r="A1739" s="28">
        <v>6000027</v>
      </c>
      <c r="B1739" s="26" t="s">
        <v>9301</v>
      </c>
    </row>
    <row r="1740" spans="1:2" x14ac:dyDescent="0.25">
      <c r="A1740" s="28">
        <v>6000028</v>
      </c>
      <c r="B1740" s="26" t="s">
        <v>9288</v>
      </c>
    </row>
    <row r="1741" spans="1:2" x14ac:dyDescent="0.25">
      <c r="A1741" s="28">
        <v>6000029</v>
      </c>
      <c r="B1741" s="26" t="s">
        <v>9289</v>
      </c>
    </row>
    <row r="1742" spans="1:2" x14ac:dyDescent="0.25">
      <c r="A1742" s="28">
        <v>6000067</v>
      </c>
      <c r="B1742" s="26" t="s">
        <v>9299</v>
      </c>
    </row>
    <row r="1743" spans="1:2" x14ac:dyDescent="0.25">
      <c r="A1743" s="28">
        <v>6000100</v>
      </c>
      <c r="B1743" s="26" t="s">
        <v>11397</v>
      </c>
    </row>
    <row r="1744" spans="1:2" x14ac:dyDescent="0.25">
      <c r="A1744" s="28">
        <v>6000129</v>
      </c>
      <c r="B1744" s="26" t="s">
        <v>9311</v>
      </c>
    </row>
    <row r="1745" spans="1:2" x14ac:dyDescent="0.25">
      <c r="A1745" s="28">
        <v>6000130</v>
      </c>
      <c r="B1745" s="26" t="s">
        <v>9310</v>
      </c>
    </row>
    <row r="1746" spans="1:2" x14ac:dyDescent="0.25">
      <c r="A1746" s="28">
        <v>6000301</v>
      </c>
      <c r="B1746" s="26" t="s">
        <v>9300</v>
      </c>
    </row>
    <row r="1747" spans="1:2" x14ac:dyDescent="0.25">
      <c r="A1747" s="28">
        <v>6000551</v>
      </c>
      <c r="B1747" s="26" t="s">
        <v>9291</v>
      </c>
    </row>
    <row r="1748" spans="1:2" x14ac:dyDescent="0.25">
      <c r="A1748" s="28">
        <v>6000552</v>
      </c>
      <c r="B1748" s="26" t="s">
        <v>9307</v>
      </c>
    </row>
    <row r="1749" spans="1:2" x14ac:dyDescent="0.25">
      <c r="A1749" s="28">
        <v>6000852</v>
      </c>
      <c r="B1749" s="26" t="s">
        <v>9297</v>
      </c>
    </row>
    <row r="1750" spans="1:2" x14ac:dyDescent="0.25">
      <c r="A1750" s="28">
        <v>6000853</v>
      </c>
      <c r="B1750" s="26" t="s">
        <v>9293</v>
      </c>
    </row>
    <row r="1751" spans="1:2" x14ac:dyDescent="0.25">
      <c r="A1751" s="28">
        <v>6000855</v>
      </c>
      <c r="B1751" s="26" t="s">
        <v>9296</v>
      </c>
    </row>
    <row r="1752" spans="1:2" x14ac:dyDescent="0.25">
      <c r="A1752" s="28">
        <v>6000856</v>
      </c>
      <c r="B1752" s="26" t="s">
        <v>9294</v>
      </c>
    </row>
    <row r="1753" spans="1:2" x14ac:dyDescent="0.25">
      <c r="A1753" s="28">
        <v>6000863</v>
      </c>
      <c r="B1753" s="26" t="s">
        <v>9298</v>
      </c>
    </row>
    <row r="1754" spans="1:2" x14ac:dyDescent="0.25">
      <c r="A1754" s="28">
        <v>6000864</v>
      </c>
      <c r="B1754" s="26" t="s">
        <v>9295</v>
      </c>
    </row>
    <row r="1755" spans="1:2" x14ac:dyDescent="0.25">
      <c r="A1755" s="28">
        <v>6000999</v>
      </c>
      <c r="B1755" s="26" t="s">
        <v>9287</v>
      </c>
    </row>
    <row r="1756" spans="1:2" x14ac:dyDescent="0.25">
      <c r="A1756" s="28">
        <v>6001001</v>
      </c>
      <c r="B1756" s="26" t="s">
        <v>10330</v>
      </c>
    </row>
    <row r="1757" spans="1:2" x14ac:dyDescent="0.25">
      <c r="A1757" s="28">
        <v>6001004</v>
      </c>
      <c r="B1757" s="26" t="s">
        <v>10321</v>
      </c>
    </row>
    <row r="1758" spans="1:2" x14ac:dyDescent="0.25">
      <c r="A1758" s="28">
        <v>6001005</v>
      </c>
      <c r="B1758" s="26" t="s">
        <v>10322</v>
      </c>
    </row>
    <row r="1759" spans="1:2" x14ac:dyDescent="0.25">
      <c r="A1759" s="28">
        <v>6001006</v>
      </c>
      <c r="B1759" s="26" t="s">
        <v>10318</v>
      </c>
    </row>
    <row r="1760" spans="1:2" x14ac:dyDescent="0.25">
      <c r="A1760" s="28">
        <v>6001007</v>
      </c>
      <c r="B1760" s="26" t="s">
        <v>10319</v>
      </c>
    </row>
    <row r="1761" spans="1:2" x14ac:dyDescent="0.25">
      <c r="A1761" s="28">
        <v>6001008</v>
      </c>
      <c r="B1761" s="26" t="s">
        <v>10329</v>
      </c>
    </row>
    <row r="1762" spans="1:2" x14ac:dyDescent="0.25">
      <c r="A1762" s="28">
        <v>6001265</v>
      </c>
      <c r="B1762" s="26" t="s">
        <v>10323</v>
      </c>
    </row>
    <row r="1763" spans="1:2" x14ac:dyDescent="0.25">
      <c r="A1763" s="28">
        <v>6001266</v>
      </c>
      <c r="B1763" s="26" t="s">
        <v>10324</v>
      </c>
    </row>
    <row r="1764" spans="1:2" x14ac:dyDescent="0.25">
      <c r="A1764" s="28">
        <v>6001941</v>
      </c>
      <c r="B1764" s="26" t="s">
        <v>10327</v>
      </c>
    </row>
    <row r="1765" spans="1:2" x14ac:dyDescent="0.25">
      <c r="A1765" s="28">
        <v>6001942</v>
      </c>
      <c r="B1765" s="26" t="s">
        <v>10328</v>
      </c>
    </row>
    <row r="1766" spans="1:2" x14ac:dyDescent="0.25">
      <c r="A1766" s="28">
        <v>6001946</v>
      </c>
      <c r="B1766" s="26" t="s">
        <v>10326</v>
      </c>
    </row>
    <row r="1767" spans="1:2" x14ac:dyDescent="0.25">
      <c r="A1767" s="28">
        <v>6001947</v>
      </c>
      <c r="B1767" s="26" t="s">
        <v>10325</v>
      </c>
    </row>
    <row r="1768" spans="1:2" x14ac:dyDescent="0.25">
      <c r="A1768" s="28">
        <v>6001948</v>
      </c>
      <c r="B1768" s="26" t="s">
        <v>10320</v>
      </c>
    </row>
    <row r="1769" spans="1:2" x14ac:dyDescent="0.25">
      <c r="A1769" s="28">
        <v>6401001</v>
      </c>
      <c r="B1769" s="26" t="s">
        <v>8454</v>
      </c>
    </row>
    <row r="1770" spans="1:2" x14ac:dyDescent="0.25">
      <c r="A1770" s="28">
        <v>6401002</v>
      </c>
      <c r="B1770" s="26" t="s">
        <v>8455</v>
      </c>
    </row>
    <row r="1771" spans="1:2" x14ac:dyDescent="0.25">
      <c r="A1771" s="28">
        <v>6401003</v>
      </c>
      <c r="B1771" s="26" t="s">
        <v>8456</v>
      </c>
    </row>
    <row r="1772" spans="1:2" x14ac:dyDescent="0.25">
      <c r="A1772" s="28">
        <v>6401247</v>
      </c>
      <c r="B1772" s="26" t="s">
        <v>8458</v>
      </c>
    </row>
    <row r="1773" spans="1:2" x14ac:dyDescent="0.25">
      <c r="A1773" s="28">
        <v>6401900</v>
      </c>
      <c r="B1773" s="26" t="s">
        <v>8457</v>
      </c>
    </row>
    <row r="1774" spans="1:2" x14ac:dyDescent="0.25">
      <c r="A1774" s="28">
        <v>6401901</v>
      </c>
      <c r="B1774" s="26" t="s">
        <v>11398</v>
      </c>
    </row>
    <row r="1775" spans="1:2" x14ac:dyDescent="0.25">
      <c r="A1775" s="28">
        <v>6401902</v>
      </c>
      <c r="B1775" s="26" t="s">
        <v>11399</v>
      </c>
    </row>
    <row r="1776" spans="1:2" x14ac:dyDescent="0.25">
      <c r="A1776" s="28">
        <v>6402000</v>
      </c>
      <c r="B1776" s="26" t="s">
        <v>11400</v>
      </c>
    </row>
    <row r="1777" spans="1:2" x14ac:dyDescent="0.25">
      <c r="A1777" s="26" t="s">
        <v>12755</v>
      </c>
      <c r="B1777" s="27"/>
    </row>
    <row r="1778" spans="1:2" x14ac:dyDescent="0.25">
      <c r="A1778" s="28">
        <v>7203001</v>
      </c>
      <c r="B1778" s="26" t="s">
        <v>10483</v>
      </c>
    </row>
    <row r="1779" spans="1:2" x14ac:dyDescent="0.25">
      <c r="A1779" s="28">
        <v>7203002</v>
      </c>
      <c r="B1779" s="26" t="s">
        <v>10484</v>
      </c>
    </row>
    <row r="1780" spans="1:2" x14ac:dyDescent="0.25">
      <c r="A1780" s="28">
        <v>7700022</v>
      </c>
      <c r="B1780" s="26" t="s">
        <v>10074</v>
      </c>
    </row>
    <row r="1781" spans="1:2" x14ac:dyDescent="0.25">
      <c r="A1781" s="28">
        <v>7700090</v>
      </c>
      <c r="B1781" s="26" t="s">
        <v>11401</v>
      </c>
    </row>
    <row r="1782" spans="1:2" x14ac:dyDescent="0.25">
      <c r="A1782" s="28">
        <v>7700091</v>
      </c>
      <c r="B1782" s="26" t="s">
        <v>11402</v>
      </c>
    </row>
    <row r="1783" spans="1:2" x14ac:dyDescent="0.25">
      <c r="A1783" s="28">
        <v>7700092</v>
      </c>
      <c r="B1783" s="26" t="s">
        <v>11403</v>
      </c>
    </row>
    <row r="1784" spans="1:2" x14ac:dyDescent="0.25">
      <c r="A1784" s="28">
        <v>7700093</v>
      </c>
      <c r="B1784" s="26" t="s">
        <v>9938</v>
      </c>
    </row>
    <row r="1785" spans="1:2" x14ac:dyDescent="0.25">
      <c r="A1785" s="28">
        <v>7700094</v>
      </c>
      <c r="B1785" s="26" t="s">
        <v>9939</v>
      </c>
    </row>
    <row r="1786" spans="1:2" x14ac:dyDescent="0.25">
      <c r="A1786" s="28">
        <v>7700095</v>
      </c>
      <c r="B1786" s="26" t="s">
        <v>9940</v>
      </c>
    </row>
    <row r="1787" spans="1:2" x14ac:dyDescent="0.25">
      <c r="A1787" s="28">
        <v>7700096</v>
      </c>
      <c r="B1787" s="26" t="s">
        <v>9941</v>
      </c>
    </row>
    <row r="1788" spans="1:2" x14ac:dyDescent="0.25">
      <c r="A1788" s="28">
        <v>7700100</v>
      </c>
      <c r="B1788" s="26" t="s">
        <v>9872</v>
      </c>
    </row>
    <row r="1789" spans="1:2" x14ac:dyDescent="0.25">
      <c r="A1789" s="28">
        <v>7700101</v>
      </c>
      <c r="B1789" s="26" t="s">
        <v>9873</v>
      </c>
    </row>
    <row r="1790" spans="1:2" x14ac:dyDescent="0.25">
      <c r="A1790" s="28">
        <v>7700103</v>
      </c>
      <c r="B1790" s="26" t="s">
        <v>9880</v>
      </c>
    </row>
    <row r="1791" spans="1:2" x14ac:dyDescent="0.25">
      <c r="A1791" s="28">
        <v>7700104</v>
      </c>
      <c r="B1791" s="26" t="s">
        <v>9877</v>
      </c>
    </row>
    <row r="1792" spans="1:2" x14ac:dyDescent="0.25">
      <c r="A1792" s="28">
        <v>7700105</v>
      </c>
      <c r="B1792" s="26" t="s">
        <v>9876</v>
      </c>
    </row>
    <row r="1793" spans="1:2" x14ac:dyDescent="0.25">
      <c r="A1793" s="28">
        <v>7700106</v>
      </c>
      <c r="B1793" s="26" t="s">
        <v>9884</v>
      </c>
    </row>
    <row r="1794" spans="1:2" x14ac:dyDescent="0.25">
      <c r="A1794" s="28">
        <v>7700107</v>
      </c>
      <c r="B1794" s="26" t="s">
        <v>9882</v>
      </c>
    </row>
    <row r="1795" spans="1:2" x14ac:dyDescent="0.25">
      <c r="A1795" s="28">
        <v>7700200</v>
      </c>
      <c r="B1795" s="26" t="s">
        <v>9875</v>
      </c>
    </row>
    <row r="1796" spans="1:2" x14ac:dyDescent="0.25">
      <c r="A1796" s="28">
        <v>7700202</v>
      </c>
      <c r="B1796" s="26" t="s">
        <v>9874</v>
      </c>
    </row>
    <row r="1797" spans="1:2" x14ac:dyDescent="0.25">
      <c r="A1797" s="28">
        <v>7700203</v>
      </c>
      <c r="B1797" s="26" t="s">
        <v>9881</v>
      </c>
    </row>
    <row r="1798" spans="1:2" x14ac:dyDescent="0.25">
      <c r="A1798" s="28">
        <v>7700204</v>
      </c>
      <c r="B1798" s="26" t="s">
        <v>9878</v>
      </c>
    </row>
    <row r="1799" spans="1:2" x14ac:dyDescent="0.25">
      <c r="A1799" s="28">
        <v>7700205</v>
      </c>
      <c r="B1799" s="26" t="s">
        <v>9879</v>
      </c>
    </row>
    <row r="1800" spans="1:2" x14ac:dyDescent="0.25">
      <c r="A1800" s="28">
        <v>7700206</v>
      </c>
      <c r="B1800" s="26" t="s">
        <v>9885</v>
      </c>
    </row>
    <row r="1801" spans="1:2" x14ac:dyDescent="0.25">
      <c r="A1801" s="28">
        <v>7700207</v>
      </c>
      <c r="B1801" s="26" t="s">
        <v>9883</v>
      </c>
    </row>
    <row r="1802" spans="1:2" x14ac:dyDescent="0.25">
      <c r="A1802" s="28">
        <v>7700220</v>
      </c>
      <c r="B1802" s="26" t="s">
        <v>11404</v>
      </c>
    </row>
    <row r="1803" spans="1:2" x14ac:dyDescent="0.25">
      <c r="A1803" s="28">
        <v>7700302</v>
      </c>
      <c r="B1803" s="26" t="s">
        <v>11405</v>
      </c>
    </row>
    <row r="1804" spans="1:2" x14ac:dyDescent="0.25">
      <c r="A1804" s="26" t="s">
        <v>12756</v>
      </c>
      <c r="B1804" s="27"/>
    </row>
    <row r="1805" spans="1:2" x14ac:dyDescent="0.25">
      <c r="A1805" s="28">
        <v>7700303</v>
      </c>
      <c r="B1805" s="26" t="s">
        <v>11406</v>
      </c>
    </row>
    <row r="1806" spans="1:2" x14ac:dyDescent="0.25">
      <c r="A1806" s="28">
        <v>7700450</v>
      </c>
      <c r="B1806" s="26" t="s">
        <v>9886</v>
      </c>
    </row>
    <row r="1807" spans="1:2" x14ac:dyDescent="0.25">
      <c r="A1807" s="28">
        <v>7700451</v>
      </c>
      <c r="B1807" s="26" t="s">
        <v>9887</v>
      </c>
    </row>
    <row r="1808" spans="1:2" x14ac:dyDescent="0.25">
      <c r="A1808" s="28">
        <v>7700452</v>
      </c>
      <c r="B1808" s="26" t="s">
        <v>9896</v>
      </c>
    </row>
    <row r="1809" spans="1:2" x14ac:dyDescent="0.25">
      <c r="A1809" s="28">
        <v>7700453</v>
      </c>
      <c r="B1809" s="26" t="s">
        <v>9897</v>
      </c>
    </row>
    <row r="1810" spans="1:2" x14ac:dyDescent="0.25">
      <c r="A1810" s="28">
        <v>7700454</v>
      </c>
      <c r="B1810" s="26" t="s">
        <v>9895</v>
      </c>
    </row>
    <row r="1811" spans="1:2" x14ac:dyDescent="0.25">
      <c r="A1811" s="28">
        <v>7700455</v>
      </c>
      <c r="B1811" s="26" t="s">
        <v>9899</v>
      </c>
    </row>
    <row r="1812" spans="1:2" x14ac:dyDescent="0.25">
      <c r="A1812" s="28">
        <v>7700456</v>
      </c>
      <c r="B1812" s="26" t="s">
        <v>9898</v>
      </c>
    </row>
    <row r="1813" spans="1:2" x14ac:dyDescent="0.25">
      <c r="A1813" s="28">
        <v>7700459</v>
      </c>
      <c r="B1813" s="26" t="s">
        <v>9888</v>
      </c>
    </row>
    <row r="1814" spans="1:2" x14ac:dyDescent="0.25">
      <c r="A1814" s="28">
        <v>7700460</v>
      </c>
      <c r="B1814" s="26" t="s">
        <v>9889</v>
      </c>
    </row>
    <row r="1815" spans="1:2" x14ac:dyDescent="0.25">
      <c r="A1815" s="28">
        <v>7700461</v>
      </c>
      <c r="B1815" s="26" t="s">
        <v>9891</v>
      </c>
    </row>
    <row r="1816" spans="1:2" x14ac:dyDescent="0.25">
      <c r="A1816" s="28">
        <v>7700462</v>
      </c>
      <c r="B1816" s="26" t="s">
        <v>9890</v>
      </c>
    </row>
    <row r="1817" spans="1:2" x14ac:dyDescent="0.25">
      <c r="A1817" s="28">
        <v>7700463</v>
      </c>
      <c r="B1817" s="26" t="s">
        <v>9894</v>
      </c>
    </row>
    <row r="1818" spans="1:2" x14ac:dyDescent="0.25">
      <c r="A1818" s="28">
        <v>7700464</v>
      </c>
      <c r="B1818" s="26" t="s">
        <v>9893</v>
      </c>
    </row>
    <row r="1819" spans="1:2" x14ac:dyDescent="0.25">
      <c r="A1819" s="28">
        <v>7700465</v>
      </c>
      <c r="B1819" s="26" t="s">
        <v>9892</v>
      </c>
    </row>
    <row r="1820" spans="1:2" x14ac:dyDescent="0.25">
      <c r="A1820" s="28">
        <v>7700500</v>
      </c>
      <c r="B1820" s="26" t="s">
        <v>11407</v>
      </c>
    </row>
    <row r="1821" spans="1:2" x14ac:dyDescent="0.25">
      <c r="A1821" s="28">
        <v>7700501</v>
      </c>
      <c r="B1821" s="26" t="s">
        <v>9950</v>
      </c>
    </row>
    <row r="1822" spans="1:2" x14ac:dyDescent="0.25">
      <c r="A1822" s="28">
        <v>7700502</v>
      </c>
      <c r="B1822" s="26" t="s">
        <v>9943</v>
      </c>
    </row>
    <row r="1823" spans="1:2" x14ac:dyDescent="0.25">
      <c r="A1823" s="28">
        <v>7700503</v>
      </c>
      <c r="B1823" s="26" t="s">
        <v>9954</v>
      </c>
    </row>
    <row r="1824" spans="1:2" x14ac:dyDescent="0.25">
      <c r="A1824" s="28">
        <v>7700504</v>
      </c>
      <c r="B1824" s="26" t="s">
        <v>9953</v>
      </c>
    </row>
    <row r="1825" spans="1:2" x14ac:dyDescent="0.25">
      <c r="A1825" s="28">
        <v>7700505</v>
      </c>
      <c r="B1825" s="26" t="s">
        <v>9942</v>
      </c>
    </row>
    <row r="1826" spans="1:2" x14ac:dyDescent="0.25">
      <c r="A1826" s="28">
        <v>7700506</v>
      </c>
      <c r="B1826" s="26" t="s">
        <v>9951</v>
      </c>
    </row>
    <row r="1827" spans="1:2" x14ac:dyDescent="0.25">
      <c r="A1827" s="28">
        <v>7700507</v>
      </c>
      <c r="B1827" s="26" t="s">
        <v>9949</v>
      </c>
    </row>
    <row r="1828" spans="1:2" x14ac:dyDescent="0.25">
      <c r="A1828" s="28">
        <v>7700508</v>
      </c>
      <c r="B1828" s="26" t="s">
        <v>9948</v>
      </c>
    </row>
    <row r="1829" spans="1:2" x14ac:dyDescent="0.25">
      <c r="A1829" s="28">
        <v>7700509</v>
      </c>
      <c r="B1829" s="26" t="s">
        <v>9952</v>
      </c>
    </row>
    <row r="1830" spans="1:2" x14ac:dyDescent="0.25">
      <c r="A1830" s="28">
        <v>7700510</v>
      </c>
      <c r="B1830" s="26" t="s">
        <v>9944</v>
      </c>
    </row>
    <row r="1831" spans="1:2" x14ac:dyDescent="0.25">
      <c r="A1831" s="28">
        <v>7700511</v>
      </c>
      <c r="B1831" s="26" t="s">
        <v>9945</v>
      </c>
    </row>
    <row r="1832" spans="1:2" x14ac:dyDescent="0.25">
      <c r="A1832" s="28">
        <v>7700512</v>
      </c>
      <c r="B1832" s="26" t="s">
        <v>9946</v>
      </c>
    </row>
    <row r="1833" spans="1:2" x14ac:dyDescent="0.25">
      <c r="A1833" s="28">
        <v>7700515</v>
      </c>
      <c r="B1833" s="26" t="s">
        <v>9947</v>
      </c>
    </row>
    <row r="1834" spans="1:2" x14ac:dyDescent="0.25">
      <c r="A1834" s="28">
        <v>7700601</v>
      </c>
      <c r="B1834" s="26" t="s">
        <v>11408</v>
      </c>
    </row>
    <row r="1835" spans="1:2" x14ac:dyDescent="0.25">
      <c r="A1835" s="28">
        <v>7700602</v>
      </c>
      <c r="B1835" s="26" t="s">
        <v>9907</v>
      </c>
    </row>
    <row r="1836" spans="1:2" x14ac:dyDescent="0.25">
      <c r="A1836" s="28">
        <v>7700603</v>
      </c>
      <c r="B1836" s="26" t="s">
        <v>9910</v>
      </c>
    </row>
    <row r="1837" spans="1:2" x14ac:dyDescent="0.25">
      <c r="A1837" s="28">
        <v>7700604</v>
      </c>
      <c r="B1837" s="26" t="s">
        <v>9909</v>
      </c>
    </row>
    <row r="1838" spans="1:2" x14ac:dyDescent="0.25">
      <c r="A1838" s="28">
        <v>7700605</v>
      </c>
      <c r="B1838" s="26" t="s">
        <v>9911</v>
      </c>
    </row>
    <row r="1839" spans="1:2" x14ac:dyDescent="0.25">
      <c r="A1839" s="28">
        <v>7700606</v>
      </c>
      <c r="B1839" s="26" t="s">
        <v>9918</v>
      </c>
    </row>
    <row r="1840" spans="1:2" x14ac:dyDescent="0.25">
      <c r="A1840" s="28">
        <v>7700607</v>
      </c>
      <c r="B1840" s="26" t="s">
        <v>9916</v>
      </c>
    </row>
    <row r="1841" spans="1:2" x14ac:dyDescent="0.25">
      <c r="A1841" s="28">
        <v>7700650</v>
      </c>
      <c r="B1841" s="26" t="s">
        <v>11409</v>
      </c>
    </row>
    <row r="1842" spans="1:2" x14ac:dyDescent="0.25">
      <c r="A1842" s="28">
        <v>7700651</v>
      </c>
      <c r="B1842" s="26" t="s">
        <v>11410</v>
      </c>
    </row>
    <row r="1843" spans="1:2" x14ac:dyDescent="0.25">
      <c r="A1843" s="28">
        <v>7700652</v>
      </c>
      <c r="B1843" s="26" t="s">
        <v>11411</v>
      </c>
    </row>
    <row r="1844" spans="1:2" x14ac:dyDescent="0.25">
      <c r="A1844" s="28">
        <v>7700653</v>
      </c>
      <c r="B1844" s="26" t="s">
        <v>11412</v>
      </c>
    </row>
    <row r="1845" spans="1:2" x14ac:dyDescent="0.25">
      <c r="A1845" s="28">
        <v>7700654</v>
      </c>
      <c r="B1845" s="26" t="s">
        <v>11413</v>
      </c>
    </row>
    <row r="1846" spans="1:2" x14ac:dyDescent="0.25">
      <c r="A1846" s="28">
        <v>7700655</v>
      </c>
      <c r="B1846" s="26" t="s">
        <v>11414</v>
      </c>
    </row>
    <row r="1847" spans="1:2" x14ac:dyDescent="0.25">
      <c r="A1847" s="28">
        <v>7700656</v>
      </c>
      <c r="B1847" s="26" t="s">
        <v>9920</v>
      </c>
    </row>
    <row r="1848" spans="1:2" x14ac:dyDescent="0.25">
      <c r="A1848" s="28">
        <v>7700657</v>
      </c>
      <c r="B1848" s="26" t="s">
        <v>9902</v>
      </c>
    </row>
    <row r="1849" spans="1:2" x14ac:dyDescent="0.25">
      <c r="A1849" s="28">
        <v>7700658</v>
      </c>
      <c r="B1849" s="26" t="s">
        <v>9903</v>
      </c>
    </row>
    <row r="1850" spans="1:2" x14ac:dyDescent="0.25">
      <c r="A1850" s="28">
        <v>7700700</v>
      </c>
      <c r="B1850" s="26" t="s">
        <v>11415</v>
      </c>
    </row>
    <row r="1851" spans="1:2" x14ac:dyDescent="0.25">
      <c r="A1851" s="28">
        <v>7700701</v>
      </c>
      <c r="B1851" s="26" t="s">
        <v>11416</v>
      </c>
    </row>
    <row r="1852" spans="1:2" x14ac:dyDescent="0.25">
      <c r="A1852" s="28">
        <v>77007014</v>
      </c>
      <c r="B1852" s="26" t="s">
        <v>11417</v>
      </c>
    </row>
    <row r="1853" spans="1:2" x14ac:dyDescent="0.25">
      <c r="A1853" s="28">
        <v>7700702</v>
      </c>
      <c r="B1853" s="26" t="s">
        <v>11418</v>
      </c>
    </row>
    <row r="1854" spans="1:2" x14ac:dyDescent="0.25">
      <c r="A1854" s="28">
        <v>7700703</v>
      </c>
      <c r="B1854" s="26" t="s">
        <v>9922</v>
      </c>
    </row>
    <row r="1855" spans="1:2" x14ac:dyDescent="0.25">
      <c r="A1855" s="28">
        <v>7700704</v>
      </c>
      <c r="B1855" s="26" t="s">
        <v>11419</v>
      </c>
    </row>
    <row r="1856" spans="1:2" x14ac:dyDescent="0.25">
      <c r="A1856" s="28">
        <v>7700705</v>
      </c>
      <c r="B1856" s="26" t="s">
        <v>11420</v>
      </c>
    </row>
    <row r="1857" spans="1:2" x14ac:dyDescent="0.25">
      <c r="A1857" s="28">
        <v>7700900</v>
      </c>
      <c r="B1857" s="26" t="s">
        <v>9937</v>
      </c>
    </row>
    <row r="1858" spans="1:2" x14ac:dyDescent="0.25">
      <c r="A1858" s="28">
        <v>7700901</v>
      </c>
      <c r="B1858" s="26" t="s">
        <v>11421</v>
      </c>
    </row>
    <row r="1859" spans="1:2" x14ac:dyDescent="0.25">
      <c r="A1859" s="28">
        <v>7700902</v>
      </c>
      <c r="B1859" s="26" t="s">
        <v>11422</v>
      </c>
    </row>
    <row r="1860" spans="1:2" x14ac:dyDescent="0.25">
      <c r="A1860" s="28">
        <v>7700903</v>
      </c>
      <c r="B1860" s="26" t="s">
        <v>11423</v>
      </c>
    </row>
    <row r="1861" spans="1:2" x14ac:dyDescent="0.25">
      <c r="A1861" s="28">
        <v>7700904</v>
      </c>
      <c r="B1861" s="26" t="s">
        <v>11424</v>
      </c>
    </row>
    <row r="1862" spans="1:2" x14ac:dyDescent="0.25">
      <c r="A1862" s="28">
        <v>7700905</v>
      </c>
      <c r="B1862" s="26" t="s">
        <v>11425</v>
      </c>
    </row>
    <row r="1863" spans="1:2" x14ac:dyDescent="0.25">
      <c r="A1863" s="28">
        <v>7700906</v>
      </c>
      <c r="B1863" s="26" t="s">
        <v>11426</v>
      </c>
    </row>
    <row r="1864" spans="1:2" x14ac:dyDescent="0.25">
      <c r="A1864" s="28">
        <v>7701004</v>
      </c>
      <c r="B1864" s="26" t="s">
        <v>9234</v>
      </c>
    </row>
    <row r="1865" spans="1:2" x14ac:dyDescent="0.25">
      <c r="A1865" s="28">
        <v>7701005</v>
      </c>
      <c r="B1865" s="26" t="s">
        <v>9233</v>
      </c>
    </row>
    <row r="1866" spans="1:2" x14ac:dyDescent="0.25">
      <c r="A1866" s="28">
        <v>7701006</v>
      </c>
      <c r="B1866" s="26" t="s">
        <v>11427</v>
      </c>
    </row>
    <row r="1867" spans="1:2" x14ac:dyDescent="0.25">
      <c r="A1867" s="28">
        <v>7701093</v>
      </c>
      <c r="B1867" s="26" t="s">
        <v>9925</v>
      </c>
    </row>
    <row r="1868" spans="1:2" x14ac:dyDescent="0.25">
      <c r="A1868" s="28">
        <v>7701094</v>
      </c>
      <c r="B1868" s="26" t="s">
        <v>9927</v>
      </c>
    </row>
    <row r="1869" spans="1:2" x14ac:dyDescent="0.25">
      <c r="A1869" s="28">
        <v>7701095</v>
      </c>
      <c r="B1869" s="26" t="s">
        <v>9931</v>
      </c>
    </row>
    <row r="1870" spans="1:2" x14ac:dyDescent="0.25">
      <c r="A1870" s="28">
        <v>7701096</v>
      </c>
      <c r="B1870" s="26" t="s">
        <v>9933</v>
      </c>
    </row>
    <row r="1871" spans="1:2" x14ac:dyDescent="0.25">
      <c r="A1871" s="28">
        <v>7701097</v>
      </c>
      <c r="B1871" s="26" t="s">
        <v>9935</v>
      </c>
    </row>
    <row r="1872" spans="1:2" x14ac:dyDescent="0.25">
      <c r="A1872" s="28">
        <v>7701098</v>
      </c>
      <c r="B1872" s="26" t="s">
        <v>9936</v>
      </c>
    </row>
    <row r="1873" spans="1:2" x14ac:dyDescent="0.25">
      <c r="A1873" s="28">
        <v>7701099</v>
      </c>
      <c r="B1873" s="26" t="s">
        <v>9932</v>
      </c>
    </row>
    <row r="1874" spans="1:2" x14ac:dyDescent="0.25">
      <c r="A1874" s="28">
        <v>7701100</v>
      </c>
      <c r="B1874" s="26" t="s">
        <v>9934</v>
      </c>
    </row>
    <row r="1875" spans="1:2" x14ac:dyDescent="0.25">
      <c r="A1875" s="28">
        <v>7701101</v>
      </c>
      <c r="B1875" s="26" t="s">
        <v>11428</v>
      </c>
    </row>
    <row r="1876" spans="1:2" x14ac:dyDescent="0.25">
      <c r="A1876" s="28">
        <v>7701102</v>
      </c>
      <c r="B1876" s="26" t="s">
        <v>9929</v>
      </c>
    </row>
    <row r="1877" spans="1:2" x14ac:dyDescent="0.25">
      <c r="A1877" s="28">
        <v>7701103</v>
      </c>
      <c r="B1877" s="26" t="s">
        <v>9930</v>
      </c>
    </row>
    <row r="1878" spans="1:2" x14ac:dyDescent="0.25">
      <c r="A1878" s="28">
        <v>7701104</v>
      </c>
      <c r="B1878" s="26" t="s">
        <v>9924</v>
      </c>
    </row>
    <row r="1879" spans="1:2" x14ac:dyDescent="0.25">
      <c r="A1879" s="28">
        <v>7701105</v>
      </c>
      <c r="B1879" s="26" t="s">
        <v>9926</v>
      </c>
    </row>
    <row r="1880" spans="1:2" x14ac:dyDescent="0.25">
      <c r="A1880" s="28">
        <v>7701106</v>
      </c>
      <c r="B1880" s="26" t="s">
        <v>9928</v>
      </c>
    </row>
    <row r="1881" spans="1:2" x14ac:dyDescent="0.25">
      <c r="A1881" s="28">
        <v>7701107</v>
      </c>
      <c r="B1881" s="26" t="s">
        <v>13206</v>
      </c>
    </row>
    <row r="1882" spans="1:2" x14ac:dyDescent="0.25">
      <c r="A1882" s="28">
        <v>7701136</v>
      </c>
      <c r="B1882" s="26" t="s">
        <v>8404</v>
      </c>
    </row>
    <row r="1883" spans="1:2" x14ac:dyDescent="0.25">
      <c r="A1883" s="28">
        <v>7701137</v>
      </c>
      <c r="B1883" s="26" t="s">
        <v>8403</v>
      </c>
    </row>
    <row r="1884" spans="1:2" x14ac:dyDescent="0.25">
      <c r="A1884" s="28">
        <v>7701200</v>
      </c>
      <c r="B1884" s="26" t="s">
        <v>11429</v>
      </c>
    </row>
    <row r="1885" spans="1:2" x14ac:dyDescent="0.25">
      <c r="A1885" s="28">
        <v>7701201</v>
      </c>
      <c r="B1885" s="26" t="s">
        <v>11430</v>
      </c>
    </row>
    <row r="1886" spans="1:2" x14ac:dyDescent="0.25">
      <c r="A1886" s="28">
        <v>7701202</v>
      </c>
      <c r="B1886" s="26" t="s">
        <v>11431</v>
      </c>
    </row>
    <row r="1887" spans="1:2" x14ac:dyDescent="0.25">
      <c r="A1887" s="28">
        <v>7701203</v>
      </c>
      <c r="B1887" s="26" t="s">
        <v>11432</v>
      </c>
    </row>
    <row r="1888" spans="1:2" x14ac:dyDescent="0.25">
      <c r="A1888" s="28">
        <v>7701394</v>
      </c>
      <c r="B1888" s="26" t="s">
        <v>11433</v>
      </c>
    </row>
    <row r="1889" spans="1:2" x14ac:dyDescent="0.25">
      <c r="A1889" s="28">
        <v>7701397</v>
      </c>
      <c r="B1889" s="26" t="s">
        <v>11434</v>
      </c>
    </row>
    <row r="1890" spans="1:2" x14ac:dyDescent="0.25">
      <c r="A1890" s="28">
        <v>7701655</v>
      </c>
      <c r="B1890" s="26" t="s">
        <v>11435</v>
      </c>
    </row>
    <row r="1891" spans="1:2" x14ac:dyDescent="0.25">
      <c r="A1891" s="28">
        <v>7703000</v>
      </c>
      <c r="B1891" s="26" t="s">
        <v>9840</v>
      </c>
    </row>
    <row r="1892" spans="1:2" x14ac:dyDescent="0.25">
      <c r="A1892" s="28">
        <v>7703001</v>
      </c>
      <c r="B1892" s="26" t="s">
        <v>9849</v>
      </c>
    </row>
    <row r="1893" spans="1:2" x14ac:dyDescent="0.25">
      <c r="A1893" s="28">
        <v>7703002</v>
      </c>
      <c r="B1893" s="26" t="s">
        <v>9850</v>
      </c>
    </row>
    <row r="1894" spans="1:2" x14ac:dyDescent="0.25">
      <c r="A1894" s="28">
        <v>7703003</v>
      </c>
      <c r="B1894" s="26" t="s">
        <v>11436</v>
      </c>
    </row>
    <row r="1895" spans="1:2" x14ac:dyDescent="0.25">
      <c r="A1895" s="28">
        <v>7703004</v>
      </c>
      <c r="B1895" s="26" t="s">
        <v>9838</v>
      </c>
    </row>
    <row r="1896" spans="1:2" x14ac:dyDescent="0.25">
      <c r="A1896" s="28">
        <v>7703005</v>
      </c>
      <c r="B1896" s="26" t="s">
        <v>9839</v>
      </c>
    </row>
    <row r="1897" spans="1:2" x14ac:dyDescent="0.25">
      <c r="A1897" s="28">
        <v>7703006</v>
      </c>
      <c r="B1897" s="26" t="s">
        <v>12329</v>
      </c>
    </row>
    <row r="1898" spans="1:2" x14ac:dyDescent="0.25">
      <c r="A1898" s="28">
        <v>7703010</v>
      </c>
      <c r="B1898" s="26" t="s">
        <v>12231</v>
      </c>
    </row>
    <row r="1899" spans="1:2" x14ac:dyDescent="0.25">
      <c r="A1899" s="28">
        <v>7703019</v>
      </c>
      <c r="B1899" s="26" t="s">
        <v>9863</v>
      </c>
    </row>
    <row r="1900" spans="1:2" x14ac:dyDescent="0.25">
      <c r="A1900" s="28">
        <v>7703020</v>
      </c>
      <c r="B1900" s="26" t="s">
        <v>9862</v>
      </c>
    </row>
    <row r="1901" spans="1:2" x14ac:dyDescent="0.25">
      <c r="A1901" s="28">
        <v>7703021</v>
      </c>
      <c r="B1901" s="26" t="s">
        <v>9866</v>
      </c>
    </row>
    <row r="1902" spans="1:2" x14ac:dyDescent="0.25">
      <c r="A1902" s="28">
        <v>7703022</v>
      </c>
      <c r="B1902" s="26" t="s">
        <v>9865</v>
      </c>
    </row>
    <row r="1903" spans="1:2" x14ac:dyDescent="0.25">
      <c r="A1903" s="28">
        <v>7703023</v>
      </c>
      <c r="B1903" s="26" t="s">
        <v>9864</v>
      </c>
    </row>
    <row r="1904" spans="1:2" x14ac:dyDescent="0.25">
      <c r="A1904" s="28">
        <v>7703024</v>
      </c>
      <c r="B1904" s="26" t="s">
        <v>9868</v>
      </c>
    </row>
    <row r="1905" spans="1:2" x14ac:dyDescent="0.25">
      <c r="A1905" s="28">
        <v>7703025</v>
      </c>
      <c r="B1905" s="26" t="s">
        <v>9867</v>
      </c>
    </row>
    <row r="1906" spans="1:2" x14ac:dyDescent="0.25">
      <c r="A1906" s="28">
        <v>7703026</v>
      </c>
      <c r="B1906" s="26" t="s">
        <v>9861</v>
      </c>
    </row>
    <row r="1907" spans="1:2" x14ac:dyDescent="0.25">
      <c r="A1907" s="28">
        <v>7703029</v>
      </c>
      <c r="B1907" s="26" t="s">
        <v>9804</v>
      </c>
    </row>
    <row r="1908" spans="1:2" x14ac:dyDescent="0.25">
      <c r="A1908" s="28">
        <v>7703030</v>
      </c>
      <c r="B1908" s="26" t="s">
        <v>9770</v>
      </c>
    </row>
    <row r="1909" spans="1:2" x14ac:dyDescent="0.25">
      <c r="A1909" s="28">
        <v>7703031</v>
      </c>
      <c r="B1909" s="26" t="s">
        <v>9771</v>
      </c>
    </row>
    <row r="1910" spans="1:2" x14ac:dyDescent="0.25">
      <c r="A1910" s="28">
        <v>7703033</v>
      </c>
      <c r="B1910" s="26" t="s">
        <v>9764</v>
      </c>
    </row>
    <row r="1911" spans="1:2" x14ac:dyDescent="0.25">
      <c r="A1911" s="28">
        <v>7703035</v>
      </c>
      <c r="B1911" s="26" t="s">
        <v>9765</v>
      </c>
    </row>
    <row r="1912" spans="1:2" x14ac:dyDescent="0.25">
      <c r="A1912" s="28">
        <v>7703036</v>
      </c>
      <c r="B1912" s="26" t="s">
        <v>9769</v>
      </c>
    </row>
    <row r="1913" spans="1:2" x14ac:dyDescent="0.25">
      <c r="A1913" s="28">
        <v>7703037</v>
      </c>
      <c r="B1913" s="26" t="s">
        <v>9768</v>
      </c>
    </row>
    <row r="1914" spans="1:2" x14ac:dyDescent="0.25">
      <c r="A1914" s="28">
        <v>7703038</v>
      </c>
      <c r="B1914" s="26" t="s">
        <v>9763</v>
      </c>
    </row>
    <row r="1915" spans="1:2" x14ac:dyDescent="0.25">
      <c r="A1915" s="28">
        <v>7703039</v>
      </c>
      <c r="B1915" s="26" t="s">
        <v>9767</v>
      </c>
    </row>
    <row r="1916" spans="1:2" x14ac:dyDescent="0.25">
      <c r="A1916" s="28">
        <v>7703047</v>
      </c>
      <c r="B1916" s="26" t="s">
        <v>9766</v>
      </c>
    </row>
    <row r="1917" spans="1:2" x14ac:dyDescent="0.25">
      <c r="A1917" s="28">
        <v>7703050</v>
      </c>
      <c r="B1917" s="26" t="s">
        <v>12757</v>
      </c>
    </row>
    <row r="1918" spans="1:2" x14ac:dyDescent="0.25">
      <c r="A1918" s="28">
        <v>7703051</v>
      </c>
      <c r="B1918" s="26" t="s">
        <v>12758</v>
      </c>
    </row>
    <row r="1919" spans="1:2" x14ac:dyDescent="0.25">
      <c r="A1919" s="28">
        <v>7703052</v>
      </c>
      <c r="B1919" s="26" t="s">
        <v>12759</v>
      </c>
    </row>
    <row r="1920" spans="1:2" x14ac:dyDescent="0.25">
      <c r="A1920" s="28">
        <v>7703053</v>
      </c>
      <c r="B1920" s="26" t="s">
        <v>12760</v>
      </c>
    </row>
    <row r="1921" spans="1:2" x14ac:dyDescent="0.25">
      <c r="A1921" s="28">
        <v>7703054</v>
      </c>
      <c r="B1921" s="26" t="s">
        <v>9753</v>
      </c>
    </row>
    <row r="1922" spans="1:2" x14ac:dyDescent="0.25">
      <c r="A1922" s="28">
        <v>7703056</v>
      </c>
      <c r="B1922" s="26" t="s">
        <v>12761</v>
      </c>
    </row>
    <row r="1923" spans="1:2" x14ac:dyDescent="0.25">
      <c r="A1923" s="28">
        <v>7703057</v>
      </c>
      <c r="B1923" s="26" t="s">
        <v>12762</v>
      </c>
    </row>
    <row r="1924" spans="1:2" x14ac:dyDescent="0.25">
      <c r="A1924" s="28">
        <v>7703060</v>
      </c>
      <c r="B1924" s="26" t="s">
        <v>9761</v>
      </c>
    </row>
    <row r="1925" spans="1:2" x14ac:dyDescent="0.25">
      <c r="A1925" s="28">
        <v>7703061</v>
      </c>
      <c r="B1925" s="26" t="s">
        <v>9756</v>
      </c>
    </row>
    <row r="1926" spans="1:2" x14ac:dyDescent="0.25">
      <c r="A1926" s="28">
        <v>7703062</v>
      </c>
      <c r="B1926" s="26" t="s">
        <v>9757</v>
      </c>
    </row>
    <row r="1927" spans="1:2" x14ac:dyDescent="0.25">
      <c r="A1927" s="28">
        <v>7703065</v>
      </c>
      <c r="B1927" s="26" t="s">
        <v>9760</v>
      </c>
    </row>
    <row r="1928" spans="1:2" x14ac:dyDescent="0.25">
      <c r="A1928" s="28">
        <v>7703066</v>
      </c>
      <c r="B1928" s="26" t="s">
        <v>9754</v>
      </c>
    </row>
    <row r="1929" spans="1:2" x14ac:dyDescent="0.25">
      <c r="A1929" s="28">
        <v>7703067</v>
      </c>
      <c r="B1929" s="26" t="s">
        <v>9755</v>
      </c>
    </row>
    <row r="1930" spans="1:2" x14ac:dyDescent="0.25">
      <c r="A1930" s="28">
        <v>7703070</v>
      </c>
      <c r="B1930" s="26" t="s">
        <v>9762</v>
      </c>
    </row>
    <row r="1931" spans="1:2" x14ac:dyDescent="0.25">
      <c r="A1931" s="28">
        <v>7703071</v>
      </c>
      <c r="B1931" s="26" t="s">
        <v>9759</v>
      </c>
    </row>
    <row r="1932" spans="1:2" x14ac:dyDescent="0.25">
      <c r="A1932" s="28">
        <v>7703072</v>
      </c>
      <c r="B1932" s="26" t="s">
        <v>9758</v>
      </c>
    </row>
    <row r="1933" spans="1:2" x14ac:dyDescent="0.25">
      <c r="A1933" s="28">
        <v>7703073</v>
      </c>
      <c r="B1933" s="26" t="s">
        <v>9841</v>
      </c>
    </row>
    <row r="1934" spans="1:2" x14ac:dyDescent="0.25">
      <c r="A1934" s="28">
        <v>7703074</v>
      </c>
      <c r="B1934" s="26" t="s">
        <v>11437</v>
      </c>
    </row>
    <row r="1935" spans="1:2" x14ac:dyDescent="0.25">
      <c r="A1935" s="28">
        <v>7703105</v>
      </c>
      <c r="B1935" s="26" t="s">
        <v>9789</v>
      </c>
    </row>
    <row r="1936" spans="1:2" x14ac:dyDescent="0.25">
      <c r="A1936" s="28">
        <v>7703106</v>
      </c>
      <c r="B1936" s="26" t="s">
        <v>9779</v>
      </c>
    </row>
    <row r="1937" spans="1:2" x14ac:dyDescent="0.25">
      <c r="A1937" s="28">
        <v>7703107</v>
      </c>
      <c r="B1937" s="26" t="s">
        <v>9780</v>
      </c>
    </row>
    <row r="1938" spans="1:2" x14ac:dyDescent="0.25">
      <c r="A1938" s="28">
        <v>7703108</v>
      </c>
      <c r="B1938" s="26" t="s">
        <v>11438</v>
      </c>
    </row>
    <row r="1939" spans="1:2" x14ac:dyDescent="0.25">
      <c r="A1939" s="28">
        <v>7703109</v>
      </c>
      <c r="B1939" s="26" t="s">
        <v>9778</v>
      </c>
    </row>
    <row r="1940" spans="1:2" x14ac:dyDescent="0.25">
      <c r="A1940" s="28">
        <v>7703110</v>
      </c>
      <c r="B1940" s="26" t="s">
        <v>9788</v>
      </c>
    </row>
    <row r="1941" spans="1:2" x14ac:dyDescent="0.25">
      <c r="A1941" s="28">
        <v>7703111</v>
      </c>
      <c r="B1941" s="26" t="s">
        <v>9785</v>
      </c>
    </row>
    <row r="1942" spans="1:2" x14ac:dyDescent="0.25">
      <c r="A1942" s="28">
        <v>7703112</v>
      </c>
      <c r="B1942" s="26" t="s">
        <v>9786</v>
      </c>
    </row>
    <row r="1943" spans="1:2" x14ac:dyDescent="0.25">
      <c r="A1943" s="28">
        <v>7703113</v>
      </c>
      <c r="B1943" s="26" t="s">
        <v>9784</v>
      </c>
    </row>
    <row r="1944" spans="1:2" x14ac:dyDescent="0.25">
      <c r="A1944" s="28">
        <v>7703114</v>
      </c>
      <c r="B1944" s="26" t="s">
        <v>9772</v>
      </c>
    </row>
    <row r="1945" spans="1:2" x14ac:dyDescent="0.25">
      <c r="A1945" s="28">
        <v>7703115</v>
      </c>
      <c r="B1945" s="26" t="s">
        <v>9773</v>
      </c>
    </row>
    <row r="1946" spans="1:2" x14ac:dyDescent="0.25">
      <c r="A1946" s="28">
        <v>7703116</v>
      </c>
      <c r="B1946" s="26" t="s">
        <v>9774</v>
      </c>
    </row>
    <row r="1947" spans="1:2" x14ac:dyDescent="0.25">
      <c r="A1947" s="28">
        <v>7703117</v>
      </c>
      <c r="B1947" s="26" t="s">
        <v>9776</v>
      </c>
    </row>
    <row r="1948" spans="1:2" x14ac:dyDescent="0.25">
      <c r="A1948" s="28">
        <v>7703118</v>
      </c>
      <c r="B1948" s="26" t="s">
        <v>9777</v>
      </c>
    </row>
    <row r="1949" spans="1:2" x14ac:dyDescent="0.25">
      <c r="A1949" s="28">
        <v>7703119</v>
      </c>
      <c r="B1949" s="26" t="s">
        <v>9775</v>
      </c>
    </row>
    <row r="1950" spans="1:2" x14ac:dyDescent="0.25">
      <c r="A1950" s="28">
        <v>7703120</v>
      </c>
      <c r="B1950" s="26" t="s">
        <v>11439</v>
      </c>
    </row>
    <row r="1951" spans="1:2" x14ac:dyDescent="0.25">
      <c r="A1951" s="28">
        <v>7703121</v>
      </c>
      <c r="B1951" s="26" t="s">
        <v>9782</v>
      </c>
    </row>
    <row r="1952" spans="1:2" x14ac:dyDescent="0.25">
      <c r="A1952" s="28">
        <v>7703125</v>
      </c>
      <c r="B1952" s="26" t="s">
        <v>9783</v>
      </c>
    </row>
    <row r="1953" spans="1:2" x14ac:dyDescent="0.25">
      <c r="A1953" s="28">
        <v>7703126</v>
      </c>
      <c r="B1953" s="26" t="s">
        <v>12763</v>
      </c>
    </row>
    <row r="1954" spans="1:2" x14ac:dyDescent="0.25">
      <c r="A1954" s="28">
        <v>7703129</v>
      </c>
      <c r="B1954" s="26" t="s">
        <v>9807</v>
      </c>
    </row>
    <row r="1955" spans="1:2" x14ac:dyDescent="0.25">
      <c r="A1955" s="28">
        <v>7703130</v>
      </c>
      <c r="B1955" s="26" t="s">
        <v>9808</v>
      </c>
    </row>
    <row r="1956" spans="1:2" x14ac:dyDescent="0.25">
      <c r="A1956" s="28">
        <v>7703143</v>
      </c>
      <c r="B1956" s="26" t="s">
        <v>9797</v>
      </c>
    </row>
    <row r="1957" spans="1:2" x14ac:dyDescent="0.25">
      <c r="A1957" s="28">
        <v>7703144</v>
      </c>
      <c r="B1957" s="26" t="s">
        <v>9793</v>
      </c>
    </row>
    <row r="1958" spans="1:2" x14ac:dyDescent="0.25">
      <c r="A1958" s="28">
        <v>7703157</v>
      </c>
      <c r="B1958" s="26" t="s">
        <v>9796</v>
      </c>
    </row>
    <row r="1959" spans="1:2" x14ac:dyDescent="0.25">
      <c r="A1959" s="28">
        <v>7703158</v>
      </c>
      <c r="B1959" s="26" t="s">
        <v>9795</v>
      </c>
    </row>
    <row r="1960" spans="1:2" x14ac:dyDescent="0.25">
      <c r="A1960" s="28">
        <v>7703159</v>
      </c>
      <c r="B1960" s="26" t="s">
        <v>9798</v>
      </c>
    </row>
    <row r="1961" spans="1:2" x14ac:dyDescent="0.25">
      <c r="A1961" s="28">
        <v>7703164</v>
      </c>
      <c r="B1961" s="26" t="s">
        <v>9787</v>
      </c>
    </row>
    <row r="1962" spans="1:2" x14ac:dyDescent="0.25">
      <c r="A1962" s="28">
        <v>7703185</v>
      </c>
      <c r="B1962" s="26" t="s">
        <v>9781</v>
      </c>
    </row>
    <row r="1963" spans="1:2" x14ac:dyDescent="0.25">
      <c r="A1963" s="28">
        <v>7703200</v>
      </c>
      <c r="B1963" s="26" t="s">
        <v>9794</v>
      </c>
    </row>
    <row r="1964" spans="1:2" x14ac:dyDescent="0.25">
      <c r="A1964" s="28">
        <v>7703250</v>
      </c>
      <c r="B1964" s="26" t="s">
        <v>9853</v>
      </c>
    </row>
    <row r="1965" spans="1:2" x14ac:dyDescent="0.25">
      <c r="A1965" s="28">
        <v>7703251</v>
      </c>
      <c r="B1965" s="26" t="s">
        <v>9852</v>
      </c>
    </row>
    <row r="1966" spans="1:2" x14ac:dyDescent="0.25">
      <c r="A1966" s="28">
        <v>7703252</v>
      </c>
      <c r="B1966" s="26" t="s">
        <v>9856</v>
      </c>
    </row>
    <row r="1967" spans="1:2" x14ac:dyDescent="0.25">
      <c r="A1967" s="28">
        <v>7703253</v>
      </c>
      <c r="B1967" s="26" t="s">
        <v>9854</v>
      </c>
    </row>
    <row r="1968" spans="1:2" x14ac:dyDescent="0.25">
      <c r="A1968" s="28">
        <v>7703254</v>
      </c>
      <c r="B1968" s="26" t="s">
        <v>9855</v>
      </c>
    </row>
    <row r="1969" spans="1:2" x14ac:dyDescent="0.25">
      <c r="A1969" s="28">
        <v>7703255</v>
      </c>
      <c r="B1969" s="26" t="s">
        <v>9858</v>
      </c>
    </row>
    <row r="1970" spans="1:2" x14ac:dyDescent="0.25">
      <c r="A1970" s="28">
        <v>7703256</v>
      </c>
      <c r="B1970" s="26" t="s">
        <v>9857</v>
      </c>
    </row>
    <row r="1971" spans="1:2" x14ac:dyDescent="0.25">
      <c r="A1971" s="28">
        <v>7703260</v>
      </c>
      <c r="B1971" s="26" t="s">
        <v>9828</v>
      </c>
    </row>
    <row r="1972" spans="1:2" x14ac:dyDescent="0.25">
      <c r="A1972" s="28">
        <v>7703340</v>
      </c>
      <c r="B1972" s="26" t="s">
        <v>9829</v>
      </c>
    </row>
    <row r="1973" spans="1:2" x14ac:dyDescent="0.25">
      <c r="A1973" s="28">
        <v>7703341</v>
      </c>
      <c r="B1973" s="26" t="s">
        <v>9835</v>
      </c>
    </row>
    <row r="1974" spans="1:2" x14ac:dyDescent="0.25">
      <c r="A1974" s="28">
        <v>7703420</v>
      </c>
      <c r="B1974" s="26" t="s">
        <v>9830</v>
      </c>
    </row>
    <row r="1975" spans="1:2" x14ac:dyDescent="0.25">
      <c r="A1975" s="28">
        <v>7703540</v>
      </c>
      <c r="B1975" s="26" t="s">
        <v>9834</v>
      </c>
    </row>
    <row r="1976" spans="1:2" x14ac:dyDescent="0.25">
      <c r="A1976" s="28">
        <v>7703599</v>
      </c>
      <c r="B1976" s="26" t="s">
        <v>9859</v>
      </c>
    </row>
    <row r="1977" spans="1:2" x14ac:dyDescent="0.25">
      <c r="A1977" s="28">
        <v>7703600</v>
      </c>
      <c r="B1977" s="26" t="s">
        <v>9860</v>
      </c>
    </row>
    <row r="1978" spans="1:2" x14ac:dyDescent="0.25">
      <c r="A1978" s="28">
        <v>7703601</v>
      </c>
      <c r="B1978" s="26" t="s">
        <v>9843</v>
      </c>
    </row>
    <row r="1979" spans="1:2" x14ac:dyDescent="0.25">
      <c r="A1979" s="28">
        <v>7703602</v>
      </c>
      <c r="B1979" s="26" t="s">
        <v>9844</v>
      </c>
    </row>
    <row r="1980" spans="1:2" x14ac:dyDescent="0.25">
      <c r="A1980" s="28">
        <v>7703603</v>
      </c>
      <c r="B1980" s="26" t="s">
        <v>9845</v>
      </c>
    </row>
    <row r="1981" spans="1:2" x14ac:dyDescent="0.25">
      <c r="A1981" s="28">
        <v>7703604</v>
      </c>
      <c r="B1981" s="26" t="s">
        <v>9846</v>
      </c>
    </row>
    <row r="1982" spans="1:2" x14ac:dyDescent="0.25">
      <c r="A1982" s="28">
        <v>7703605</v>
      </c>
      <c r="B1982" s="26" t="s">
        <v>9847</v>
      </c>
    </row>
    <row r="1983" spans="1:2" x14ac:dyDescent="0.25">
      <c r="A1983" s="28">
        <v>7703606</v>
      </c>
      <c r="B1983" s="26" t="s">
        <v>9848</v>
      </c>
    </row>
    <row r="1984" spans="1:2" x14ac:dyDescent="0.25">
      <c r="A1984" s="28">
        <v>7703607</v>
      </c>
      <c r="B1984" s="26" t="s">
        <v>9842</v>
      </c>
    </row>
    <row r="1985" spans="1:2" x14ac:dyDescent="0.25">
      <c r="A1985" s="28">
        <v>7703640</v>
      </c>
      <c r="B1985" s="26" t="s">
        <v>9826</v>
      </c>
    </row>
    <row r="1986" spans="1:2" x14ac:dyDescent="0.25">
      <c r="A1986" s="28">
        <v>7703651</v>
      </c>
      <c r="B1986" s="26" t="s">
        <v>11440</v>
      </c>
    </row>
    <row r="1987" spans="1:2" x14ac:dyDescent="0.25">
      <c r="A1987" s="28">
        <v>7703652</v>
      </c>
      <c r="B1987" s="26" t="s">
        <v>11441</v>
      </c>
    </row>
    <row r="1988" spans="1:2" x14ac:dyDescent="0.25">
      <c r="A1988" s="28">
        <v>7703653</v>
      </c>
      <c r="B1988" s="26" t="s">
        <v>11442</v>
      </c>
    </row>
    <row r="1989" spans="1:2" x14ac:dyDescent="0.25">
      <c r="A1989" s="28">
        <v>7703660</v>
      </c>
      <c r="B1989" s="26" t="s">
        <v>9809</v>
      </c>
    </row>
    <row r="1990" spans="1:2" x14ac:dyDescent="0.25">
      <c r="A1990" s="28">
        <v>7703664</v>
      </c>
      <c r="B1990" s="26" t="s">
        <v>9810</v>
      </c>
    </row>
    <row r="1991" spans="1:2" x14ac:dyDescent="0.25">
      <c r="A1991" s="28">
        <v>7703665</v>
      </c>
      <c r="B1991" s="26" t="s">
        <v>9811</v>
      </c>
    </row>
    <row r="1992" spans="1:2" x14ac:dyDescent="0.25">
      <c r="A1992" s="28">
        <v>7703666</v>
      </c>
      <c r="B1992" s="26" t="s">
        <v>9812</v>
      </c>
    </row>
    <row r="1993" spans="1:2" x14ac:dyDescent="0.25">
      <c r="A1993" s="28">
        <v>7703667</v>
      </c>
      <c r="B1993" s="26" t="s">
        <v>9813</v>
      </c>
    </row>
    <row r="1994" spans="1:2" x14ac:dyDescent="0.25">
      <c r="A1994" s="28">
        <v>7703668</v>
      </c>
      <c r="B1994" s="26" t="s">
        <v>9814</v>
      </c>
    </row>
    <row r="1995" spans="1:2" x14ac:dyDescent="0.25">
      <c r="A1995" s="28">
        <v>7703669</v>
      </c>
      <c r="B1995" s="26" t="s">
        <v>9815</v>
      </c>
    </row>
    <row r="1996" spans="1:2" x14ac:dyDescent="0.25">
      <c r="A1996" s="28">
        <v>7703670</v>
      </c>
      <c r="B1996" s="26" t="s">
        <v>9824</v>
      </c>
    </row>
    <row r="1997" spans="1:2" x14ac:dyDescent="0.25">
      <c r="A1997" s="28">
        <v>7703671</v>
      </c>
      <c r="B1997" s="26" t="s">
        <v>11443</v>
      </c>
    </row>
    <row r="1998" spans="1:2" x14ac:dyDescent="0.25">
      <c r="A1998" s="28">
        <v>7703672</v>
      </c>
      <c r="B1998" s="26" t="s">
        <v>9823</v>
      </c>
    </row>
    <row r="1999" spans="1:2" x14ac:dyDescent="0.25">
      <c r="A1999" s="28">
        <v>7703673</v>
      </c>
      <c r="B1999" s="26" t="s">
        <v>9833</v>
      </c>
    </row>
    <row r="2000" spans="1:2" x14ac:dyDescent="0.25">
      <c r="A2000" s="28">
        <v>7703674</v>
      </c>
      <c r="B2000" s="26" t="s">
        <v>9832</v>
      </c>
    </row>
    <row r="2001" spans="1:2" x14ac:dyDescent="0.25">
      <c r="A2001" s="28">
        <v>7703675</v>
      </c>
      <c r="B2001" s="26" t="s">
        <v>9831</v>
      </c>
    </row>
    <row r="2002" spans="1:2" x14ac:dyDescent="0.25">
      <c r="A2002" s="28">
        <v>7703676</v>
      </c>
      <c r="B2002" s="26" t="s">
        <v>9837</v>
      </c>
    </row>
    <row r="2003" spans="1:2" x14ac:dyDescent="0.25">
      <c r="A2003" s="28">
        <v>7703678</v>
      </c>
      <c r="B2003" s="26" t="s">
        <v>9836</v>
      </c>
    </row>
    <row r="2004" spans="1:2" x14ac:dyDescent="0.25">
      <c r="A2004" s="28">
        <v>7703701</v>
      </c>
      <c r="B2004" s="26" t="s">
        <v>9817</v>
      </c>
    </row>
    <row r="2005" spans="1:2" x14ac:dyDescent="0.25">
      <c r="A2005" s="28">
        <v>7703702</v>
      </c>
      <c r="B2005" s="26" t="s">
        <v>9816</v>
      </c>
    </row>
    <row r="2006" spans="1:2" x14ac:dyDescent="0.25">
      <c r="A2006" s="28">
        <v>7703703</v>
      </c>
      <c r="B2006" s="26" t="s">
        <v>9820</v>
      </c>
    </row>
    <row r="2007" spans="1:2" x14ac:dyDescent="0.25">
      <c r="A2007" s="28">
        <v>7703704</v>
      </c>
      <c r="B2007" s="26" t="s">
        <v>9818</v>
      </c>
    </row>
    <row r="2008" spans="1:2" x14ac:dyDescent="0.25">
      <c r="A2008" s="28">
        <v>7703705</v>
      </c>
      <c r="B2008" s="26" t="s">
        <v>9819</v>
      </c>
    </row>
    <row r="2009" spans="1:2" x14ac:dyDescent="0.25">
      <c r="A2009" s="28">
        <v>7703706</v>
      </c>
      <c r="B2009" s="26" t="s">
        <v>9822</v>
      </c>
    </row>
    <row r="2010" spans="1:2" x14ac:dyDescent="0.25">
      <c r="A2010" s="28">
        <v>7703707</v>
      </c>
      <c r="B2010" s="26" t="s">
        <v>9821</v>
      </c>
    </row>
    <row r="2011" spans="1:2" x14ac:dyDescent="0.25">
      <c r="A2011" s="28">
        <v>7703713</v>
      </c>
      <c r="B2011" s="26" t="s">
        <v>11444</v>
      </c>
    </row>
    <row r="2012" spans="1:2" x14ac:dyDescent="0.25">
      <c r="A2012" s="28">
        <v>7703716</v>
      </c>
      <c r="B2012" s="26" t="s">
        <v>9869</v>
      </c>
    </row>
    <row r="2013" spans="1:2" x14ac:dyDescent="0.25">
      <c r="A2013" s="28">
        <v>7703777</v>
      </c>
      <c r="B2013" s="26" t="s">
        <v>9803</v>
      </c>
    </row>
    <row r="2014" spans="1:2" x14ac:dyDescent="0.25">
      <c r="A2014" s="28">
        <v>7703780</v>
      </c>
      <c r="B2014" s="26" t="s">
        <v>9827</v>
      </c>
    </row>
    <row r="2015" spans="1:2" x14ac:dyDescent="0.25">
      <c r="A2015" s="28">
        <v>7703815</v>
      </c>
      <c r="B2015" s="26" t="s">
        <v>9805</v>
      </c>
    </row>
    <row r="2016" spans="1:2" x14ac:dyDescent="0.25">
      <c r="A2016" s="28">
        <v>7703881</v>
      </c>
      <c r="B2016" s="26" t="s">
        <v>9806</v>
      </c>
    </row>
    <row r="2017" spans="1:2" x14ac:dyDescent="0.25">
      <c r="A2017" s="28">
        <v>7703888</v>
      </c>
      <c r="B2017" s="26" t="s">
        <v>9801</v>
      </c>
    </row>
    <row r="2018" spans="1:2" x14ac:dyDescent="0.25">
      <c r="A2018" s="28">
        <v>7703900</v>
      </c>
      <c r="B2018" s="26" t="s">
        <v>9851</v>
      </c>
    </row>
    <row r="2019" spans="1:2" x14ac:dyDescent="0.25">
      <c r="A2019" s="28">
        <v>7703901</v>
      </c>
      <c r="B2019" s="26" t="s">
        <v>9791</v>
      </c>
    </row>
    <row r="2020" spans="1:2" x14ac:dyDescent="0.25">
      <c r="A2020" s="28">
        <v>7703902</v>
      </c>
      <c r="B2020" s="26" t="s">
        <v>9792</v>
      </c>
    </row>
    <row r="2021" spans="1:2" x14ac:dyDescent="0.25">
      <c r="A2021" s="28">
        <v>7703903</v>
      </c>
      <c r="B2021" s="26" t="s">
        <v>9790</v>
      </c>
    </row>
    <row r="2022" spans="1:2" x14ac:dyDescent="0.25">
      <c r="A2022" s="28">
        <v>7703910</v>
      </c>
      <c r="B2022" s="26" t="s">
        <v>11445</v>
      </c>
    </row>
    <row r="2023" spans="1:2" x14ac:dyDescent="0.25">
      <c r="A2023" s="28">
        <v>7703915</v>
      </c>
      <c r="B2023" s="26" t="s">
        <v>9870</v>
      </c>
    </row>
    <row r="2024" spans="1:2" x14ac:dyDescent="0.25">
      <c r="A2024" s="28">
        <v>7703916</v>
      </c>
      <c r="B2024" s="26" t="s">
        <v>11446</v>
      </c>
    </row>
    <row r="2025" spans="1:2" x14ac:dyDescent="0.25">
      <c r="A2025" s="28">
        <v>7703918</v>
      </c>
      <c r="B2025" s="26" t="s">
        <v>11447</v>
      </c>
    </row>
    <row r="2026" spans="1:2" x14ac:dyDescent="0.25">
      <c r="A2026" s="28">
        <v>7703920</v>
      </c>
      <c r="B2026" s="26" t="s">
        <v>9825</v>
      </c>
    </row>
    <row r="2027" spans="1:2" x14ac:dyDescent="0.25">
      <c r="A2027" s="28">
        <v>7703951</v>
      </c>
      <c r="B2027" s="26" t="s">
        <v>9800</v>
      </c>
    </row>
    <row r="2028" spans="1:2" x14ac:dyDescent="0.25">
      <c r="A2028" s="28">
        <v>7703987</v>
      </c>
      <c r="B2028" s="26" t="s">
        <v>11448</v>
      </c>
    </row>
    <row r="2029" spans="1:2" x14ac:dyDescent="0.25">
      <c r="A2029" s="28">
        <v>7703994</v>
      </c>
      <c r="B2029" s="26" t="s">
        <v>9799</v>
      </c>
    </row>
    <row r="2030" spans="1:2" x14ac:dyDescent="0.25">
      <c r="A2030" s="28">
        <v>7703999</v>
      </c>
      <c r="B2030" s="26" t="s">
        <v>9802</v>
      </c>
    </row>
    <row r="2031" spans="1:2" x14ac:dyDescent="0.25">
      <c r="A2031" s="26" t="s">
        <v>12764</v>
      </c>
      <c r="B2031" s="27"/>
    </row>
    <row r="2032" spans="1:2" x14ac:dyDescent="0.25">
      <c r="A2032" s="28">
        <v>7707000</v>
      </c>
      <c r="B2032" s="26" t="s">
        <v>11449</v>
      </c>
    </row>
    <row r="2033" spans="1:2" x14ac:dyDescent="0.25">
      <c r="A2033" s="28">
        <v>7707001</v>
      </c>
      <c r="B2033" s="26" t="s">
        <v>10161</v>
      </c>
    </row>
    <row r="2034" spans="1:2" x14ac:dyDescent="0.25">
      <c r="A2034" s="28">
        <v>7707002</v>
      </c>
      <c r="B2034" s="26" t="s">
        <v>10135</v>
      </c>
    </row>
    <row r="2035" spans="1:2" x14ac:dyDescent="0.25">
      <c r="A2035" s="28">
        <v>7707003</v>
      </c>
      <c r="B2035" s="26" t="s">
        <v>10162</v>
      </c>
    </row>
    <row r="2036" spans="1:2" x14ac:dyDescent="0.25">
      <c r="A2036" s="28">
        <v>7707004</v>
      </c>
      <c r="B2036" s="26" t="s">
        <v>11450</v>
      </c>
    </row>
    <row r="2037" spans="1:2" x14ac:dyDescent="0.25">
      <c r="A2037" s="28">
        <v>7707005</v>
      </c>
      <c r="B2037" s="26" t="s">
        <v>11451</v>
      </c>
    </row>
    <row r="2038" spans="1:2" x14ac:dyDescent="0.25">
      <c r="A2038" s="28">
        <v>7707006</v>
      </c>
      <c r="B2038" s="26" t="s">
        <v>11452</v>
      </c>
    </row>
    <row r="2039" spans="1:2" x14ac:dyDescent="0.25">
      <c r="A2039" s="28">
        <v>7707007</v>
      </c>
      <c r="B2039" s="26" t="s">
        <v>11453</v>
      </c>
    </row>
    <row r="2040" spans="1:2" x14ac:dyDescent="0.25">
      <c r="A2040" s="28">
        <v>7707008</v>
      </c>
      <c r="B2040" s="26" t="s">
        <v>13207</v>
      </c>
    </row>
    <row r="2041" spans="1:2" x14ac:dyDescent="0.25">
      <c r="A2041" s="28">
        <v>7707009</v>
      </c>
      <c r="B2041" s="26" t="s">
        <v>11454</v>
      </c>
    </row>
    <row r="2042" spans="1:2" x14ac:dyDescent="0.25">
      <c r="A2042" s="28">
        <v>7707010</v>
      </c>
      <c r="B2042" s="26" t="s">
        <v>10104</v>
      </c>
    </row>
    <row r="2043" spans="1:2" x14ac:dyDescent="0.25">
      <c r="A2043" s="28">
        <v>7707011</v>
      </c>
      <c r="B2043" s="26" t="s">
        <v>10105</v>
      </c>
    </row>
    <row r="2044" spans="1:2" x14ac:dyDescent="0.25">
      <c r="A2044" s="28">
        <v>7707012</v>
      </c>
      <c r="B2044" s="26" t="s">
        <v>11455</v>
      </c>
    </row>
    <row r="2045" spans="1:2" x14ac:dyDescent="0.25">
      <c r="A2045" s="28">
        <v>7707013</v>
      </c>
      <c r="B2045" s="26" t="s">
        <v>10136</v>
      </c>
    </row>
    <row r="2046" spans="1:2" x14ac:dyDescent="0.25">
      <c r="A2046" s="28">
        <v>7707014</v>
      </c>
      <c r="B2046" s="26" t="s">
        <v>11456</v>
      </c>
    </row>
    <row r="2047" spans="1:2" x14ac:dyDescent="0.25">
      <c r="A2047" s="28">
        <v>7707015</v>
      </c>
      <c r="B2047" s="26" t="s">
        <v>11457</v>
      </c>
    </row>
    <row r="2048" spans="1:2" x14ac:dyDescent="0.25">
      <c r="A2048" s="28">
        <v>7707016</v>
      </c>
      <c r="B2048" s="26" t="s">
        <v>11458</v>
      </c>
    </row>
    <row r="2049" spans="1:2" x14ac:dyDescent="0.25">
      <c r="A2049" s="28">
        <v>7707017</v>
      </c>
      <c r="B2049" s="26" t="s">
        <v>9752</v>
      </c>
    </row>
    <row r="2050" spans="1:2" x14ac:dyDescent="0.25">
      <c r="A2050" s="28">
        <v>7707018</v>
      </c>
      <c r="B2050" s="26" t="s">
        <v>11459</v>
      </c>
    </row>
    <row r="2051" spans="1:2" x14ac:dyDescent="0.25">
      <c r="A2051" s="28">
        <v>7707019</v>
      </c>
      <c r="B2051" s="26" t="s">
        <v>11460</v>
      </c>
    </row>
    <row r="2052" spans="1:2" x14ac:dyDescent="0.25">
      <c r="A2052" s="28">
        <v>7707020</v>
      </c>
      <c r="B2052" s="26" t="s">
        <v>11461</v>
      </c>
    </row>
    <row r="2053" spans="1:2" x14ac:dyDescent="0.25">
      <c r="A2053" s="28">
        <v>7707021</v>
      </c>
      <c r="B2053" s="26" t="s">
        <v>11462</v>
      </c>
    </row>
    <row r="2054" spans="1:2" x14ac:dyDescent="0.25">
      <c r="A2054" s="28">
        <v>7707022</v>
      </c>
      <c r="B2054" s="26" t="s">
        <v>10131</v>
      </c>
    </row>
    <row r="2055" spans="1:2" x14ac:dyDescent="0.25">
      <c r="A2055" s="28">
        <v>7707023</v>
      </c>
      <c r="B2055" s="26" t="s">
        <v>10130</v>
      </c>
    </row>
    <row r="2056" spans="1:2" x14ac:dyDescent="0.25">
      <c r="A2056" s="28">
        <v>7707024</v>
      </c>
      <c r="B2056" s="26" t="s">
        <v>12765</v>
      </c>
    </row>
    <row r="2057" spans="1:2" x14ac:dyDescent="0.25">
      <c r="A2057" s="28">
        <v>7707025</v>
      </c>
      <c r="B2057" s="26" t="s">
        <v>10096</v>
      </c>
    </row>
    <row r="2058" spans="1:2" x14ac:dyDescent="0.25">
      <c r="A2058" s="28">
        <v>7707026</v>
      </c>
      <c r="B2058" s="26" t="s">
        <v>10098</v>
      </c>
    </row>
    <row r="2059" spans="1:2" x14ac:dyDescent="0.25">
      <c r="A2059" s="28">
        <v>7707027</v>
      </c>
      <c r="B2059" s="26" t="s">
        <v>10097</v>
      </c>
    </row>
    <row r="2060" spans="1:2" x14ac:dyDescent="0.25">
      <c r="A2060" s="28">
        <v>7707028</v>
      </c>
      <c r="B2060" s="26" t="s">
        <v>12766</v>
      </c>
    </row>
    <row r="2061" spans="1:2" x14ac:dyDescent="0.25">
      <c r="A2061" s="28">
        <v>7707051</v>
      </c>
      <c r="B2061" s="26" t="s">
        <v>10802</v>
      </c>
    </row>
    <row r="2062" spans="1:2" x14ac:dyDescent="0.25">
      <c r="A2062" s="28">
        <v>7707060</v>
      </c>
      <c r="B2062" s="26" t="s">
        <v>11463</v>
      </c>
    </row>
    <row r="2063" spans="1:2" x14ac:dyDescent="0.25">
      <c r="A2063" s="28">
        <v>7707061</v>
      </c>
      <c r="B2063" s="26" t="s">
        <v>11464</v>
      </c>
    </row>
    <row r="2064" spans="1:2" x14ac:dyDescent="0.25">
      <c r="A2064" s="28">
        <v>7707070</v>
      </c>
      <c r="B2064" s="26" t="s">
        <v>10165</v>
      </c>
    </row>
    <row r="2065" spans="1:2" x14ac:dyDescent="0.25">
      <c r="A2065" s="28">
        <v>7707071</v>
      </c>
      <c r="B2065" s="26" t="s">
        <v>10166</v>
      </c>
    </row>
    <row r="2066" spans="1:2" x14ac:dyDescent="0.25">
      <c r="A2066" s="28">
        <v>7707074</v>
      </c>
      <c r="B2066" s="26" t="s">
        <v>11465</v>
      </c>
    </row>
    <row r="2067" spans="1:2" x14ac:dyDescent="0.25">
      <c r="A2067" s="28">
        <v>7707079</v>
      </c>
      <c r="B2067" s="26" t="s">
        <v>11466</v>
      </c>
    </row>
    <row r="2068" spans="1:2" x14ac:dyDescent="0.25">
      <c r="A2068" s="28">
        <v>7707081</v>
      </c>
      <c r="B2068" s="26" t="s">
        <v>11467</v>
      </c>
    </row>
    <row r="2069" spans="1:2" x14ac:dyDescent="0.25">
      <c r="A2069" s="28">
        <v>7707100</v>
      </c>
      <c r="B2069" s="26" t="s">
        <v>10129</v>
      </c>
    </row>
    <row r="2070" spans="1:2" x14ac:dyDescent="0.25">
      <c r="A2070" s="28">
        <v>7707105</v>
      </c>
      <c r="B2070" s="26" t="s">
        <v>9562</v>
      </c>
    </row>
    <row r="2071" spans="1:2" x14ac:dyDescent="0.25">
      <c r="A2071" s="28">
        <v>7707110</v>
      </c>
      <c r="B2071" s="26" t="s">
        <v>11468</v>
      </c>
    </row>
    <row r="2072" spans="1:2" x14ac:dyDescent="0.25">
      <c r="A2072" s="28">
        <v>7707113</v>
      </c>
      <c r="B2072" s="26" t="s">
        <v>10147</v>
      </c>
    </row>
    <row r="2073" spans="1:2" x14ac:dyDescent="0.25">
      <c r="A2073" s="28">
        <v>7707115</v>
      </c>
      <c r="B2073" s="26" t="s">
        <v>10148</v>
      </c>
    </row>
    <row r="2074" spans="1:2" x14ac:dyDescent="0.25">
      <c r="A2074" s="28">
        <v>7707116</v>
      </c>
      <c r="B2074" s="26" t="s">
        <v>11469</v>
      </c>
    </row>
    <row r="2075" spans="1:2" x14ac:dyDescent="0.25">
      <c r="A2075" s="28">
        <v>7707120</v>
      </c>
      <c r="B2075" s="26" t="s">
        <v>10124</v>
      </c>
    </row>
    <row r="2076" spans="1:2" x14ac:dyDescent="0.25">
      <c r="A2076" s="28">
        <v>7707122</v>
      </c>
      <c r="B2076" s="26" t="s">
        <v>10123</v>
      </c>
    </row>
    <row r="2077" spans="1:2" x14ac:dyDescent="0.25">
      <c r="A2077" s="28">
        <v>7707136</v>
      </c>
      <c r="B2077" s="26" t="s">
        <v>8405</v>
      </c>
    </row>
    <row r="2078" spans="1:2" x14ac:dyDescent="0.25">
      <c r="A2078" s="28">
        <v>7707139</v>
      </c>
      <c r="B2078" s="26" t="s">
        <v>10114</v>
      </c>
    </row>
    <row r="2079" spans="1:2" x14ac:dyDescent="0.25">
      <c r="A2079" s="28">
        <v>7707154</v>
      </c>
      <c r="B2079" s="26" t="s">
        <v>10143</v>
      </c>
    </row>
    <row r="2080" spans="1:2" x14ac:dyDescent="0.25">
      <c r="A2080" s="28">
        <v>7707159</v>
      </c>
      <c r="B2080" s="26" t="s">
        <v>8402</v>
      </c>
    </row>
    <row r="2081" spans="1:2" x14ac:dyDescent="0.25">
      <c r="A2081" s="28">
        <v>7707160</v>
      </c>
      <c r="B2081" s="26" t="s">
        <v>10138</v>
      </c>
    </row>
    <row r="2082" spans="1:2" x14ac:dyDescent="0.25">
      <c r="A2082" s="28">
        <v>7707161</v>
      </c>
      <c r="B2082" s="26" t="s">
        <v>10139</v>
      </c>
    </row>
    <row r="2083" spans="1:2" x14ac:dyDescent="0.25">
      <c r="A2083" s="28">
        <v>7707170</v>
      </c>
      <c r="B2083" s="26" t="s">
        <v>10118</v>
      </c>
    </row>
    <row r="2084" spans="1:2" x14ac:dyDescent="0.25">
      <c r="A2084" s="28">
        <v>7707200</v>
      </c>
      <c r="B2084" s="26" t="s">
        <v>10092</v>
      </c>
    </row>
    <row r="2085" spans="1:2" x14ac:dyDescent="0.25">
      <c r="A2085" s="28">
        <v>7707220</v>
      </c>
      <c r="B2085" s="26" t="s">
        <v>10057</v>
      </c>
    </row>
    <row r="2086" spans="1:2" x14ac:dyDescent="0.25">
      <c r="A2086" s="28">
        <v>7707222</v>
      </c>
      <c r="B2086" s="26" t="s">
        <v>11470</v>
      </c>
    </row>
    <row r="2087" spans="1:2" x14ac:dyDescent="0.25">
      <c r="A2087" s="28">
        <v>7707223</v>
      </c>
      <c r="B2087" s="26" t="s">
        <v>10167</v>
      </c>
    </row>
    <row r="2088" spans="1:2" x14ac:dyDescent="0.25">
      <c r="A2088" s="28">
        <v>7707226</v>
      </c>
      <c r="B2088" s="26" t="s">
        <v>11471</v>
      </c>
    </row>
    <row r="2089" spans="1:2" x14ac:dyDescent="0.25">
      <c r="A2089" s="28">
        <v>7707235</v>
      </c>
      <c r="B2089" s="26" t="s">
        <v>10056</v>
      </c>
    </row>
    <row r="2090" spans="1:2" x14ac:dyDescent="0.25">
      <c r="A2090" s="28">
        <v>7707236</v>
      </c>
      <c r="B2090" s="26" t="s">
        <v>11472</v>
      </c>
    </row>
    <row r="2091" spans="1:2" x14ac:dyDescent="0.25">
      <c r="A2091" s="28">
        <v>7707237</v>
      </c>
      <c r="B2091" s="26" t="s">
        <v>10077</v>
      </c>
    </row>
    <row r="2092" spans="1:2" x14ac:dyDescent="0.25">
      <c r="A2092" s="28">
        <v>7707246</v>
      </c>
      <c r="B2092" s="26" t="s">
        <v>10137</v>
      </c>
    </row>
    <row r="2093" spans="1:2" x14ac:dyDescent="0.25">
      <c r="A2093" s="28">
        <v>7707260</v>
      </c>
      <c r="B2093" s="26" t="s">
        <v>10153</v>
      </c>
    </row>
    <row r="2094" spans="1:2" x14ac:dyDescent="0.25">
      <c r="A2094" s="28">
        <v>7707266</v>
      </c>
      <c r="B2094" s="26" t="s">
        <v>10476</v>
      </c>
    </row>
    <row r="2095" spans="1:2" x14ac:dyDescent="0.25">
      <c r="A2095" s="28">
        <v>7707267</v>
      </c>
      <c r="B2095" s="26" t="s">
        <v>11473</v>
      </c>
    </row>
    <row r="2096" spans="1:2" x14ac:dyDescent="0.25">
      <c r="A2096" s="28">
        <v>7707273</v>
      </c>
      <c r="B2096" s="26" t="s">
        <v>10073</v>
      </c>
    </row>
    <row r="2097" spans="1:2" x14ac:dyDescent="0.25">
      <c r="A2097" s="28">
        <v>7707274</v>
      </c>
      <c r="B2097" s="26" t="s">
        <v>10071</v>
      </c>
    </row>
    <row r="2098" spans="1:2" x14ac:dyDescent="0.25">
      <c r="A2098" s="28">
        <v>7707275</v>
      </c>
      <c r="B2098" s="26" t="s">
        <v>10070</v>
      </c>
    </row>
    <row r="2099" spans="1:2" x14ac:dyDescent="0.25">
      <c r="A2099" s="28">
        <v>7707276</v>
      </c>
      <c r="B2099" s="26" t="s">
        <v>10069</v>
      </c>
    </row>
    <row r="2100" spans="1:2" x14ac:dyDescent="0.25">
      <c r="A2100" s="28">
        <v>7707277</v>
      </c>
      <c r="B2100" s="26" t="s">
        <v>10068</v>
      </c>
    </row>
    <row r="2101" spans="1:2" x14ac:dyDescent="0.25">
      <c r="A2101" s="28">
        <v>7707278</v>
      </c>
      <c r="B2101" s="26" t="s">
        <v>10072</v>
      </c>
    </row>
    <row r="2102" spans="1:2" x14ac:dyDescent="0.25">
      <c r="A2102" s="28">
        <v>7707279</v>
      </c>
      <c r="B2102" s="26" t="s">
        <v>10059</v>
      </c>
    </row>
    <row r="2103" spans="1:2" x14ac:dyDescent="0.25">
      <c r="A2103" s="28">
        <v>7707280</v>
      </c>
      <c r="B2103" s="26" t="s">
        <v>11474</v>
      </c>
    </row>
    <row r="2104" spans="1:2" x14ac:dyDescent="0.25">
      <c r="A2104" s="28">
        <v>7707281</v>
      </c>
      <c r="B2104" s="26" t="s">
        <v>10089</v>
      </c>
    </row>
    <row r="2105" spans="1:2" x14ac:dyDescent="0.25">
      <c r="A2105" s="28">
        <v>7707282</v>
      </c>
      <c r="B2105" s="26" t="s">
        <v>10060</v>
      </c>
    </row>
    <row r="2106" spans="1:2" x14ac:dyDescent="0.25">
      <c r="A2106" s="28">
        <v>7707283</v>
      </c>
      <c r="B2106" s="26" t="s">
        <v>11475</v>
      </c>
    </row>
    <row r="2107" spans="1:2" x14ac:dyDescent="0.25">
      <c r="A2107" s="28">
        <v>7707284</v>
      </c>
      <c r="B2107" s="26" t="s">
        <v>10064</v>
      </c>
    </row>
    <row r="2108" spans="1:2" x14ac:dyDescent="0.25">
      <c r="A2108" s="28">
        <v>7707285</v>
      </c>
      <c r="B2108" s="26" t="s">
        <v>10066</v>
      </c>
    </row>
    <row r="2109" spans="1:2" x14ac:dyDescent="0.25">
      <c r="A2109" s="28">
        <v>7707288</v>
      </c>
      <c r="B2109" s="26" t="s">
        <v>10062</v>
      </c>
    </row>
    <row r="2110" spans="1:2" x14ac:dyDescent="0.25">
      <c r="A2110" s="28">
        <v>7707289</v>
      </c>
      <c r="B2110" s="26" t="s">
        <v>10085</v>
      </c>
    </row>
    <row r="2111" spans="1:2" x14ac:dyDescent="0.25">
      <c r="A2111" s="28">
        <v>7707290</v>
      </c>
      <c r="B2111" s="26" t="s">
        <v>10079</v>
      </c>
    </row>
    <row r="2112" spans="1:2" x14ac:dyDescent="0.25">
      <c r="A2112" s="28">
        <v>7707291</v>
      </c>
      <c r="B2112" s="26" t="s">
        <v>11476</v>
      </c>
    </row>
    <row r="2113" spans="1:2" x14ac:dyDescent="0.25">
      <c r="A2113" s="28">
        <v>7707292</v>
      </c>
      <c r="B2113" s="26" t="s">
        <v>10080</v>
      </c>
    </row>
    <row r="2114" spans="1:2" x14ac:dyDescent="0.25">
      <c r="A2114" s="28">
        <v>7707293</v>
      </c>
      <c r="B2114" s="26" t="s">
        <v>11477</v>
      </c>
    </row>
    <row r="2115" spans="1:2" x14ac:dyDescent="0.25">
      <c r="A2115" s="28">
        <v>7707294</v>
      </c>
      <c r="B2115" s="26" t="s">
        <v>10090</v>
      </c>
    </row>
    <row r="2116" spans="1:2" x14ac:dyDescent="0.25">
      <c r="A2116" s="28">
        <v>7707298</v>
      </c>
      <c r="B2116" s="26" t="s">
        <v>10109</v>
      </c>
    </row>
    <row r="2117" spans="1:2" x14ac:dyDescent="0.25">
      <c r="A2117" s="28">
        <v>7707299</v>
      </c>
      <c r="B2117" s="26" t="s">
        <v>10112</v>
      </c>
    </row>
    <row r="2118" spans="1:2" x14ac:dyDescent="0.25">
      <c r="A2118" s="28">
        <v>7707318</v>
      </c>
      <c r="B2118" s="26" t="s">
        <v>10107</v>
      </c>
    </row>
    <row r="2119" spans="1:2" x14ac:dyDescent="0.25">
      <c r="A2119" s="28">
        <v>7707319</v>
      </c>
      <c r="B2119" s="26" t="s">
        <v>10107</v>
      </c>
    </row>
    <row r="2120" spans="1:2" x14ac:dyDescent="0.25">
      <c r="A2120" s="28">
        <v>7707320</v>
      </c>
      <c r="B2120" s="26" t="s">
        <v>10111</v>
      </c>
    </row>
    <row r="2121" spans="1:2" x14ac:dyDescent="0.25">
      <c r="A2121" s="28">
        <v>7707321</v>
      </c>
      <c r="B2121" s="26" t="s">
        <v>10110</v>
      </c>
    </row>
    <row r="2122" spans="1:2" x14ac:dyDescent="0.25">
      <c r="A2122" s="28">
        <v>7707322</v>
      </c>
      <c r="B2122" s="26" t="s">
        <v>10116</v>
      </c>
    </row>
    <row r="2123" spans="1:2" x14ac:dyDescent="0.25">
      <c r="A2123" s="28">
        <v>7707324</v>
      </c>
      <c r="B2123" s="26" t="s">
        <v>10117</v>
      </c>
    </row>
    <row r="2124" spans="1:2" x14ac:dyDescent="0.25">
      <c r="A2124" s="28">
        <v>7707325</v>
      </c>
      <c r="B2124" s="26" t="s">
        <v>10115</v>
      </c>
    </row>
    <row r="2125" spans="1:2" x14ac:dyDescent="0.25">
      <c r="A2125" s="28">
        <v>7707333</v>
      </c>
      <c r="B2125" s="26" t="s">
        <v>10160</v>
      </c>
    </row>
    <row r="2126" spans="1:2" x14ac:dyDescent="0.25">
      <c r="A2126" s="28">
        <v>7707342</v>
      </c>
      <c r="B2126" s="26" t="s">
        <v>13192</v>
      </c>
    </row>
    <row r="2127" spans="1:2" x14ac:dyDescent="0.25">
      <c r="A2127" s="28">
        <v>7707349</v>
      </c>
      <c r="B2127" s="26" t="s">
        <v>11478</v>
      </c>
    </row>
    <row r="2128" spans="1:2" x14ac:dyDescent="0.25">
      <c r="A2128" s="28">
        <v>7707350</v>
      </c>
      <c r="B2128" s="26" t="s">
        <v>11479</v>
      </c>
    </row>
    <row r="2129" spans="1:2" x14ac:dyDescent="0.25">
      <c r="A2129" s="28">
        <v>7707357</v>
      </c>
      <c r="B2129" s="26" t="s">
        <v>10134</v>
      </c>
    </row>
    <row r="2130" spans="1:2" x14ac:dyDescent="0.25">
      <c r="A2130" s="28">
        <v>7707360</v>
      </c>
      <c r="B2130" s="26" t="s">
        <v>13208</v>
      </c>
    </row>
    <row r="2131" spans="1:2" x14ac:dyDescent="0.25">
      <c r="A2131" s="28">
        <v>7707368</v>
      </c>
      <c r="B2131" s="26" t="s">
        <v>10122</v>
      </c>
    </row>
    <row r="2132" spans="1:2" x14ac:dyDescent="0.25">
      <c r="A2132" s="28">
        <v>7707426</v>
      </c>
      <c r="B2132" s="26" t="s">
        <v>10058</v>
      </c>
    </row>
    <row r="2133" spans="1:2" x14ac:dyDescent="0.25">
      <c r="A2133" s="28">
        <v>7707444</v>
      </c>
      <c r="B2133" s="26" t="s">
        <v>11480</v>
      </c>
    </row>
    <row r="2134" spans="1:2" x14ac:dyDescent="0.25">
      <c r="A2134" s="28">
        <v>7707450</v>
      </c>
      <c r="B2134" s="26" t="s">
        <v>10149</v>
      </c>
    </row>
    <row r="2135" spans="1:2" x14ac:dyDescent="0.25">
      <c r="A2135" s="28">
        <v>7707452</v>
      </c>
      <c r="B2135" s="26" t="s">
        <v>10157</v>
      </c>
    </row>
    <row r="2136" spans="1:2" x14ac:dyDescent="0.25">
      <c r="A2136" s="28">
        <v>7707453</v>
      </c>
      <c r="B2136" s="26" t="s">
        <v>10100</v>
      </c>
    </row>
    <row r="2137" spans="1:2" x14ac:dyDescent="0.25">
      <c r="A2137" s="28">
        <v>7707501</v>
      </c>
      <c r="B2137" s="26" t="s">
        <v>12232</v>
      </c>
    </row>
    <row r="2138" spans="1:2" x14ac:dyDescent="0.25">
      <c r="A2138" s="28">
        <v>7707502</v>
      </c>
      <c r="B2138" s="26" t="s">
        <v>10054</v>
      </c>
    </row>
    <row r="2139" spans="1:2" x14ac:dyDescent="0.25">
      <c r="A2139" s="28">
        <v>7707503</v>
      </c>
      <c r="B2139" s="26" t="s">
        <v>10067</v>
      </c>
    </row>
    <row r="2140" spans="1:2" x14ac:dyDescent="0.25">
      <c r="A2140" s="28">
        <v>7707504</v>
      </c>
      <c r="B2140" s="26" t="s">
        <v>10063</v>
      </c>
    </row>
    <row r="2141" spans="1:2" x14ac:dyDescent="0.25">
      <c r="A2141" s="28">
        <v>7707505</v>
      </c>
      <c r="B2141" s="26" t="s">
        <v>10065</v>
      </c>
    </row>
    <row r="2142" spans="1:2" x14ac:dyDescent="0.25">
      <c r="A2142" s="28">
        <v>7707508</v>
      </c>
      <c r="B2142" s="26" t="s">
        <v>10061</v>
      </c>
    </row>
    <row r="2143" spans="1:2" x14ac:dyDescent="0.25">
      <c r="A2143" s="28">
        <v>7707511</v>
      </c>
      <c r="B2143" s="26" t="s">
        <v>10076</v>
      </c>
    </row>
    <row r="2144" spans="1:2" x14ac:dyDescent="0.25">
      <c r="A2144" s="28">
        <v>7707518</v>
      </c>
      <c r="B2144" s="26" t="s">
        <v>10082</v>
      </c>
    </row>
    <row r="2145" spans="1:2" x14ac:dyDescent="0.25">
      <c r="A2145" s="28">
        <v>7707519</v>
      </c>
      <c r="B2145" s="26" t="s">
        <v>10083</v>
      </c>
    </row>
    <row r="2146" spans="1:2" x14ac:dyDescent="0.25">
      <c r="A2146" s="28">
        <v>7707521</v>
      </c>
      <c r="B2146" s="26" t="s">
        <v>10093</v>
      </c>
    </row>
    <row r="2147" spans="1:2" x14ac:dyDescent="0.25">
      <c r="A2147" s="28">
        <v>7707522</v>
      </c>
      <c r="B2147" s="26" t="s">
        <v>10095</v>
      </c>
    </row>
    <row r="2148" spans="1:2" x14ac:dyDescent="0.25">
      <c r="A2148" s="28">
        <v>7707523</v>
      </c>
      <c r="B2148" s="26" t="s">
        <v>11481</v>
      </c>
    </row>
    <row r="2149" spans="1:2" x14ac:dyDescent="0.25">
      <c r="A2149" s="28">
        <v>7707524</v>
      </c>
      <c r="B2149" s="26" t="s">
        <v>10101</v>
      </c>
    </row>
    <row r="2150" spans="1:2" x14ac:dyDescent="0.25">
      <c r="A2150" s="28">
        <v>7707525</v>
      </c>
      <c r="B2150" s="26" t="s">
        <v>11482</v>
      </c>
    </row>
    <row r="2151" spans="1:2" x14ac:dyDescent="0.25">
      <c r="A2151" s="28">
        <v>7707526</v>
      </c>
      <c r="B2151" s="26" t="s">
        <v>11483</v>
      </c>
    </row>
    <row r="2152" spans="1:2" x14ac:dyDescent="0.25">
      <c r="A2152" s="28">
        <v>7707528</v>
      </c>
      <c r="B2152" s="26" t="s">
        <v>10126</v>
      </c>
    </row>
    <row r="2153" spans="1:2" x14ac:dyDescent="0.25">
      <c r="A2153" s="28">
        <v>7707529</v>
      </c>
      <c r="B2153" s="26" t="s">
        <v>10088</v>
      </c>
    </row>
    <row r="2154" spans="1:2" x14ac:dyDescent="0.25">
      <c r="A2154" s="28">
        <v>7707532</v>
      </c>
      <c r="B2154" s="26" t="s">
        <v>10108</v>
      </c>
    </row>
    <row r="2155" spans="1:2" x14ac:dyDescent="0.25">
      <c r="A2155" s="28">
        <v>7707533</v>
      </c>
      <c r="B2155" s="26" t="s">
        <v>10106</v>
      </c>
    </row>
    <row r="2156" spans="1:2" x14ac:dyDescent="0.25">
      <c r="A2156" s="28">
        <v>7707536</v>
      </c>
      <c r="B2156" s="26" t="s">
        <v>11484</v>
      </c>
    </row>
    <row r="2157" spans="1:2" x14ac:dyDescent="0.25">
      <c r="A2157" s="28">
        <v>7707545</v>
      </c>
      <c r="B2157" s="26" t="s">
        <v>10075</v>
      </c>
    </row>
    <row r="2158" spans="1:2" x14ac:dyDescent="0.25">
      <c r="A2158" s="28">
        <v>7707547</v>
      </c>
      <c r="B2158" s="26" t="s">
        <v>10128</v>
      </c>
    </row>
    <row r="2159" spans="1:2" x14ac:dyDescent="0.25">
      <c r="A2159" s="28">
        <v>7707550</v>
      </c>
      <c r="B2159" s="26" t="s">
        <v>10113</v>
      </c>
    </row>
    <row r="2160" spans="1:2" x14ac:dyDescent="0.25">
      <c r="A2160" s="28">
        <v>7707552</v>
      </c>
      <c r="B2160" s="26" t="s">
        <v>10144</v>
      </c>
    </row>
    <row r="2161" spans="1:2" x14ac:dyDescent="0.25">
      <c r="A2161" s="28">
        <v>7707553</v>
      </c>
      <c r="B2161" s="26" t="s">
        <v>11485</v>
      </c>
    </row>
    <row r="2162" spans="1:2" x14ac:dyDescent="0.25">
      <c r="A2162" s="28">
        <v>7707555</v>
      </c>
      <c r="B2162" s="26" t="s">
        <v>11486</v>
      </c>
    </row>
    <row r="2163" spans="1:2" x14ac:dyDescent="0.25">
      <c r="A2163" s="28">
        <v>7707556</v>
      </c>
      <c r="B2163" s="26" t="s">
        <v>10140</v>
      </c>
    </row>
    <row r="2164" spans="1:2" x14ac:dyDescent="0.25">
      <c r="A2164" s="28">
        <v>7707557</v>
      </c>
      <c r="B2164" s="26" t="s">
        <v>10141</v>
      </c>
    </row>
    <row r="2165" spans="1:2" x14ac:dyDescent="0.25">
      <c r="A2165" s="28">
        <v>7707562</v>
      </c>
      <c r="B2165" s="26" t="s">
        <v>10154</v>
      </c>
    </row>
    <row r="2166" spans="1:2" x14ac:dyDescent="0.25">
      <c r="A2166" s="28">
        <v>7707563</v>
      </c>
      <c r="B2166" s="26" t="s">
        <v>10102</v>
      </c>
    </row>
    <row r="2167" spans="1:2" x14ac:dyDescent="0.25">
      <c r="A2167" s="28">
        <v>7707565</v>
      </c>
      <c r="B2167" s="26" t="s">
        <v>10150</v>
      </c>
    </row>
    <row r="2168" spans="1:2" x14ac:dyDescent="0.25">
      <c r="A2168" s="28">
        <v>7707566</v>
      </c>
      <c r="B2168" s="26" t="s">
        <v>10151</v>
      </c>
    </row>
    <row r="2169" spans="1:2" x14ac:dyDescent="0.25">
      <c r="A2169" s="28">
        <v>7707567</v>
      </c>
      <c r="B2169" s="26" t="s">
        <v>10158</v>
      </c>
    </row>
    <row r="2170" spans="1:2" x14ac:dyDescent="0.25">
      <c r="A2170" s="28">
        <v>7707568</v>
      </c>
      <c r="B2170" s="26" t="s">
        <v>10159</v>
      </c>
    </row>
    <row r="2171" spans="1:2" x14ac:dyDescent="0.25">
      <c r="A2171" s="28">
        <v>7707569</v>
      </c>
      <c r="B2171" s="26" t="s">
        <v>12767</v>
      </c>
    </row>
    <row r="2172" spans="1:2" x14ac:dyDescent="0.25">
      <c r="A2172" s="28">
        <v>7707570</v>
      </c>
      <c r="B2172" s="26" t="s">
        <v>10099</v>
      </c>
    </row>
    <row r="2173" spans="1:2" x14ac:dyDescent="0.25">
      <c r="A2173" s="28">
        <v>7707571</v>
      </c>
      <c r="B2173" s="26" t="s">
        <v>10133</v>
      </c>
    </row>
    <row r="2174" spans="1:2" x14ac:dyDescent="0.25">
      <c r="A2174" s="28">
        <v>7707572</v>
      </c>
      <c r="B2174" s="26" t="s">
        <v>10152</v>
      </c>
    </row>
    <row r="2175" spans="1:2" x14ac:dyDescent="0.25">
      <c r="A2175" s="28">
        <v>7707579</v>
      </c>
      <c r="B2175" s="26" t="s">
        <v>12768</v>
      </c>
    </row>
    <row r="2176" spans="1:2" x14ac:dyDescent="0.25">
      <c r="A2176" s="28">
        <v>7707582</v>
      </c>
      <c r="B2176" s="26" t="s">
        <v>10119</v>
      </c>
    </row>
    <row r="2177" spans="1:2" x14ac:dyDescent="0.25">
      <c r="A2177" s="28">
        <v>7707583</v>
      </c>
      <c r="B2177" s="26" t="s">
        <v>11487</v>
      </c>
    </row>
    <row r="2178" spans="1:2" x14ac:dyDescent="0.25">
      <c r="A2178" s="28">
        <v>7707584</v>
      </c>
      <c r="B2178" s="26" t="s">
        <v>11488</v>
      </c>
    </row>
    <row r="2179" spans="1:2" x14ac:dyDescent="0.25">
      <c r="A2179" s="28">
        <v>7707585</v>
      </c>
      <c r="B2179" s="26" t="s">
        <v>12233</v>
      </c>
    </row>
    <row r="2180" spans="1:2" x14ac:dyDescent="0.25">
      <c r="A2180" s="28">
        <v>7707586</v>
      </c>
      <c r="B2180" s="26" t="s">
        <v>10125</v>
      </c>
    </row>
    <row r="2181" spans="1:2" x14ac:dyDescent="0.25">
      <c r="A2181" s="28">
        <v>7707589</v>
      </c>
      <c r="B2181" s="26" t="s">
        <v>12769</v>
      </c>
    </row>
    <row r="2182" spans="1:2" x14ac:dyDescent="0.25">
      <c r="A2182" s="28">
        <v>7707599</v>
      </c>
      <c r="B2182" s="26" t="s">
        <v>12770</v>
      </c>
    </row>
    <row r="2183" spans="1:2" x14ac:dyDescent="0.25">
      <c r="A2183" s="28">
        <v>7707650</v>
      </c>
      <c r="B2183" s="26" t="s">
        <v>11489</v>
      </c>
    </row>
    <row r="2184" spans="1:2" x14ac:dyDescent="0.25">
      <c r="A2184" s="28">
        <v>7707670</v>
      </c>
      <c r="B2184" s="26" t="s">
        <v>10078</v>
      </c>
    </row>
    <row r="2185" spans="1:2" x14ac:dyDescent="0.25">
      <c r="A2185" s="28">
        <v>7707671</v>
      </c>
      <c r="B2185" s="26" t="s">
        <v>11490</v>
      </c>
    </row>
    <row r="2186" spans="1:2" x14ac:dyDescent="0.25">
      <c r="A2186" s="28">
        <v>7707672</v>
      </c>
      <c r="B2186" s="26" t="s">
        <v>11491</v>
      </c>
    </row>
    <row r="2187" spans="1:2" x14ac:dyDescent="0.25">
      <c r="A2187" s="28">
        <v>7707701</v>
      </c>
      <c r="B2187" s="26" t="s">
        <v>11492</v>
      </c>
    </row>
    <row r="2188" spans="1:2" x14ac:dyDescent="0.25">
      <c r="A2188" s="28">
        <v>7707702</v>
      </c>
      <c r="B2188" s="26" t="s">
        <v>10121</v>
      </c>
    </row>
    <row r="2189" spans="1:2" x14ac:dyDescent="0.25">
      <c r="A2189" s="28">
        <v>7707710</v>
      </c>
      <c r="B2189" s="26" t="s">
        <v>10146</v>
      </c>
    </row>
    <row r="2190" spans="1:2" x14ac:dyDescent="0.25">
      <c r="A2190" s="28">
        <v>7707711</v>
      </c>
      <c r="B2190" s="26" t="s">
        <v>11493</v>
      </c>
    </row>
    <row r="2191" spans="1:2" x14ac:dyDescent="0.25">
      <c r="A2191" s="28">
        <v>7707712</v>
      </c>
      <c r="B2191" s="26" t="s">
        <v>10103</v>
      </c>
    </row>
    <row r="2192" spans="1:2" x14ac:dyDescent="0.25">
      <c r="A2192" s="28">
        <v>7707713</v>
      </c>
      <c r="B2192" s="26" t="s">
        <v>11494</v>
      </c>
    </row>
    <row r="2193" spans="1:2" x14ac:dyDescent="0.25">
      <c r="A2193" s="28">
        <v>7707714</v>
      </c>
      <c r="B2193" s="26" t="s">
        <v>10142</v>
      </c>
    </row>
    <row r="2194" spans="1:2" x14ac:dyDescent="0.25">
      <c r="A2194" s="28">
        <v>7707715</v>
      </c>
      <c r="B2194" s="26" t="s">
        <v>10145</v>
      </c>
    </row>
    <row r="2195" spans="1:2" x14ac:dyDescent="0.25">
      <c r="A2195" s="28">
        <v>7707716</v>
      </c>
      <c r="B2195" s="26" t="s">
        <v>11495</v>
      </c>
    </row>
    <row r="2196" spans="1:2" x14ac:dyDescent="0.25">
      <c r="A2196" s="26" t="s">
        <v>12771</v>
      </c>
      <c r="B2196" s="27"/>
    </row>
    <row r="2197" spans="1:2" x14ac:dyDescent="0.25">
      <c r="A2197" s="28">
        <v>7707722</v>
      </c>
      <c r="B2197" s="26" t="s">
        <v>11496</v>
      </c>
    </row>
    <row r="2198" spans="1:2" x14ac:dyDescent="0.25">
      <c r="A2198" s="28">
        <v>7707727</v>
      </c>
      <c r="B2198" s="26" t="s">
        <v>13209</v>
      </c>
    </row>
    <row r="2199" spans="1:2" x14ac:dyDescent="0.25">
      <c r="A2199" s="28">
        <v>7707728</v>
      </c>
      <c r="B2199" s="26" t="s">
        <v>13210</v>
      </c>
    </row>
    <row r="2200" spans="1:2" x14ac:dyDescent="0.25">
      <c r="A2200" s="28">
        <v>7707756</v>
      </c>
      <c r="B2200" s="26" t="s">
        <v>11497</v>
      </c>
    </row>
    <row r="2201" spans="1:2" x14ac:dyDescent="0.25">
      <c r="A2201" s="28">
        <v>7707757</v>
      </c>
      <c r="B2201" s="26" t="s">
        <v>11498</v>
      </c>
    </row>
    <row r="2202" spans="1:2" x14ac:dyDescent="0.25">
      <c r="A2202" s="28">
        <v>7707758</v>
      </c>
      <c r="B2202" s="26" t="s">
        <v>9384</v>
      </c>
    </row>
    <row r="2203" spans="1:2" x14ac:dyDescent="0.25">
      <c r="A2203" s="28">
        <v>7707759</v>
      </c>
      <c r="B2203" s="26" t="s">
        <v>12330</v>
      </c>
    </row>
    <row r="2204" spans="1:2" x14ac:dyDescent="0.25">
      <c r="A2204" s="28">
        <v>7707784</v>
      </c>
      <c r="B2204" s="26" t="s">
        <v>10055</v>
      </c>
    </row>
    <row r="2205" spans="1:2" x14ac:dyDescent="0.25">
      <c r="A2205" s="28">
        <v>7707800</v>
      </c>
      <c r="B2205" s="26" t="s">
        <v>12331</v>
      </c>
    </row>
    <row r="2206" spans="1:2" x14ac:dyDescent="0.25">
      <c r="A2206" s="28">
        <v>7707828</v>
      </c>
      <c r="B2206" s="26" t="s">
        <v>9579</v>
      </c>
    </row>
    <row r="2207" spans="1:2" x14ac:dyDescent="0.25">
      <c r="A2207" s="28">
        <v>7707829</v>
      </c>
      <c r="B2207" s="26" t="s">
        <v>9578</v>
      </c>
    </row>
    <row r="2208" spans="1:2" x14ac:dyDescent="0.25">
      <c r="A2208" s="28">
        <v>7707830</v>
      </c>
      <c r="B2208" s="26" t="s">
        <v>9563</v>
      </c>
    </row>
    <row r="2209" spans="1:2" x14ac:dyDescent="0.25">
      <c r="A2209" s="28">
        <v>7707831</v>
      </c>
      <c r="B2209" s="26" t="s">
        <v>11499</v>
      </c>
    </row>
    <row r="2210" spans="1:2" x14ac:dyDescent="0.25">
      <c r="A2210" s="28">
        <v>7707832</v>
      </c>
      <c r="B2210" s="26" t="s">
        <v>11500</v>
      </c>
    </row>
    <row r="2211" spans="1:2" x14ac:dyDescent="0.25">
      <c r="A2211" s="28">
        <v>7707833</v>
      </c>
      <c r="B2211" s="26" t="s">
        <v>9509</v>
      </c>
    </row>
    <row r="2212" spans="1:2" x14ac:dyDescent="0.25">
      <c r="A2212" s="28">
        <v>7707834</v>
      </c>
      <c r="B2212" s="26" t="s">
        <v>9385</v>
      </c>
    </row>
    <row r="2213" spans="1:2" x14ac:dyDescent="0.25">
      <c r="A2213" s="28">
        <v>7707835</v>
      </c>
      <c r="B2213" s="26" t="s">
        <v>11501</v>
      </c>
    </row>
    <row r="2214" spans="1:2" x14ac:dyDescent="0.25">
      <c r="A2214" s="28">
        <v>7707836</v>
      </c>
      <c r="B2214" s="26" t="s">
        <v>9569</v>
      </c>
    </row>
    <row r="2215" spans="1:2" x14ac:dyDescent="0.25">
      <c r="A2215" s="28">
        <v>7707837</v>
      </c>
      <c r="B2215" s="26" t="s">
        <v>12234</v>
      </c>
    </row>
    <row r="2216" spans="1:2" x14ac:dyDescent="0.25">
      <c r="A2216" s="28">
        <v>7707900</v>
      </c>
      <c r="B2216" s="26" t="s">
        <v>11502</v>
      </c>
    </row>
    <row r="2217" spans="1:2" x14ac:dyDescent="0.25">
      <c r="A2217" s="28">
        <v>7707901</v>
      </c>
      <c r="B2217" s="26" t="s">
        <v>10132</v>
      </c>
    </row>
    <row r="2218" spans="1:2" x14ac:dyDescent="0.25">
      <c r="A2218" s="28">
        <v>7707922</v>
      </c>
      <c r="B2218" s="26" t="s">
        <v>10164</v>
      </c>
    </row>
    <row r="2219" spans="1:2" x14ac:dyDescent="0.25">
      <c r="A2219" s="28">
        <v>7707923</v>
      </c>
      <c r="B2219" s="26" t="s">
        <v>10163</v>
      </c>
    </row>
    <row r="2220" spans="1:2" x14ac:dyDescent="0.25">
      <c r="A2220" s="28">
        <v>7707924</v>
      </c>
      <c r="B2220" s="26" t="s">
        <v>10156</v>
      </c>
    </row>
    <row r="2221" spans="1:2" x14ac:dyDescent="0.25">
      <c r="A2221" s="28">
        <v>7707936</v>
      </c>
      <c r="B2221" s="26" t="s">
        <v>11503</v>
      </c>
    </row>
    <row r="2222" spans="1:2" x14ac:dyDescent="0.25">
      <c r="A2222" s="28">
        <v>7707940</v>
      </c>
      <c r="B2222" s="26" t="s">
        <v>10091</v>
      </c>
    </row>
    <row r="2223" spans="1:2" x14ac:dyDescent="0.25">
      <c r="A2223" s="28">
        <v>7707949</v>
      </c>
      <c r="B2223" s="26" t="s">
        <v>10084</v>
      </c>
    </row>
    <row r="2224" spans="1:2" x14ac:dyDescent="0.25">
      <c r="A2224" s="28">
        <v>7707950</v>
      </c>
      <c r="B2224" s="26" t="s">
        <v>10086</v>
      </c>
    </row>
    <row r="2225" spans="1:2" x14ac:dyDescent="0.25">
      <c r="A2225" s="28">
        <v>7707952</v>
      </c>
      <c r="B2225" s="26" t="s">
        <v>10081</v>
      </c>
    </row>
    <row r="2226" spans="1:2" x14ac:dyDescent="0.25">
      <c r="A2226" s="28">
        <v>7707953</v>
      </c>
      <c r="B2226" s="26" t="s">
        <v>10087</v>
      </c>
    </row>
    <row r="2227" spans="1:2" x14ac:dyDescent="0.25">
      <c r="A2227" s="28">
        <v>7707980</v>
      </c>
      <c r="B2227" s="26" t="s">
        <v>10094</v>
      </c>
    </row>
    <row r="2228" spans="1:2" x14ac:dyDescent="0.25">
      <c r="A2228" s="28">
        <v>7707987</v>
      </c>
      <c r="B2228" s="26" t="s">
        <v>10120</v>
      </c>
    </row>
    <row r="2229" spans="1:2" x14ac:dyDescent="0.25">
      <c r="A2229" s="28">
        <v>7707988</v>
      </c>
      <c r="B2229" s="26" t="s">
        <v>11504</v>
      </c>
    </row>
    <row r="2230" spans="1:2" x14ac:dyDescent="0.25">
      <c r="A2230" s="28">
        <v>7707989</v>
      </c>
      <c r="B2230" s="26" t="s">
        <v>10127</v>
      </c>
    </row>
    <row r="2231" spans="1:2" x14ac:dyDescent="0.25">
      <c r="A2231" s="28">
        <v>7709000</v>
      </c>
      <c r="B2231" s="26" t="s">
        <v>11505</v>
      </c>
    </row>
    <row r="2232" spans="1:2" x14ac:dyDescent="0.25">
      <c r="A2232" s="28">
        <v>7709001</v>
      </c>
      <c r="B2232" s="26" t="s">
        <v>12235</v>
      </c>
    </row>
    <row r="2233" spans="1:2" x14ac:dyDescent="0.25">
      <c r="A2233" s="28">
        <v>7709002</v>
      </c>
      <c r="B2233" s="26" t="s">
        <v>11506</v>
      </c>
    </row>
    <row r="2234" spans="1:2" x14ac:dyDescent="0.25">
      <c r="A2234" s="28">
        <v>7709003</v>
      </c>
      <c r="B2234" s="26" t="s">
        <v>9565</v>
      </c>
    </row>
    <row r="2235" spans="1:2" x14ac:dyDescent="0.25">
      <c r="A2235" s="28">
        <v>7709004</v>
      </c>
      <c r="B2235" s="26" t="s">
        <v>11507</v>
      </c>
    </row>
    <row r="2236" spans="1:2" x14ac:dyDescent="0.25">
      <c r="A2236" s="28">
        <v>7709005</v>
      </c>
      <c r="B2236" s="26" t="s">
        <v>11508</v>
      </c>
    </row>
    <row r="2237" spans="1:2" x14ac:dyDescent="0.25">
      <c r="A2237" s="26" t="s">
        <v>12772</v>
      </c>
      <c r="B2237" s="27"/>
    </row>
    <row r="2238" spans="1:2" x14ac:dyDescent="0.25">
      <c r="A2238" s="28">
        <v>7709006</v>
      </c>
      <c r="B2238" s="26" t="s">
        <v>11509</v>
      </c>
    </row>
    <row r="2239" spans="1:2" x14ac:dyDescent="0.25">
      <c r="A2239" s="26" t="s">
        <v>12773</v>
      </c>
      <c r="B2239" s="27"/>
    </row>
    <row r="2240" spans="1:2" x14ac:dyDescent="0.25">
      <c r="A2240" s="28">
        <v>7709007</v>
      </c>
      <c r="B2240" s="26" t="s">
        <v>9508</v>
      </c>
    </row>
    <row r="2241" spans="1:2" x14ac:dyDescent="0.25">
      <c r="A2241" s="28">
        <v>7709008</v>
      </c>
      <c r="B2241" s="26" t="s">
        <v>12236</v>
      </c>
    </row>
    <row r="2242" spans="1:2" x14ac:dyDescent="0.25">
      <c r="A2242" s="28">
        <v>7709009</v>
      </c>
      <c r="B2242" s="26" t="s">
        <v>9378</v>
      </c>
    </row>
    <row r="2243" spans="1:2" x14ac:dyDescent="0.25">
      <c r="A2243" s="28">
        <v>7709010</v>
      </c>
      <c r="B2243" s="26" t="s">
        <v>11510</v>
      </c>
    </row>
    <row r="2244" spans="1:2" x14ac:dyDescent="0.25">
      <c r="A2244" s="28">
        <v>7709011</v>
      </c>
      <c r="B2244" s="26" t="s">
        <v>9383</v>
      </c>
    </row>
    <row r="2245" spans="1:2" x14ac:dyDescent="0.25">
      <c r="A2245" s="28">
        <v>7709012</v>
      </c>
      <c r="B2245" s="26" t="s">
        <v>9403</v>
      </c>
    </row>
    <row r="2246" spans="1:2" x14ac:dyDescent="0.25">
      <c r="A2246" s="28">
        <v>7709013</v>
      </c>
      <c r="B2246" s="26" t="s">
        <v>9451</v>
      </c>
    </row>
    <row r="2247" spans="1:2" x14ac:dyDescent="0.25">
      <c r="A2247" s="28">
        <v>7709014</v>
      </c>
      <c r="B2247" s="26" t="s">
        <v>9452</v>
      </c>
    </row>
    <row r="2248" spans="1:2" x14ac:dyDescent="0.25">
      <c r="A2248" s="28">
        <v>7709015</v>
      </c>
      <c r="B2248" s="26" t="s">
        <v>9469</v>
      </c>
    </row>
    <row r="2249" spans="1:2" x14ac:dyDescent="0.25">
      <c r="A2249" s="28">
        <v>7709016</v>
      </c>
      <c r="B2249" s="26" t="s">
        <v>9402</v>
      </c>
    </row>
    <row r="2250" spans="1:2" x14ac:dyDescent="0.25">
      <c r="A2250" s="28">
        <v>7709017</v>
      </c>
      <c r="B2250" s="26" t="s">
        <v>9411</v>
      </c>
    </row>
    <row r="2251" spans="1:2" x14ac:dyDescent="0.25">
      <c r="A2251" s="28">
        <v>7709018</v>
      </c>
      <c r="B2251" s="26" t="s">
        <v>11511</v>
      </c>
    </row>
    <row r="2252" spans="1:2" x14ac:dyDescent="0.25">
      <c r="A2252" s="28">
        <v>7709019</v>
      </c>
      <c r="B2252" s="26" t="s">
        <v>11512</v>
      </c>
    </row>
    <row r="2253" spans="1:2" x14ac:dyDescent="0.25">
      <c r="A2253" s="28">
        <v>7709020</v>
      </c>
      <c r="B2253" s="26" t="s">
        <v>11513</v>
      </c>
    </row>
    <row r="2254" spans="1:2" x14ac:dyDescent="0.25">
      <c r="A2254" s="28">
        <v>7709021</v>
      </c>
      <c r="B2254" s="26" t="s">
        <v>9399</v>
      </c>
    </row>
    <row r="2255" spans="1:2" x14ac:dyDescent="0.25">
      <c r="A2255" s="28">
        <v>7709022</v>
      </c>
      <c r="B2255" s="26" t="s">
        <v>11514</v>
      </c>
    </row>
    <row r="2256" spans="1:2" x14ac:dyDescent="0.25">
      <c r="A2256" s="28">
        <v>7709023</v>
      </c>
      <c r="B2256" s="26" t="s">
        <v>11515</v>
      </c>
    </row>
    <row r="2257" spans="1:2" x14ac:dyDescent="0.25">
      <c r="A2257" s="28">
        <v>7709024</v>
      </c>
      <c r="B2257" s="26" t="s">
        <v>11516</v>
      </c>
    </row>
    <row r="2258" spans="1:2" x14ac:dyDescent="0.25">
      <c r="A2258" s="28">
        <v>7709025</v>
      </c>
      <c r="B2258" s="26" t="s">
        <v>11517</v>
      </c>
    </row>
    <row r="2259" spans="1:2" x14ac:dyDescent="0.25">
      <c r="A2259" s="28">
        <v>7709026</v>
      </c>
      <c r="B2259" s="26" t="s">
        <v>12237</v>
      </c>
    </row>
    <row r="2260" spans="1:2" x14ac:dyDescent="0.25">
      <c r="A2260" s="28">
        <v>7709027</v>
      </c>
      <c r="B2260" s="26" t="s">
        <v>12238</v>
      </c>
    </row>
    <row r="2261" spans="1:2" x14ac:dyDescent="0.25">
      <c r="A2261" s="28">
        <v>7709028</v>
      </c>
      <c r="B2261" s="26" t="s">
        <v>12239</v>
      </c>
    </row>
    <row r="2262" spans="1:2" x14ac:dyDescent="0.25">
      <c r="A2262" s="28">
        <v>7709029</v>
      </c>
      <c r="B2262" s="26" t="s">
        <v>12332</v>
      </c>
    </row>
    <row r="2263" spans="1:2" x14ac:dyDescent="0.25">
      <c r="A2263" s="28">
        <v>7709030</v>
      </c>
      <c r="B2263" s="26" t="s">
        <v>12333</v>
      </c>
    </row>
    <row r="2264" spans="1:2" x14ac:dyDescent="0.25">
      <c r="A2264" s="28">
        <v>7709031</v>
      </c>
      <c r="B2264" s="26" t="s">
        <v>12334</v>
      </c>
    </row>
    <row r="2265" spans="1:2" x14ac:dyDescent="0.25">
      <c r="A2265" s="28">
        <v>7709032</v>
      </c>
      <c r="B2265" s="26" t="s">
        <v>9494</v>
      </c>
    </row>
    <row r="2266" spans="1:2" x14ac:dyDescent="0.25">
      <c r="A2266" s="28">
        <v>7709033</v>
      </c>
      <c r="B2266" s="26" t="s">
        <v>12335</v>
      </c>
    </row>
    <row r="2267" spans="1:2" x14ac:dyDescent="0.25">
      <c r="A2267" s="28">
        <v>7709034</v>
      </c>
      <c r="B2267" s="26" t="s">
        <v>12336</v>
      </c>
    </row>
    <row r="2268" spans="1:2" x14ac:dyDescent="0.25">
      <c r="A2268" s="28">
        <v>7709035</v>
      </c>
      <c r="B2268" s="26" t="s">
        <v>12337</v>
      </c>
    </row>
    <row r="2269" spans="1:2" x14ac:dyDescent="0.25">
      <c r="A2269" s="28">
        <v>7709036</v>
      </c>
      <c r="B2269" s="26" t="s">
        <v>12338</v>
      </c>
    </row>
    <row r="2270" spans="1:2" x14ac:dyDescent="0.25">
      <c r="A2270" s="28">
        <v>7709037</v>
      </c>
      <c r="B2270" s="26" t="s">
        <v>12339</v>
      </c>
    </row>
    <row r="2271" spans="1:2" x14ac:dyDescent="0.25">
      <c r="A2271" s="26" t="s">
        <v>12774</v>
      </c>
      <c r="B2271" s="27"/>
    </row>
    <row r="2272" spans="1:2" x14ac:dyDescent="0.25">
      <c r="A2272" s="28">
        <v>7709039</v>
      </c>
      <c r="B2272" s="26" t="s">
        <v>12340</v>
      </c>
    </row>
    <row r="2273" spans="1:2" x14ac:dyDescent="0.25">
      <c r="A2273" s="28">
        <v>7709040</v>
      </c>
      <c r="B2273" s="26" t="s">
        <v>9544</v>
      </c>
    </row>
    <row r="2274" spans="1:2" x14ac:dyDescent="0.25">
      <c r="A2274" s="28">
        <v>7709041</v>
      </c>
      <c r="B2274" s="26" t="s">
        <v>9420</v>
      </c>
    </row>
    <row r="2275" spans="1:2" x14ac:dyDescent="0.25">
      <c r="A2275" s="28">
        <v>7709042</v>
      </c>
      <c r="B2275" s="26" t="s">
        <v>9493</v>
      </c>
    </row>
    <row r="2276" spans="1:2" x14ac:dyDescent="0.25">
      <c r="A2276" s="28">
        <v>7709043</v>
      </c>
      <c r="B2276" s="26" t="s">
        <v>9419</v>
      </c>
    </row>
    <row r="2277" spans="1:2" x14ac:dyDescent="0.25">
      <c r="A2277" s="28">
        <v>7709049</v>
      </c>
      <c r="B2277" s="26" t="s">
        <v>11518</v>
      </c>
    </row>
    <row r="2278" spans="1:2" x14ac:dyDescent="0.25">
      <c r="A2278" s="28">
        <v>7709051</v>
      </c>
      <c r="B2278" s="26" t="s">
        <v>12341</v>
      </c>
    </row>
    <row r="2279" spans="1:2" x14ac:dyDescent="0.25">
      <c r="A2279" s="28">
        <v>7709059</v>
      </c>
      <c r="B2279" s="26" t="s">
        <v>12342</v>
      </c>
    </row>
    <row r="2280" spans="1:2" x14ac:dyDescent="0.25">
      <c r="A2280" s="28">
        <v>7709061</v>
      </c>
      <c r="B2280" s="26" t="s">
        <v>9501</v>
      </c>
    </row>
    <row r="2281" spans="1:2" x14ac:dyDescent="0.25">
      <c r="A2281" s="28">
        <v>7709062</v>
      </c>
      <c r="B2281" s="26" t="s">
        <v>9500</v>
      </c>
    </row>
    <row r="2282" spans="1:2" x14ac:dyDescent="0.25">
      <c r="A2282" s="28">
        <v>7709063</v>
      </c>
      <c r="B2282" s="26" t="s">
        <v>11519</v>
      </c>
    </row>
    <row r="2283" spans="1:2" x14ac:dyDescent="0.25">
      <c r="A2283" s="28">
        <v>7709064</v>
      </c>
      <c r="B2283" s="26" t="s">
        <v>10458</v>
      </c>
    </row>
    <row r="2284" spans="1:2" x14ac:dyDescent="0.25">
      <c r="A2284" s="28">
        <v>7709065</v>
      </c>
      <c r="B2284" s="26" t="s">
        <v>10455</v>
      </c>
    </row>
    <row r="2285" spans="1:2" x14ac:dyDescent="0.25">
      <c r="A2285" s="28">
        <v>7709066</v>
      </c>
      <c r="B2285" s="26" t="s">
        <v>10461</v>
      </c>
    </row>
    <row r="2286" spans="1:2" x14ac:dyDescent="0.25">
      <c r="A2286" s="28">
        <v>7709067</v>
      </c>
      <c r="B2286" s="26" t="s">
        <v>10462</v>
      </c>
    </row>
    <row r="2287" spans="1:2" x14ac:dyDescent="0.25">
      <c r="A2287" s="28">
        <v>7709068</v>
      </c>
      <c r="B2287" s="26" t="s">
        <v>10456</v>
      </c>
    </row>
    <row r="2288" spans="1:2" x14ac:dyDescent="0.25">
      <c r="A2288" s="28">
        <v>7709069</v>
      </c>
      <c r="B2288" s="26" t="s">
        <v>10459</v>
      </c>
    </row>
    <row r="2289" spans="1:2" x14ac:dyDescent="0.25">
      <c r="A2289" s="28">
        <v>7709070</v>
      </c>
      <c r="B2289" s="26" t="s">
        <v>10392</v>
      </c>
    </row>
    <row r="2290" spans="1:2" x14ac:dyDescent="0.25">
      <c r="A2290" s="28">
        <v>7709071</v>
      </c>
      <c r="B2290" s="26" t="s">
        <v>11520</v>
      </c>
    </row>
    <row r="2291" spans="1:2" x14ac:dyDescent="0.25">
      <c r="A2291" s="28">
        <v>7709072</v>
      </c>
      <c r="B2291" s="26" t="s">
        <v>11521</v>
      </c>
    </row>
    <row r="2292" spans="1:2" x14ac:dyDescent="0.25">
      <c r="A2292" s="28">
        <v>7709080</v>
      </c>
      <c r="B2292" s="26" t="s">
        <v>12343</v>
      </c>
    </row>
    <row r="2293" spans="1:2" x14ac:dyDescent="0.25">
      <c r="A2293" s="28">
        <v>7709092</v>
      </c>
      <c r="B2293" s="26" t="s">
        <v>9479</v>
      </c>
    </row>
    <row r="2294" spans="1:2" x14ac:dyDescent="0.25">
      <c r="A2294" s="28">
        <v>7709093</v>
      </c>
      <c r="B2294" s="26" t="s">
        <v>12775</v>
      </c>
    </row>
    <row r="2295" spans="1:2" x14ac:dyDescent="0.25">
      <c r="A2295" s="28">
        <v>7709094</v>
      </c>
      <c r="B2295" s="26" t="s">
        <v>9481</v>
      </c>
    </row>
    <row r="2296" spans="1:2" x14ac:dyDescent="0.25">
      <c r="A2296" s="28">
        <v>7709101</v>
      </c>
      <c r="B2296" s="26" t="s">
        <v>9397</v>
      </c>
    </row>
    <row r="2297" spans="1:2" x14ac:dyDescent="0.25">
      <c r="A2297" s="28">
        <v>7709102</v>
      </c>
      <c r="B2297" s="26" t="s">
        <v>9405</v>
      </c>
    </row>
    <row r="2298" spans="1:2" x14ac:dyDescent="0.25">
      <c r="A2298" s="28">
        <v>7709103</v>
      </c>
      <c r="B2298" s="26" t="s">
        <v>9407</v>
      </c>
    </row>
    <row r="2299" spans="1:2" x14ac:dyDescent="0.25">
      <c r="A2299" s="28">
        <v>7709104</v>
      </c>
      <c r="B2299" s="26" t="s">
        <v>11522</v>
      </c>
    </row>
    <row r="2300" spans="1:2" x14ac:dyDescent="0.25">
      <c r="A2300" s="28">
        <v>7709105</v>
      </c>
      <c r="B2300" s="26" t="s">
        <v>11523</v>
      </c>
    </row>
    <row r="2301" spans="1:2" x14ac:dyDescent="0.25">
      <c r="A2301" s="28">
        <v>7709106</v>
      </c>
      <c r="B2301" s="26" t="s">
        <v>9410</v>
      </c>
    </row>
    <row r="2302" spans="1:2" x14ac:dyDescent="0.25">
      <c r="A2302" s="28">
        <v>7709115</v>
      </c>
      <c r="B2302" s="26" t="s">
        <v>11524</v>
      </c>
    </row>
    <row r="2303" spans="1:2" x14ac:dyDescent="0.25">
      <c r="A2303" s="26" t="s">
        <v>12776</v>
      </c>
      <c r="B2303" s="27"/>
    </row>
    <row r="2304" spans="1:2" x14ac:dyDescent="0.25">
      <c r="A2304" s="28">
        <v>7709120</v>
      </c>
      <c r="B2304" s="26" t="s">
        <v>11525</v>
      </c>
    </row>
    <row r="2305" spans="1:2" x14ac:dyDescent="0.25">
      <c r="A2305" s="28">
        <v>7709122</v>
      </c>
      <c r="B2305" s="26" t="s">
        <v>11526</v>
      </c>
    </row>
    <row r="2306" spans="1:2" x14ac:dyDescent="0.25">
      <c r="A2306" s="26" t="s">
        <v>12777</v>
      </c>
      <c r="B2306" s="27"/>
    </row>
    <row r="2307" spans="1:2" x14ac:dyDescent="0.25">
      <c r="A2307" s="28">
        <v>7709123</v>
      </c>
      <c r="B2307" s="26" t="s">
        <v>11527</v>
      </c>
    </row>
    <row r="2308" spans="1:2" x14ac:dyDescent="0.25">
      <c r="A2308" s="28">
        <v>7709135</v>
      </c>
      <c r="B2308" s="26" t="s">
        <v>10478</v>
      </c>
    </row>
    <row r="2309" spans="1:2" x14ac:dyDescent="0.25">
      <c r="A2309" s="26" t="s">
        <v>12778</v>
      </c>
      <c r="B2309" s="27"/>
    </row>
    <row r="2310" spans="1:2" x14ac:dyDescent="0.25">
      <c r="A2310" s="28">
        <v>7709137</v>
      </c>
      <c r="B2310" s="26" t="s">
        <v>9418</v>
      </c>
    </row>
    <row r="2311" spans="1:2" x14ac:dyDescent="0.25">
      <c r="A2311" s="28">
        <v>7709138</v>
      </c>
      <c r="B2311" s="26" t="s">
        <v>9417</v>
      </c>
    </row>
    <row r="2312" spans="1:2" x14ac:dyDescent="0.25">
      <c r="A2312" s="28">
        <v>7709139</v>
      </c>
      <c r="B2312" s="26" t="s">
        <v>9416</v>
      </c>
    </row>
    <row r="2313" spans="1:2" x14ac:dyDescent="0.25">
      <c r="A2313" s="28">
        <v>7709142</v>
      </c>
      <c r="B2313" s="26" t="s">
        <v>9462</v>
      </c>
    </row>
    <row r="2314" spans="1:2" x14ac:dyDescent="0.25">
      <c r="A2314" s="28">
        <v>7709151</v>
      </c>
      <c r="B2314" s="26" t="s">
        <v>12344</v>
      </c>
    </row>
    <row r="2315" spans="1:2" x14ac:dyDescent="0.25">
      <c r="A2315" s="28">
        <v>7709152</v>
      </c>
      <c r="B2315" s="26" t="s">
        <v>12345</v>
      </c>
    </row>
    <row r="2316" spans="1:2" x14ac:dyDescent="0.25">
      <c r="A2316" s="28">
        <v>7709155</v>
      </c>
      <c r="B2316" s="26" t="s">
        <v>9414</v>
      </c>
    </row>
    <row r="2317" spans="1:2" x14ac:dyDescent="0.25">
      <c r="A2317" s="28">
        <v>7709156</v>
      </c>
      <c r="B2317" s="26" t="s">
        <v>9474</v>
      </c>
    </row>
    <row r="2318" spans="1:2" x14ac:dyDescent="0.25">
      <c r="A2318" s="28">
        <v>7709157</v>
      </c>
      <c r="B2318" s="26" t="s">
        <v>11528</v>
      </c>
    </row>
    <row r="2319" spans="1:2" x14ac:dyDescent="0.25">
      <c r="A2319" s="28">
        <v>7709158</v>
      </c>
      <c r="B2319" s="26" t="s">
        <v>12346</v>
      </c>
    </row>
    <row r="2320" spans="1:2" x14ac:dyDescent="0.25">
      <c r="A2320" s="28">
        <v>7709159</v>
      </c>
      <c r="B2320" s="26" t="s">
        <v>11529</v>
      </c>
    </row>
    <row r="2321" spans="1:2" x14ac:dyDescent="0.25">
      <c r="A2321" s="26" t="s">
        <v>12779</v>
      </c>
      <c r="B2321" s="27"/>
    </row>
    <row r="2322" spans="1:2" x14ac:dyDescent="0.25">
      <c r="A2322" s="28">
        <v>7709160</v>
      </c>
      <c r="B2322" s="26" t="s">
        <v>9510</v>
      </c>
    </row>
    <row r="2323" spans="1:2" x14ac:dyDescent="0.25">
      <c r="A2323" s="28">
        <v>7709161</v>
      </c>
      <c r="B2323" s="26" t="s">
        <v>9379</v>
      </c>
    </row>
    <row r="2324" spans="1:2" x14ac:dyDescent="0.25">
      <c r="A2324" s="28">
        <v>7709163</v>
      </c>
      <c r="B2324" s="26" t="s">
        <v>9511</v>
      </c>
    </row>
    <row r="2325" spans="1:2" x14ac:dyDescent="0.25">
      <c r="A2325" s="28">
        <v>7709164</v>
      </c>
      <c r="B2325" s="26" t="s">
        <v>9512</v>
      </c>
    </row>
    <row r="2326" spans="1:2" x14ac:dyDescent="0.25">
      <c r="A2326" s="26" t="s">
        <v>12780</v>
      </c>
      <c r="B2326" s="27"/>
    </row>
    <row r="2327" spans="1:2" x14ac:dyDescent="0.25">
      <c r="A2327" s="28">
        <v>7709174</v>
      </c>
      <c r="B2327" s="26" t="s">
        <v>9422</v>
      </c>
    </row>
    <row r="2328" spans="1:2" x14ac:dyDescent="0.25">
      <c r="A2328" s="28">
        <v>7709198</v>
      </c>
      <c r="B2328" s="26" t="s">
        <v>11530</v>
      </c>
    </row>
    <row r="2329" spans="1:2" x14ac:dyDescent="0.25">
      <c r="A2329" s="28">
        <v>7709200</v>
      </c>
      <c r="B2329" s="26" t="s">
        <v>11531</v>
      </c>
    </row>
    <row r="2330" spans="1:2" x14ac:dyDescent="0.25">
      <c r="A2330" s="28">
        <v>7709203</v>
      </c>
      <c r="B2330" s="26" t="s">
        <v>9381</v>
      </c>
    </row>
    <row r="2331" spans="1:2" x14ac:dyDescent="0.25">
      <c r="A2331" s="28">
        <v>7709204</v>
      </c>
      <c r="B2331" s="26" t="s">
        <v>9380</v>
      </c>
    </row>
    <row r="2332" spans="1:2" x14ac:dyDescent="0.25">
      <c r="A2332" s="28">
        <v>7709208</v>
      </c>
      <c r="B2332" s="26" t="s">
        <v>9393</v>
      </c>
    </row>
    <row r="2333" spans="1:2" x14ac:dyDescent="0.25">
      <c r="A2333" s="28">
        <v>7709212</v>
      </c>
      <c r="B2333" s="26" t="s">
        <v>9404</v>
      </c>
    </row>
    <row r="2334" spans="1:2" x14ac:dyDescent="0.25">
      <c r="A2334" s="28">
        <v>7709228</v>
      </c>
      <c r="B2334" s="26" t="s">
        <v>9502</v>
      </c>
    </row>
    <row r="2335" spans="1:2" x14ac:dyDescent="0.25">
      <c r="A2335" s="28">
        <v>7709229</v>
      </c>
      <c r="B2335" s="26" t="s">
        <v>9503</v>
      </c>
    </row>
    <row r="2336" spans="1:2" x14ac:dyDescent="0.25">
      <c r="A2336" s="28">
        <v>7709230</v>
      </c>
      <c r="B2336" s="26" t="s">
        <v>9488</v>
      </c>
    </row>
    <row r="2337" spans="1:2" x14ac:dyDescent="0.25">
      <c r="A2337" s="28">
        <v>7709233</v>
      </c>
      <c r="B2337" s="26" t="s">
        <v>9401</v>
      </c>
    </row>
    <row r="2338" spans="1:2" x14ac:dyDescent="0.25">
      <c r="A2338" s="28">
        <v>7709234</v>
      </c>
      <c r="B2338" s="26" t="s">
        <v>11532</v>
      </c>
    </row>
    <row r="2339" spans="1:2" x14ac:dyDescent="0.25">
      <c r="A2339" s="28">
        <v>7709235</v>
      </c>
      <c r="B2339" s="26" t="s">
        <v>9522</v>
      </c>
    </row>
    <row r="2340" spans="1:2" x14ac:dyDescent="0.25">
      <c r="A2340" s="28">
        <v>7709236</v>
      </c>
      <c r="B2340" s="26" t="s">
        <v>11533</v>
      </c>
    </row>
    <row r="2341" spans="1:2" x14ac:dyDescent="0.25">
      <c r="A2341" s="28">
        <v>7709238</v>
      </c>
      <c r="B2341" s="26" t="s">
        <v>11534</v>
      </c>
    </row>
    <row r="2342" spans="1:2" x14ac:dyDescent="0.25">
      <c r="A2342" s="28">
        <v>7709245</v>
      </c>
      <c r="B2342" s="26" t="s">
        <v>9424</v>
      </c>
    </row>
    <row r="2343" spans="1:2" x14ac:dyDescent="0.25">
      <c r="A2343" s="28">
        <v>7709246</v>
      </c>
      <c r="B2343" s="26" t="s">
        <v>9423</v>
      </c>
    </row>
    <row r="2344" spans="1:2" x14ac:dyDescent="0.25">
      <c r="A2344" s="28">
        <v>7709251</v>
      </c>
      <c r="B2344" s="26" t="s">
        <v>9478</v>
      </c>
    </row>
    <row r="2345" spans="1:2" x14ac:dyDescent="0.25">
      <c r="A2345" s="28">
        <v>7709272</v>
      </c>
      <c r="B2345" s="26" t="s">
        <v>9387</v>
      </c>
    </row>
    <row r="2346" spans="1:2" x14ac:dyDescent="0.25">
      <c r="A2346" s="26" t="s">
        <v>12781</v>
      </c>
      <c r="B2346" s="27"/>
    </row>
    <row r="2347" spans="1:2" x14ac:dyDescent="0.25">
      <c r="A2347" s="28">
        <v>7709273</v>
      </c>
      <c r="B2347" s="26" t="s">
        <v>11535</v>
      </c>
    </row>
    <row r="2348" spans="1:2" x14ac:dyDescent="0.25">
      <c r="A2348" s="28">
        <v>7709274</v>
      </c>
      <c r="B2348" s="26" t="s">
        <v>11536</v>
      </c>
    </row>
    <row r="2349" spans="1:2" x14ac:dyDescent="0.25">
      <c r="A2349" s="28">
        <v>7709285</v>
      </c>
      <c r="B2349" s="26" t="s">
        <v>11537</v>
      </c>
    </row>
    <row r="2350" spans="1:2" x14ac:dyDescent="0.25">
      <c r="A2350" s="28">
        <v>7709300</v>
      </c>
      <c r="B2350" s="26" t="s">
        <v>9513</v>
      </c>
    </row>
    <row r="2351" spans="1:2" x14ac:dyDescent="0.25">
      <c r="A2351" s="28">
        <v>7709301</v>
      </c>
      <c r="B2351" s="26" t="s">
        <v>9564</v>
      </c>
    </row>
    <row r="2352" spans="1:2" x14ac:dyDescent="0.25">
      <c r="A2352" s="28">
        <v>7709302</v>
      </c>
      <c r="B2352" s="26" t="s">
        <v>11538</v>
      </c>
    </row>
    <row r="2353" spans="1:2" x14ac:dyDescent="0.25">
      <c r="A2353" s="28">
        <v>7709303</v>
      </c>
      <c r="B2353" s="26" t="s">
        <v>11539</v>
      </c>
    </row>
    <row r="2354" spans="1:2" x14ac:dyDescent="0.25">
      <c r="A2354" s="28">
        <v>7709304</v>
      </c>
      <c r="B2354" s="26" t="s">
        <v>9504</v>
      </c>
    </row>
    <row r="2355" spans="1:2" x14ac:dyDescent="0.25">
      <c r="A2355" s="28">
        <v>7709305</v>
      </c>
      <c r="B2355" s="26" t="s">
        <v>9497</v>
      </c>
    </row>
    <row r="2356" spans="1:2" x14ac:dyDescent="0.25">
      <c r="A2356" s="28">
        <v>7709306</v>
      </c>
      <c r="B2356" s="26" t="s">
        <v>9506</v>
      </c>
    </row>
    <row r="2357" spans="1:2" x14ac:dyDescent="0.25">
      <c r="A2357" s="28">
        <v>7709307</v>
      </c>
      <c r="B2357" s="26" t="s">
        <v>9545</v>
      </c>
    </row>
    <row r="2358" spans="1:2" x14ac:dyDescent="0.25">
      <c r="A2358" s="28">
        <v>7709308</v>
      </c>
      <c r="B2358" s="26" t="s">
        <v>9546</v>
      </c>
    </row>
    <row r="2359" spans="1:2" x14ac:dyDescent="0.25">
      <c r="A2359" s="28">
        <v>7709310</v>
      </c>
      <c r="B2359" s="26" t="s">
        <v>9485</v>
      </c>
    </row>
    <row r="2360" spans="1:2" x14ac:dyDescent="0.25">
      <c r="A2360" s="28">
        <v>7709312</v>
      </c>
      <c r="B2360" s="26" t="s">
        <v>11540</v>
      </c>
    </row>
    <row r="2361" spans="1:2" x14ac:dyDescent="0.25">
      <c r="A2361" s="28">
        <v>7709330</v>
      </c>
      <c r="B2361" s="26" t="s">
        <v>9450</v>
      </c>
    </row>
    <row r="2362" spans="1:2" x14ac:dyDescent="0.25">
      <c r="A2362" s="28">
        <v>7709333</v>
      </c>
      <c r="B2362" s="26" t="s">
        <v>9442</v>
      </c>
    </row>
    <row r="2363" spans="1:2" x14ac:dyDescent="0.25">
      <c r="A2363" s="28">
        <v>7709334</v>
      </c>
      <c r="B2363" s="26" t="s">
        <v>9498</v>
      </c>
    </row>
    <row r="2364" spans="1:2" x14ac:dyDescent="0.25">
      <c r="A2364" s="28">
        <v>7709338</v>
      </c>
      <c r="B2364" s="26" t="s">
        <v>9543</v>
      </c>
    </row>
    <row r="2365" spans="1:2" x14ac:dyDescent="0.25">
      <c r="A2365" s="26" t="s">
        <v>12782</v>
      </c>
      <c r="B2365" s="27"/>
    </row>
    <row r="2366" spans="1:2" x14ac:dyDescent="0.25">
      <c r="A2366" s="28">
        <v>7709341</v>
      </c>
      <c r="B2366" s="26" t="s">
        <v>9542</v>
      </c>
    </row>
    <row r="2367" spans="1:2" x14ac:dyDescent="0.25">
      <c r="A2367" s="28">
        <v>7709350</v>
      </c>
      <c r="B2367" s="26" t="s">
        <v>9477</v>
      </c>
    </row>
    <row r="2368" spans="1:2" x14ac:dyDescent="0.25">
      <c r="A2368" s="28">
        <v>7709351</v>
      </c>
      <c r="B2368" s="26" t="s">
        <v>11541</v>
      </c>
    </row>
    <row r="2369" spans="1:2" x14ac:dyDescent="0.25">
      <c r="A2369" s="26" t="s">
        <v>12783</v>
      </c>
      <c r="B2369" s="27"/>
    </row>
    <row r="2370" spans="1:2" x14ac:dyDescent="0.25">
      <c r="A2370" s="28">
        <v>7709352</v>
      </c>
      <c r="B2370" s="26" t="s">
        <v>11542</v>
      </c>
    </row>
    <row r="2371" spans="1:2" x14ac:dyDescent="0.25">
      <c r="A2371" s="28">
        <v>7709353</v>
      </c>
      <c r="B2371" s="26" t="s">
        <v>9540</v>
      </c>
    </row>
    <row r="2372" spans="1:2" x14ac:dyDescent="0.25">
      <c r="A2372" s="28">
        <v>7709354</v>
      </c>
      <c r="B2372" s="26" t="s">
        <v>9539</v>
      </c>
    </row>
    <row r="2373" spans="1:2" x14ac:dyDescent="0.25">
      <c r="A2373" s="28">
        <v>7709355</v>
      </c>
      <c r="B2373" s="26" t="s">
        <v>9538</v>
      </c>
    </row>
    <row r="2374" spans="1:2" x14ac:dyDescent="0.25">
      <c r="A2374" s="28">
        <v>7709356</v>
      </c>
      <c r="B2374" s="26" t="s">
        <v>9528</v>
      </c>
    </row>
    <row r="2375" spans="1:2" x14ac:dyDescent="0.25">
      <c r="A2375" s="28">
        <v>7709357</v>
      </c>
      <c r="B2375" s="26" t="s">
        <v>9530</v>
      </c>
    </row>
    <row r="2376" spans="1:2" x14ac:dyDescent="0.25">
      <c r="A2376" s="28">
        <v>7709358</v>
      </c>
      <c r="B2376" s="26" t="s">
        <v>9534</v>
      </c>
    </row>
    <row r="2377" spans="1:2" x14ac:dyDescent="0.25">
      <c r="A2377" s="28">
        <v>7709359</v>
      </c>
      <c r="B2377" s="26" t="s">
        <v>9529</v>
      </c>
    </row>
    <row r="2378" spans="1:2" x14ac:dyDescent="0.25">
      <c r="A2378" s="28">
        <v>7709360</v>
      </c>
      <c r="B2378" s="26" t="s">
        <v>9436</v>
      </c>
    </row>
    <row r="2379" spans="1:2" x14ac:dyDescent="0.25">
      <c r="A2379" s="28">
        <v>7709361</v>
      </c>
      <c r="B2379" s="26" t="s">
        <v>11543</v>
      </c>
    </row>
    <row r="2380" spans="1:2" x14ac:dyDescent="0.25">
      <c r="A2380" s="28">
        <v>7709364</v>
      </c>
      <c r="B2380" s="26" t="s">
        <v>9398</v>
      </c>
    </row>
    <row r="2381" spans="1:2" x14ac:dyDescent="0.25">
      <c r="A2381" s="28">
        <v>7709365</v>
      </c>
      <c r="B2381" s="26" t="s">
        <v>9396</v>
      </c>
    </row>
    <row r="2382" spans="1:2" x14ac:dyDescent="0.25">
      <c r="A2382" s="28">
        <v>7709380</v>
      </c>
      <c r="B2382" s="26" t="s">
        <v>9453</v>
      </c>
    </row>
    <row r="2383" spans="1:2" x14ac:dyDescent="0.25">
      <c r="A2383" s="28">
        <v>7709381</v>
      </c>
      <c r="B2383" s="26" t="s">
        <v>11544</v>
      </c>
    </row>
    <row r="2384" spans="1:2" x14ac:dyDescent="0.25">
      <c r="A2384" s="28">
        <v>7709384</v>
      </c>
      <c r="B2384" s="26" t="s">
        <v>9482</v>
      </c>
    </row>
    <row r="2385" spans="1:2" x14ac:dyDescent="0.25">
      <c r="A2385" s="28">
        <v>7709393</v>
      </c>
      <c r="B2385" s="26" t="s">
        <v>9427</v>
      </c>
    </row>
    <row r="2386" spans="1:2" x14ac:dyDescent="0.25">
      <c r="A2386" s="28">
        <v>7709394</v>
      </c>
      <c r="B2386" s="26" t="s">
        <v>9428</v>
      </c>
    </row>
    <row r="2387" spans="1:2" x14ac:dyDescent="0.25">
      <c r="A2387" s="28">
        <v>7709395</v>
      </c>
      <c r="B2387" s="26" t="s">
        <v>11545</v>
      </c>
    </row>
    <row r="2388" spans="1:2" x14ac:dyDescent="0.25">
      <c r="A2388" s="28">
        <v>7709396</v>
      </c>
      <c r="B2388" s="26" t="s">
        <v>9429</v>
      </c>
    </row>
    <row r="2389" spans="1:2" x14ac:dyDescent="0.25">
      <c r="A2389" s="28">
        <v>7709401</v>
      </c>
      <c r="B2389" s="26" t="s">
        <v>9400</v>
      </c>
    </row>
    <row r="2390" spans="1:2" x14ac:dyDescent="0.25">
      <c r="A2390" s="28">
        <v>7709406</v>
      </c>
      <c r="B2390" s="26" t="s">
        <v>11546</v>
      </c>
    </row>
    <row r="2391" spans="1:2" x14ac:dyDescent="0.25">
      <c r="A2391" s="28">
        <v>7709410</v>
      </c>
      <c r="B2391" s="26" t="s">
        <v>9514</v>
      </c>
    </row>
    <row r="2392" spans="1:2" x14ac:dyDescent="0.25">
      <c r="A2392" s="28">
        <v>7709411</v>
      </c>
      <c r="B2392" s="26" t="s">
        <v>9516</v>
      </c>
    </row>
    <row r="2393" spans="1:2" x14ac:dyDescent="0.25">
      <c r="A2393" s="28">
        <v>7709412</v>
      </c>
      <c r="B2393" s="26" t="s">
        <v>9521</v>
      </c>
    </row>
    <row r="2394" spans="1:2" x14ac:dyDescent="0.25">
      <c r="A2394" s="28">
        <v>7709413</v>
      </c>
      <c r="B2394" s="26" t="s">
        <v>11547</v>
      </c>
    </row>
    <row r="2395" spans="1:2" x14ac:dyDescent="0.25">
      <c r="A2395" s="28">
        <v>7709414</v>
      </c>
      <c r="B2395" s="26" t="s">
        <v>9390</v>
      </c>
    </row>
    <row r="2396" spans="1:2" x14ac:dyDescent="0.25">
      <c r="A2396" s="28">
        <v>7709415</v>
      </c>
      <c r="B2396" s="26" t="s">
        <v>9496</v>
      </c>
    </row>
    <row r="2397" spans="1:2" x14ac:dyDescent="0.25">
      <c r="A2397" s="28">
        <v>7709416</v>
      </c>
      <c r="B2397" s="26" t="s">
        <v>9495</v>
      </c>
    </row>
    <row r="2398" spans="1:2" x14ac:dyDescent="0.25">
      <c r="A2398" s="28">
        <v>7709417</v>
      </c>
      <c r="B2398" s="26" t="s">
        <v>9438</v>
      </c>
    </row>
    <row r="2399" spans="1:2" x14ac:dyDescent="0.25">
      <c r="A2399" s="28">
        <v>7709419</v>
      </c>
      <c r="B2399" s="26" t="s">
        <v>9437</v>
      </c>
    </row>
    <row r="2400" spans="1:2" x14ac:dyDescent="0.25">
      <c r="A2400" s="28">
        <v>7709420</v>
      </c>
      <c r="B2400" s="26" t="s">
        <v>9470</v>
      </c>
    </row>
    <row r="2401" spans="1:2" x14ac:dyDescent="0.25">
      <c r="A2401" s="28">
        <v>7709421</v>
      </c>
      <c r="B2401" s="26" t="s">
        <v>9432</v>
      </c>
    </row>
    <row r="2402" spans="1:2" x14ac:dyDescent="0.25">
      <c r="A2402" s="28">
        <v>7709422</v>
      </c>
      <c r="B2402" s="26" t="s">
        <v>9431</v>
      </c>
    </row>
    <row r="2403" spans="1:2" x14ac:dyDescent="0.25">
      <c r="A2403" s="28">
        <v>7709425</v>
      </c>
      <c r="B2403" s="26" t="s">
        <v>9526</v>
      </c>
    </row>
    <row r="2404" spans="1:2" x14ac:dyDescent="0.25">
      <c r="A2404" s="28">
        <v>7709426</v>
      </c>
      <c r="B2404" s="26" t="s">
        <v>9537</v>
      </c>
    </row>
    <row r="2405" spans="1:2" x14ac:dyDescent="0.25">
      <c r="A2405" s="28">
        <v>7709427</v>
      </c>
      <c r="B2405" s="26" t="s">
        <v>12240</v>
      </c>
    </row>
    <row r="2406" spans="1:2" x14ac:dyDescent="0.25">
      <c r="A2406" s="28">
        <v>7709428</v>
      </c>
      <c r="B2406" s="26" t="s">
        <v>12241</v>
      </c>
    </row>
    <row r="2407" spans="1:2" x14ac:dyDescent="0.25">
      <c r="A2407" s="28">
        <v>7709438</v>
      </c>
      <c r="B2407" s="26" t="s">
        <v>9388</v>
      </c>
    </row>
    <row r="2408" spans="1:2" x14ac:dyDescent="0.25">
      <c r="A2408" s="28">
        <v>7709439</v>
      </c>
      <c r="B2408" s="26" t="s">
        <v>9389</v>
      </c>
    </row>
    <row r="2409" spans="1:2" x14ac:dyDescent="0.25">
      <c r="A2409" s="28">
        <v>7709440</v>
      </c>
      <c r="B2409" s="26" t="s">
        <v>9382</v>
      </c>
    </row>
    <row r="2410" spans="1:2" x14ac:dyDescent="0.25">
      <c r="A2410" s="28">
        <v>7709441</v>
      </c>
      <c r="B2410" s="26" t="s">
        <v>11548</v>
      </c>
    </row>
    <row r="2411" spans="1:2" x14ac:dyDescent="0.25">
      <c r="A2411" s="28">
        <v>7709442</v>
      </c>
      <c r="B2411" s="26" t="s">
        <v>9492</v>
      </c>
    </row>
    <row r="2412" spans="1:2" x14ac:dyDescent="0.25">
      <c r="A2412" s="28">
        <v>7709443</v>
      </c>
      <c r="B2412" s="26" t="s">
        <v>11549</v>
      </c>
    </row>
    <row r="2413" spans="1:2" x14ac:dyDescent="0.25">
      <c r="A2413" s="28">
        <v>7709444</v>
      </c>
      <c r="B2413" s="26" t="s">
        <v>12242</v>
      </c>
    </row>
    <row r="2414" spans="1:2" x14ac:dyDescent="0.25">
      <c r="A2414" s="28">
        <v>7709445</v>
      </c>
      <c r="B2414" s="26" t="s">
        <v>13211</v>
      </c>
    </row>
    <row r="2415" spans="1:2" x14ac:dyDescent="0.25">
      <c r="A2415" s="28">
        <v>7709450</v>
      </c>
      <c r="B2415" s="26" t="s">
        <v>11550</v>
      </c>
    </row>
    <row r="2416" spans="1:2" x14ac:dyDescent="0.25">
      <c r="A2416" s="28">
        <v>7709451</v>
      </c>
      <c r="B2416" s="26" t="s">
        <v>9566</v>
      </c>
    </row>
    <row r="2417" spans="1:2" x14ac:dyDescent="0.25">
      <c r="A2417" s="28">
        <v>7709452</v>
      </c>
      <c r="B2417" s="26" t="s">
        <v>9487</v>
      </c>
    </row>
    <row r="2418" spans="1:2" x14ac:dyDescent="0.25">
      <c r="A2418" s="28">
        <v>7709453</v>
      </c>
      <c r="B2418" s="26" t="s">
        <v>9518</v>
      </c>
    </row>
    <row r="2419" spans="1:2" x14ac:dyDescent="0.25">
      <c r="A2419" s="28">
        <v>7709454</v>
      </c>
      <c r="B2419" s="26" t="s">
        <v>11551</v>
      </c>
    </row>
    <row r="2420" spans="1:2" x14ac:dyDescent="0.25">
      <c r="A2420" s="28">
        <v>7709455</v>
      </c>
      <c r="B2420" s="26" t="s">
        <v>9520</v>
      </c>
    </row>
    <row r="2421" spans="1:2" x14ac:dyDescent="0.25">
      <c r="A2421" s="28">
        <v>7709456</v>
      </c>
      <c r="B2421" s="26" t="s">
        <v>9434</v>
      </c>
    </row>
    <row r="2422" spans="1:2" x14ac:dyDescent="0.25">
      <c r="A2422" s="28">
        <v>7709457</v>
      </c>
      <c r="B2422" s="26" t="s">
        <v>9515</v>
      </c>
    </row>
    <row r="2423" spans="1:2" x14ac:dyDescent="0.25">
      <c r="A2423" s="28">
        <v>7709458</v>
      </c>
      <c r="B2423" s="26" t="s">
        <v>9433</v>
      </c>
    </row>
    <row r="2424" spans="1:2" x14ac:dyDescent="0.25">
      <c r="A2424" s="28">
        <v>7709459</v>
      </c>
      <c r="B2424" s="26" t="s">
        <v>9386</v>
      </c>
    </row>
    <row r="2425" spans="1:2" x14ac:dyDescent="0.25">
      <c r="A2425" s="28">
        <v>7709460</v>
      </c>
      <c r="B2425" s="26" t="s">
        <v>9532</v>
      </c>
    </row>
    <row r="2426" spans="1:2" x14ac:dyDescent="0.25">
      <c r="A2426" s="28">
        <v>7709461</v>
      </c>
      <c r="B2426" s="26" t="s">
        <v>9535</v>
      </c>
    </row>
    <row r="2427" spans="1:2" x14ac:dyDescent="0.25">
      <c r="A2427" s="28">
        <v>7709462</v>
      </c>
      <c r="B2427" s="26" t="s">
        <v>9533</v>
      </c>
    </row>
    <row r="2428" spans="1:2" x14ac:dyDescent="0.25">
      <c r="A2428" s="28">
        <v>7709465</v>
      </c>
      <c r="B2428" s="26" t="s">
        <v>9536</v>
      </c>
    </row>
    <row r="2429" spans="1:2" x14ac:dyDescent="0.25">
      <c r="A2429" s="28">
        <v>7709473</v>
      </c>
      <c r="B2429" s="26" t="s">
        <v>9480</v>
      </c>
    </row>
    <row r="2430" spans="1:2" x14ac:dyDescent="0.25">
      <c r="A2430" s="28">
        <v>7709490</v>
      </c>
      <c r="B2430" s="26" t="s">
        <v>11552</v>
      </c>
    </row>
    <row r="2431" spans="1:2" x14ac:dyDescent="0.25">
      <c r="A2431" s="28">
        <v>7709495</v>
      </c>
      <c r="B2431" s="26" t="s">
        <v>11553</v>
      </c>
    </row>
    <row r="2432" spans="1:2" x14ac:dyDescent="0.25">
      <c r="A2432" s="28">
        <v>7709499</v>
      </c>
      <c r="B2432" s="26" t="s">
        <v>11554</v>
      </c>
    </row>
    <row r="2433" spans="1:2" x14ac:dyDescent="0.25">
      <c r="A2433" s="26" t="s">
        <v>12784</v>
      </c>
      <c r="B2433" s="27"/>
    </row>
    <row r="2434" spans="1:2" x14ac:dyDescent="0.25">
      <c r="A2434" s="28">
        <v>7709500</v>
      </c>
      <c r="B2434" s="26" t="s">
        <v>10424</v>
      </c>
    </row>
    <row r="2435" spans="1:2" x14ac:dyDescent="0.25">
      <c r="A2435" s="28">
        <v>7709501</v>
      </c>
      <c r="B2435" s="26" t="s">
        <v>11555</v>
      </c>
    </row>
    <row r="2436" spans="1:2" x14ac:dyDescent="0.25">
      <c r="A2436" s="28">
        <v>7709502</v>
      </c>
      <c r="B2436" s="26" t="s">
        <v>9541</v>
      </c>
    </row>
    <row r="2437" spans="1:2" x14ac:dyDescent="0.25">
      <c r="A2437" s="28">
        <v>7709503</v>
      </c>
      <c r="B2437" s="26" t="s">
        <v>10457</v>
      </c>
    </row>
    <row r="2438" spans="1:2" x14ac:dyDescent="0.25">
      <c r="A2438" s="28">
        <v>7709504</v>
      </c>
      <c r="B2438" s="26" t="s">
        <v>9491</v>
      </c>
    </row>
    <row r="2439" spans="1:2" x14ac:dyDescent="0.25">
      <c r="A2439" s="28">
        <v>7709505</v>
      </c>
      <c r="B2439" s="26" t="s">
        <v>9475</v>
      </c>
    </row>
    <row r="2440" spans="1:2" x14ac:dyDescent="0.25">
      <c r="A2440" s="28">
        <v>7709506</v>
      </c>
      <c r="B2440" s="26" t="s">
        <v>10460</v>
      </c>
    </row>
    <row r="2441" spans="1:2" x14ac:dyDescent="0.25">
      <c r="A2441" s="28">
        <v>7709517</v>
      </c>
      <c r="B2441" s="26" t="s">
        <v>9561</v>
      </c>
    </row>
    <row r="2442" spans="1:2" x14ac:dyDescent="0.25">
      <c r="A2442" s="28">
        <v>7709540</v>
      </c>
      <c r="B2442" s="26" t="s">
        <v>8399</v>
      </c>
    </row>
    <row r="2443" spans="1:2" x14ac:dyDescent="0.25">
      <c r="A2443" s="28">
        <v>7709547</v>
      </c>
      <c r="B2443" s="26" t="s">
        <v>9439</v>
      </c>
    </row>
    <row r="2444" spans="1:2" x14ac:dyDescent="0.25">
      <c r="A2444" s="28">
        <v>7709549</v>
      </c>
      <c r="B2444" s="26" t="s">
        <v>9391</v>
      </c>
    </row>
    <row r="2445" spans="1:2" x14ac:dyDescent="0.25">
      <c r="A2445" s="28">
        <v>7709555</v>
      </c>
      <c r="B2445" s="26" t="s">
        <v>11556</v>
      </c>
    </row>
    <row r="2446" spans="1:2" x14ac:dyDescent="0.25">
      <c r="A2446" s="28">
        <v>7709556</v>
      </c>
      <c r="B2446" s="26" t="s">
        <v>11557</v>
      </c>
    </row>
    <row r="2447" spans="1:2" x14ac:dyDescent="0.25">
      <c r="A2447" s="28">
        <v>7709572</v>
      </c>
      <c r="B2447" s="26" t="s">
        <v>9406</v>
      </c>
    </row>
    <row r="2448" spans="1:2" x14ac:dyDescent="0.25">
      <c r="A2448" s="28">
        <v>7709600</v>
      </c>
      <c r="B2448" s="26" t="s">
        <v>9430</v>
      </c>
    </row>
    <row r="2449" spans="1:2" x14ac:dyDescent="0.25">
      <c r="A2449" s="28">
        <v>7709601</v>
      </c>
      <c r="B2449" s="26" t="s">
        <v>11558</v>
      </c>
    </row>
    <row r="2450" spans="1:2" x14ac:dyDescent="0.25">
      <c r="A2450" s="28">
        <v>7709602</v>
      </c>
      <c r="B2450" s="26" t="s">
        <v>11559</v>
      </c>
    </row>
    <row r="2451" spans="1:2" x14ac:dyDescent="0.25">
      <c r="A2451" s="28">
        <v>7709603</v>
      </c>
      <c r="B2451" s="26" t="s">
        <v>11560</v>
      </c>
    </row>
    <row r="2452" spans="1:2" x14ac:dyDescent="0.25">
      <c r="A2452" s="28">
        <v>7709606</v>
      </c>
      <c r="B2452" s="26" t="s">
        <v>9505</v>
      </c>
    </row>
    <row r="2453" spans="1:2" x14ac:dyDescent="0.25">
      <c r="A2453" s="28">
        <v>7709608</v>
      </c>
      <c r="B2453" s="26" t="s">
        <v>9413</v>
      </c>
    </row>
    <row r="2454" spans="1:2" x14ac:dyDescent="0.25">
      <c r="A2454" s="28">
        <v>7709625</v>
      </c>
      <c r="B2454" s="26" t="s">
        <v>9415</v>
      </c>
    </row>
    <row r="2455" spans="1:2" x14ac:dyDescent="0.25">
      <c r="A2455" s="28">
        <v>7709650</v>
      </c>
      <c r="B2455" s="26" t="s">
        <v>9445</v>
      </c>
    </row>
    <row r="2456" spans="1:2" x14ac:dyDescent="0.25">
      <c r="A2456" s="28">
        <v>7709653</v>
      </c>
      <c r="B2456" s="26" t="s">
        <v>9455</v>
      </c>
    </row>
    <row r="2457" spans="1:2" x14ac:dyDescent="0.25">
      <c r="A2457" s="28">
        <v>7709654</v>
      </c>
      <c r="B2457" s="26" t="s">
        <v>9394</v>
      </c>
    </row>
    <row r="2458" spans="1:2" x14ac:dyDescent="0.25">
      <c r="A2458" s="28">
        <v>7709655</v>
      </c>
      <c r="B2458" s="26" t="s">
        <v>11561</v>
      </c>
    </row>
    <row r="2459" spans="1:2" x14ac:dyDescent="0.25">
      <c r="A2459" s="28">
        <v>7709656</v>
      </c>
      <c r="B2459" s="26" t="s">
        <v>11562</v>
      </c>
    </row>
    <row r="2460" spans="1:2" x14ac:dyDescent="0.25">
      <c r="A2460" s="28">
        <v>7709660</v>
      </c>
      <c r="B2460" s="26" t="s">
        <v>9468</v>
      </c>
    </row>
    <row r="2461" spans="1:2" x14ac:dyDescent="0.25">
      <c r="A2461" s="28">
        <v>7709661</v>
      </c>
      <c r="B2461" s="26" t="s">
        <v>9454</v>
      </c>
    </row>
    <row r="2462" spans="1:2" x14ac:dyDescent="0.25">
      <c r="A2462" s="28">
        <v>7709662</v>
      </c>
      <c r="B2462" s="26" t="s">
        <v>9456</v>
      </c>
    </row>
    <row r="2463" spans="1:2" x14ac:dyDescent="0.25">
      <c r="A2463" s="28">
        <v>7709663</v>
      </c>
      <c r="B2463" s="26" t="s">
        <v>9466</v>
      </c>
    </row>
    <row r="2464" spans="1:2" x14ac:dyDescent="0.25">
      <c r="A2464" s="28">
        <v>7709664</v>
      </c>
      <c r="B2464" s="26" t="s">
        <v>9457</v>
      </c>
    </row>
    <row r="2465" spans="1:2" x14ac:dyDescent="0.25">
      <c r="A2465" s="28">
        <v>7709665</v>
      </c>
      <c r="B2465" s="26" t="s">
        <v>9443</v>
      </c>
    </row>
    <row r="2466" spans="1:2" x14ac:dyDescent="0.25">
      <c r="A2466" s="28">
        <v>7709666</v>
      </c>
      <c r="B2466" s="26" t="s">
        <v>9460</v>
      </c>
    </row>
    <row r="2467" spans="1:2" x14ac:dyDescent="0.25">
      <c r="A2467" s="28">
        <v>7709667</v>
      </c>
      <c r="B2467" s="26" t="s">
        <v>9461</v>
      </c>
    </row>
    <row r="2468" spans="1:2" x14ac:dyDescent="0.25">
      <c r="A2468" s="28">
        <v>7709668</v>
      </c>
      <c r="B2468" s="26" t="s">
        <v>9567</v>
      </c>
    </row>
    <row r="2469" spans="1:2" x14ac:dyDescent="0.25">
      <c r="A2469" s="28">
        <v>7709669</v>
      </c>
      <c r="B2469" s="26" t="s">
        <v>9465</v>
      </c>
    </row>
    <row r="2470" spans="1:2" x14ac:dyDescent="0.25">
      <c r="A2470" s="28">
        <v>7709670</v>
      </c>
      <c r="B2470" s="26" t="s">
        <v>9467</v>
      </c>
    </row>
    <row r="2471" spans="1:2" x14ac:dyDescent="0.25">
      <c r="A2471" s="28">
        <v>7709671</v>
      </c>
      <c r="B2471" s="26" t="s">
        <v>9464</v>
      </c>
    </row>
    <row r="2472" spans="1:2" x14ac:dyDescent="0.25">
      <c r="A2472" s="28">
        <v>7709680</v>
      </c>
      <c r="B2472" s="26" t="s">
        <v>9446</v>
      </c>
    </row>
    <row r="2473" spans="1:2" x14ac:dyDescent="0.25">
      <c r="A2473" s="28">
        <v>7709700</v>
      </c>
      <c r="B2473" s="26" t="s">
        <v>9507</v>
      </c>
    </row>
    <row r="2474" spans="1:2" x14ac:dyDescent="0.25">
      <c r="A2474" s="28">
        <v>7709709</v>
      </c>
      <c r="B2474" s="26" t="s">
        <v>9448</v>
      </c>
    </row>
    <row r="2475" spans="1:2" x14ac:dyDescent="0.25">
      <c r="A2475" s="28">
        <v>7709712</v>
      </c>
      <c r="B2475" s="26" t="s">
        <v>9435</v>
      </c>
    </row>
    <row r="2476" spans="1:2" x14ac:dyDescent="0.25">
      <c r="A2476" s="28">
        <v>7709753</v>
      </c>
      <c r="B2476" s="26" t="s">
        <v>9408</v>
      </c>
    </row>
    <row r="2477" spans="1:2" x14ac:dyDescent="0.25">
      <c r="A2477" s="28">
        <v>7709754</v>
      </c>
      <c r="B2477" s="26" t="s">
        <v>9421</v>
      </c>
    </row>
    <row r="2478" spans="1:2" x14ac:dyDescent="0.25">
      <c r="A2478" s="28">
        <v>7709755</v>
      </c>
      <c r="B2478" s="26" t="s">
        <v>9471</v>
      </c>
    </row>
    <row r="2479" spans="1:2" x14ac:dyDescent="0.25">
      <c r="A2479" s="28">
        <v>7709756</v>
      </c>
      <c r="B2479" s="26" t="s">
        <v>9441</v>
      </c>
    </row>
    <row r="2480" spans="1:2" x14ac:dyDescent="0.25">
      <c r="A2480" s="28">
        <v>7709784</v>
      </c>
      <c r="B2480" s="26" t="s">
        <v>9392</v>
      </c>
    </row>
    <row r="2481" spans="1:2" x14ac:dyDescent="0.25">
      <c r="A2481" s="28">
        <v>7709785</v>
      </c>
      <c r="B2481" s="26" t="s">
        <v>9425</v>
      </c>
    </row>
    <row r="2482" spans="1:2" x14ac:dyDescent="0.25">
      <c r="A2482" s="28">
        <v>7709786</v>
      </c>
      <c r="B2482" s="26" t="s">
        <v>9449</v>
      </c>
    </row>
    <row r="2483" spans="1:2" x14ac:dyDescent="0.25">
      <c r="A2483" s="28">
        <v>7709787</v>
      </c>
      <c r="B2483" s="26" t="s">
        <v>9473</v>
      </c>
    </row>
    <row r="2484" spans="1:2" x14ac:dyDescent="0.25">
      <c r="A2484" s="28">
        <v>7709788</v>
      </c>
      <c r="B2484" s="26" t="s">
        <v>9472</v>
      </c>
    </row>
    <row r="2485" spans="1:2" x14ac:dyDescent="0.25">
      <c r="A2485" s="28">
        <v>7709789</v>
      </c>
      <c r="B2485" s="26" t="s">
        <v>9484</v>
      </c>
    </row>
    <row r="2486" spans="1:2" x14ac:dyDescent="0.25">
      <c r="A2486" s="28">
        <v>7709790</v>
      </c>
      <c r="B2486" s="26" t="s">
        <v>9490</v>
      </c>
    </row>
    <row r="2487" spans="1:2" x14ac:dyDescent="0.25">
      <c r="A2487" s="28">
        <v>7709799</v>
      </c>
      <c r="B2487" s="26" t="s">
        <v>9547</v>
      </c>
    </row>
    <row r="2488" spans="1:2" x14ac:dyDescent="0.25">
      <c r="A2488" s="28">
        <v>7709800</v>
      </c>
      <c r="B2488" s="26" t="s">
        <v>9524</v>
      </c>
    </row>
    <row r="2489" spans="1:2" x14ac:dyDescent="0.25">
      <c r="A2489" s="28">
        <v>7709801</v>
      </c>
      <c r="B2489" s="26" t="s">
        <v>9525</v>
      </c>
    </row>
    <row r="2490" spans="1:2" x14ac:dyDescent="0.25">
      <c r="A2490" s="28">
        <v>7709802</v>
      </c>
      <c r="B2490" s="26" t="s">
        <v>11563</v>
      </c>
    </row>
    <row r="2491" spans="1:2" x14ac:dyDescent="0.25">
      <c r="A2491" s="28">
        <v>7709803</v>
      </c>
      <c r="B2491" s="26" t="s">
        <v>11564</v>
      </c>
    </row>
    <row r="2492" spans="1:2" x14ac:dyDescent="0.25">
      <c r="A2492" s="28">
        <v>7709804</v>
      </c>
      <c r="B2492" s="26" t="s">
        <v>11565</v>
      </c>
    </row>
    <row r="2493" spans="1:2" x14ac:dyDescent="0.25">
      <c r="A2493" s="28">
        <v>7709805</v>
      </c>
      <c r="B2493" s="26" t="s">
        <v>11566</v>
      </c>
    </row>
    <row r="2494" spans="1:2" x14ac:dyDescent="0.25">
      <c r="A2494" s="28">
        <v>7709806</v>
      </c>
      <c r="B2494" s="26" t="s">
        <v>11567</v>
      </c>
    </row>
    <row r="2495" spans="1:2" x14ac:dyDescent="0.25">
      <c r="A2495" s="28">
        <v>7709807</v>
      </c>
      <c r="B2495" s="26" t="s">
        <v>11568</v>
      </c>
    </row>
    <row r="2496" spans="1:2" x14ac:dyDescent="0.25">
      <c r="A2496" s="28">
        <v>7709808</v>
      </c>
      <c r="B2496" s="26" t="s">
        <v>11569</v>
      </c>
    </row>
    <row r="2497" spans="1:2" x14ac:dyDescent="0.25">
      <c r="A2497" s="28">
        <v>7709809</v>
      </c>
      <c r="B2497" s="26" t="s">
        <v>11570</v>
      </c>
    </row>
    <row r="2498" spans="1:2" x14ac:dyDescent="0.25">
      <c r="A2498" s="28">
        <v>7709810</v>
      </c>
      <c r="B2498" s="26" t="s">
        <v>11571</v>
      </c>
    </row>
    <row r="2499" spans="1:2" x14ac:dyDescent="0.25">
      <c r="A2499" s="26" t="s">
        <v>12785</v>
      </c>
      <c r="B2499" s="27"/>
    </row>
    <row r="2500" spans="1:2" x14ac:dyDescent="0.25">
      <c r="A2500" s="28">
        <v>7709811</v>
      </c>
      <c r="B2500" s="26" t="s">
        <v>11572</v>
      </c>
    </row>
    <row r="2501" spans="1:2" x14ac:dyDescent="0.25">
      <c r="A2501" s="28">
        <v>7709812</v>
      </c>
      <c r="B2501" s="26" t="s">
        <v>11573</v>
      </c>
    </row>
    <row r="2502" spans="1:2" x14ac:dyDescent="0.25">
      <c r="A2502" s="28">
        <v>7709813</v>
      </c>
      <c r="B2502" s="26" t="s">
        <v>11574</v>
      </c>
    </row>
    <row r="2503" spans="1:2" x14ac:dyDescent="0.25">
      <c r="A2503" s="28">
        <v>7709814</v>
      </c>
      <c r="B2503" s="26" t="s">
        <v>11575</v>
      </c>
    </row>
    <row r="2504" spans="1:2" x14ac:dyDescent="0.25">
      <c r="A2504" s="28">
        <v>7709815</v>
      </c>
      <c r="B2504" s="26" t="s">
        <v>11576</v>
      </c>
    </row>
    <row r="2505" spans="1:2" x14ac:dyDescent="0.25">
      <c r="A2505" s="28">
        <v>7709816</v>
      </c>
      <c r="B2505" s="26" t="s">
        <v>11577</v>
      </c>
    </row>
    <row r="2506" spans="1:2" x14ac:dyDescent="0.25">
      <c r="A2506" s="28">
        <v>7709817</v>
      </c>
      <c r="B2506" s="26" t="s">
        <v>11578</v>
      </c>
    </row>
    <row r="2507" spans="1:2" x14ac:dyDescent="0.25">
      <c r="A2507" s="28">
        <v>7709818</v>
      </c>
      <c r="B2507" s="26" t="s">
        <v>11579</v>
      </c>
    </row>
    <row r="2508" spans="1:2" x14ac:dyDescent="0.25">
      <c r="A2508" s="28">
        <v>7709819</v>
      </c>
      <c r="B2508" s="26" t="s">
        <v>11580</v>
      </c>
    </row>
    <row r="2509" spans="1:2" x14ac:dyDescent="0.25">
      <c r="A2509" s="28">
        <v>7709820</v>
      </c>
      <c r="B2509" s="26" t="s">
        <v>11581</v>
      </c>
    </row>
    <row r="2510" spans="1:2" x14ac:dyDescent="0.25">
      <c r="A2510" s="28">
        <v>7709821</v>
      </c>
      <c r="B2510" s="26" t="s">
        <v>11582</v>
      </c>
    </row>
    <row r="2511" spans="1:2" x14ac:dyDescent="0.25">
      <c r="A2511" s="28">
        <v>7709831</v>
      </c>
      <c r="B2511" s="26" t="s">
        <v>11583</v>
      </c>
    </row>
    <row r="2512" spans="1:2" x14ac:dyDescent="0.25">
      <c r="A2512" s="28">
        <v>7709833</v>
      </c>
      <c r="B2512" s="26" t="s">
        <v>11584</v>
      </c>
    </row>
    <row r="2513" spans="1:2" x14ac:dyDescent="0.25">
      <c r="A2513" s="28">
        <v>7709834</v>
      </c>
      <c r="B2513" s="26" t="s">
        <v>11585</v>
      </c>
    </row>
    <row r="2514" spans="1:2" x14ac:dyDescent="0.25">
      <c r="A2514" s="28">
        <v>7709835</v>
      </c>
      <c r="B2514" s="26" t="s">
        <v>11586</v>
      </c>
    </row>
    <row r="2515" spans="1:2" x14ac:dyDescent="0.25">
      <c r="A2515" s="28">
        <v>7709836</v>
      </c>
      <c r="B2515" s="26" t="s">
        <v>11587</v>
      </c>
    </row>
    <row r="2516" spans="1:2" x14ac:dyDescent="0.25">
      <c r="A2516" s="28">
        <v>7709837</v>
      </c>
      <c r="B2516" s="26" t="s">
        <v>12786</v>
      </c>
    </row>
    <row r="2517" spans="1:2" x14ac:dyDescent="0.25">
      <c r="A2517" s="28">
        <v>7709850</v>
      </c>
      <c r="B2517" s="26" t="s">
        <v>11588</v>
      </c>
    </row>
    <row r="2518" spans="1:2" x14ac:dyDescent="0.25">
      <c r="A2518" s="28">
        <v>7709851</v>
      </c>
      <c r="B2518" s="26" t="s">
        <v>9476</v>
      </c>
    </row>
    <row r="2519" spans="1:2" x14ac:dyDescent="0.25">
      <c r="A2519" s="28">
        <v>7709852</v>
      </c>
      <c r="B2519" s="26" t="s">
        <v>9483</v>
      </c>
    </row>
    <row r="2520" spans="1:2" x14ac:dyDescent="0.25">
      <c r="A2520" s="28">
        <v>7709853</v>
      </c>
      <c r="B2520" s="26" t="s">
        <v>8401</v>
      </c>
    </row>
    <row r="2521" spans="1:2" x14ac:dyDescent="0.25">
      <c r="A2521" s="28">
        <v>7709854</v>
      </c>
      <c r="B2521" s="26" t="s">
        <v>9409</v>
      </c>
    </row>
    <row r="2522" spans="1:2" x14ac:dyDescent="0.25">
      <c r="A2522" s="28">
        <v>7709855</v>
      </c>
      <c r="B2522" s="26" t="s">
        <v>9395</v>
      </c>
    </row>
    <row r="2523" spans="1:2" x14ac:dyDescent="0.25">
      <c r="A2523" s="28">
        <v>7709856</v>
      </c>
      <c r="B2523" s="26" t="s">
        <v>9458</v>
      </c>
    </row>
    <row r="2524" spans="1:2" x14ac:dyDescent="0.25">
      <c r="A2524" s="28">
        <v>7709857</v>
      </c>
      <c r="B2524" s="26" t="s">
        <v>9412</v>
      </c>
    </row>
    <row r="2525" spans="1:2" x14ac:dyDescent="0.25">
      <c r="A2525" s="28">
        <v>7709858</v>
      </c>
      <c r="B2525" s="26" t="s">
        <v>9444</v>
      </c>
    </row>
    <row r="2526" spans="1:2" x14ac:dyDescent="0.25">
      <c r="A2526" s="28">
        <v>7709859</v>
      </c>
      <c r="B2526" s="26" t="s">
        <v>9519</v>
      </c>
    </row>
    <row r="2527" spans="1:2" x14ac:dyDescent="0.25">
      <c r="A2527" s="28">
        <v>7709860</v>
      </c>
      <c r="B2527" s="26" t="s">
        <v>11589</v>
      </c>
    </row>
    <row r="2528" spans="1:2" x14ac:dyDescent="0.25">
      <c r="A2528" s="28">
        <v>7709861</v>
      </c>
      <c r="B2528" s="26" t="s">
        <v>9463</v>
      </c>
    </row>
    <row r="2529" spans="1:2" x14ac:dyDescent="0.25">
      <c r="A2529" s="28">
        <v>7709862</v>
      </c>
      <c r="B2529" s="26" t="s">
        <v>12347</v>
      </c>
    </row>
    <row r="2530" spans="1:2" x14ac:dyDescent="0.25">
      <c r="A2530" s="28">
        <v>7709865</v>
      </c>
      <c r="B2530" s="26" t="s">
        <v>9459</v>
      </c>
    </row>
    <row r="2531" spans="1:2" x14ac:dyDescent="0.25">
      <c r="A2531" s="28">
        <v>7709866</v>
      </c>
      <c r="B2531" s="26" t="s">
        <v>9440</v>
      </c>
    </row>
    <row r="2532" spans="1:2" x14ac:dyDescent="0.25">
      <c r="A2532" s="28">
        <v>7709867</v>
      </c>
      <c r="B2532" s="26" t="s">
        <v>9426</v>
      </c>
    </row>
    <row r="2533" spans="1:2" x14ac:dyDescent="0.25">
      <c r="A2533" s="28">
        <v>7709869</v>
      </c>
      <c r="B2533" s="26" t="s">
        <v>11590</v>
      </c>
    </row>
    <row r="2534" spans="1:2" x14ac:dyDescent="0.25">
      <c r="A2534" s="28">
        <v>77098818</v>
      </c>
      <c r="B2534" s="26" t="s">
        <v>11573</v>
      </c>
    </row>
    <row r="2535" spans="1:2" x14ac:dyDescent="0.25">
      <c r="A2535" s="26" t="s">
        <v>12787</v>
      </c>
      <c r="B2535" s="27"/>
    </row>
    <row r="2536" spans="1:2" x14ac:dyDescent="0.25">
      <c r="A2536" s="28">
        <v>7709890</v>
      </c>
      <c r="B2536" s="26" t="s">
        <v>11591</v>
      </c>
    </row>
    <row r="2537" spans="1:2" x14ac:dyDescent="0.25">
      <c r="A2537" s="28">
        <v>7709891</v>
      </c>
      <c r="B2537" s="26" t="s">
        <v>11592</v>
      </c>
    </row>
    <row r="2538" spans="1:2" x14ac:dyDescent="0.25">
      <c r="A2538" s="28">
        <v>7709892</v>
      </c>
      <c r="B2538" s="26" t="s">
        <v>9377</v>
      </c>
    </row>
    <row r="2539" spans="1:2" x14ac:dyDescent="0.25">
      <c r="A2539" s="28">
        <v>7709900</v>
      </c>
      <c r="B2539" s="26" t="s">
        <v>11593</v>
      </c>
    </row>
    <row r="2540" spans="1:2" x14ac:dyDescent="0.25">
      <c r="A2540" s="28">
        <v>7709901</v>
      </c>
      <c r="B2540" s="26" t="s">
        <v>11594</v>
      </c>
    </row>
    <row r="2541" spans="1:2" x14ac:dyDescent="0.25">
      <c r="A2541" s="28">
        <v>7709902</v>
      </c>
      <c r="B2541" s="26" t="s">
        <v>9517</v>
      </c>
    </row>
    <row r="2542" spans="1:2" x14ac:dyDescent="0.25">
      <c r="A2542" s="28">
        <v>7709903</v>
      </c>
      <c r="B2542" s="26" t="s">
        <v>9523</v>
      </c>
    </row>
    <row r="2543" spans="1:2" x14ac:dyDescent="0.25">
      <c r="A2543" s="28">
        <v>7709904</v>
      </c>
      <c r="B2543" s="26" t="s">
        <v>9499</v>
      </c>
    </row>
    <row r="2544" spans="1:2" x14ac:dyDescent="0.25">
      <c r="A2544" s="28">
        <v>7709909</v>
      </c>
      <c r="B2544" s="26" t="s">
        <v>11595</v>
      </c>
    </row>
    <row r="2545" spans="1:2" x14ac:dyDescent="0.25">
      <c r="A2545" s="28">
        <v>7709943</v>
      </c>
      <c r="B2545" s="26" t="s">
        <v>9447</v>
      </c>
    </row>
    <row r="2546" spans="1:2" x14ac:dyDescent="0.25">
      <c r="A2546" s="28">
        <v>7709955</v>
      </c>
      <c r="B2546" s="26" t="s">
        <v>11596</v>
      </c>
    </row>
    <row r="2547" spans="1:2" x14ac:dyDescent="0.25">
      <c r="A2547" s="28">
        <v>7709956</v>
      </c>
      <c r="B2547" s="26" t="s">
        <v>9489</v>
      </c>
    </row>
    <row r="2548" spans="1:2" x14ac:dyDescent="0.25">
      <c r="A2548" s="28">
        <v>7709998</v>
      </c>
      <c r="B2548" s="26" t="s">
        <v>11597</v>
      </c>
    </row>
    <row r="2549" spans="1:2" x14ac:dyDescent="0.25">
      <c r="A2549" s="26" t="s">
        <v>12788</v>
      </c>
      <c r="B2549" s="27"/>
    </row>
    <row r="2550" spans="1:2" x14ac:dyDescent="0.25">
      <c r="A2550" s="28">
        <v>7709999</v>
      </c>
      <c r="B2550" s="26" t="s">
        <v>9527</v>
      </c>
    </row>
    <row r="2551" spans="1:2" x14ac:dyDescent="0.25">
      <c r="A2551" s="28">
        <v>7710000</v>
      </c>
      <c r="B2551" s="26" t="s">
        <v>12789</v>
      </c>
    </row>
    <row r="2552" spans="1:2" x14ac:dyDescent="0.25">
      <c r="A2552" s="28">
        <v>7710001</v>
      </c>
      <c r="B2552" s="26" t="s">
        <v>9549</v>
      </c>
    </row>
    <row r="2553" spans="1:2" x14ac:dyDescent="0.25">
      <c r="A2553" s="28">
        <v>7710002</v>
      </c>
      <c r="B2553" s="26" t="s">
        <v>9552</v>
      </c>
    </row>
    <row r="2554" spans="1:2" x14ac:dyDescent="0.25">
      <c r="A2554" s="28">
        <v>7710003</v>
      </c>
      <c r="B2554" s="26" t="s">
        <v>9555</v>
      </c>
    </row>
    <row r="2555" spans="1:2" x14ac:dyDescent="0.25">
      <c r="A2555" s="28">
        <v>7710004</v>
      </c>
      <c r="B2555" s="26" t="s">
        <v>9548</v>
      </c>
    </row>
    <row r="2556" spans="1:2" x14ac:dyDescent="0.25">
      <c r="A2556" s="28">
        <v>7710005</v>
      </c>
      <c r="B2556" s="26" t="s">
        <v>9553</v>
      </c>
    </row>
    <row r="2557" spans="1:2" x14ac:dyDescent="0.25">
      <c r="A2557" s="28">
        <v>7710006</v>
      </c>
      <c r="B2557" s="26" t="s">
        <v>9554</v>
      </c>
    </row>
    <row r="2558" spans="1:2" x14ac:dyDescent="0.25">
      <c r="A2558" s="28">
        <v>7710007</v>
      </c>
      <c r="B2558" s="26" t="s">
        <v>9557</v>
      </c>
    </row>
    <row r="2559" spans="1:2" x14ac:dyDescent="0.25">
      <c r="A2559" s="28">
        <v>7710008</v>
      </c>
      <c r="B2559" s="26" t="s">
        <v>9559</v>
      </c>
    </row>
    <row r="2560" spans="1:2" x14ac:dyDescent="0.25">
      <c r="A2560" s="28">
        <v>7710009</v>
      </c>
      <c r="B2560" s="26" t="s">
        <v>9560</v>
      </c>
    </row>
    <row r="2561" spans="1:2" x14ac:dyDescent="0.25">
      <c r="A2561" s="28">
        <v>7710010</v>
      </c>
      <c r="B2561" s="26" t="s">
        <v>11598</v>
      </c>
    </row>
    <row r="2562" spans="1:2" x14ac:dyDescent="0.25">
      <c r="A2562" s="28">
        <v>7710011</v>
      </c>
      <c r="B2562" s="26" t="s">
        <v>12790</v>
      </c>
    </row>
    <row r="2563" spans="1:2" x14ac:dyDescent="0.25">
      <c r="A2563" s="28">
        <v>7710012</v>
      </c>
      <c r="B2563" s="26" t="s">
        <v>12791</v>
      </c>
    </row>
    <row r="2564" spans="1:2" x14ac:dyDescent="0.25">
      <c r="A2564" s="28">
        <v>7710013</v>
      </c>
      <c r="B2564" s="26" t="s">
        <v>12792</v>
      </c>
    </row>
    <row r="2565" spans="1:2" x14ac:dyDescent="0.25">
      <c r="A2565" s="28">
        <v>7710020</v>
      </c>
      <c r="B2565" s="26" t="s">
        <v>9558</v>
      </c>
    </row>
    <row r="2566" spans="1:2" x14ac:dyDescent="0.25">
      <c r="A2566" s="28">
        <v>7710021</v>
      </c>
      <c r="B2566" s="26" t="s">
        <v>11599</v>
      </c>
    </row>
    <row r="2567" spans="1:2" x14ac:dyDescent="0.25">
      <c r="A2567" s="28">
        <v>7710022</v>
      </c>
      <c r="B2567" s="26" t="s">
        <v>11600</v>
      </c>
    </row>
    <row r="2568" spans="1:2" x14ac:dyDescent="0.25">
      <c r="A2568" s="28">
        <v>7710023</v>
      </c>
      <c r="B2568" s="26" t="s">
        <v>12348</v>
      </c>
    </row>
    <row r="2569" spans="1:2" x14ac:dyDescent="0.25">
      <c r="A2569" s="28">
        <v>7710030</v>
      </c>
      <c r="B2569" s="26" t="s">
        <v>8408</v>
      </c>
    </row>
    <row r="2570" spans="1:2" x14ac:dyDescent="0.25">
      <c r="A2570" s="28">
        <v>7710031</v>
      </c>
      <c r="B2570" s="26" t="s">
        <v>8407</v>
      </c>
    </row>
    <row r="2571" spans="1:2" x14ac:dyDescent="0.25">
      <c r="A2571" s="28">
        <v>7710032</v>
      </c>
      <c r="B2571" s="26" t="s">
        <v>8409</v>
      </c>
    </row>
    <row r="2572" spans="1:2" x14ac:dyDescent="0.25">
      <c r="A2572" s="28">
        <v>7710033</v>
      </c>
      <c r="B2572" s="26" t="s">
        <v>8410</v>
      </c>
    </row>
    <row r="2573" spans="1:2" x14ac:dyDescent="0.25">
      <c r="A2573" s="28">
        <v>7710034</v>
      </c>
      <c r="B2573" s="26" t="s">
        <v>12793</v>
      </c>
    </row>
    <row r="2574" spans="1:2" x14ac:dyDescent="0.25">
      <c r="A2574" s="28">
        <v>7710040</v>
      </c>
      <c r="B2574" s="26" t="s">
        <v>11601</v>
      </c>
    </row>
    <row r="2575" spans="1:2" x14ac:dyDescent="0.25">
      <c r="A2575" s="28">
        <v>7710041</v>
      </c>
      <c r="B2575" s="26" t="s">
        <v>11602</v>
      </c>
    </row>
    <row r="2576" spans="1:2" x14ac:dyDescent="0.25">
      <c r="A2576" s="28">
        <v>7710042</v>
      </c>
      <c r="B2576" s="26" t="s">
        <v>11603</v>
      </c>
    </row>
    <row r="2577" spans="1:2" x14ac:dyDescent="0.25">
      <c r="A2577" s="28">
        <v>7710043</v>
      </c>
      <c r="B2577" s="26" t="s">
        <v>11604</v>
      </c>
    </row>
    <row r="2578" spans="1:2" x14ac:dyDescent="0.25">
      <c r="A2578" s="28">
        <v>7710044</v>
      </c>
      <c r="B2578" s="26" t="s">
        <v>11605</v>
      </c>
    </row>
    <row r="2579" spans="1:2" x14ac:dyDescent="0.25">
      <c r="A2579" s="28">
        <v>7710045</v>
      </c>
      <c r="B2579" s="26" t="s">
        <v>11606</v>
      </c>
    </row>
    <row r="2580" spans="1:2" x14ac:dyDescent="0.25">
      <c r="A2580" s="28">
        <v>7710046</v>
      </c>
      <c r="B2580" s="26" t="s">
        <v>11607</v>
      </c>
    </row>
    <row r="2581" spans="1:2" x14ac:dyDescent="0.25">
      <c r="A2581" s="28">
        <v>7710047</v>
      </c>
      <c r="B2581" s="26" t="s">
        <v>11608</v>
      </c>
    </row>
    <row r="2582" spans="1:2" x14ac:dyDescent="0.25">
      <c r="A2582" s="28">
        <v>7710048</v>
      </c>
      <c r="B2582" s="26" t="s">
        <v>11609</v>
      </c>
    </row>
    <row r="2583" spans="1:2" x14ac:dyDescent="0.25">
      <c r="A2583" s="28">
        <v>7710049</v>
      </c>
      <c r="B2583" s="26" t="s">
        <v>11610</v>
      </c>
    </row>
    <row r="2584" spans="1:2" x14ac:dyDescent="0.25">
      <c r="A2584" s="28">
        <v>7710221</v>
      </c>
      <c r="B2584" s="26" t="s">
        <v>9556</v>
      </c>
    </row>
    <row r="2585" spans="1:2" x14ac:dyDescent="0.25">
      <c r="A2585" s="28">
        <v>7710230</v>
      </c>
      <c r="B2585" s="26" t="s">
        <v>9550</v>
      </c>
    </row>
    <row r="2586" spans="1:2" x14ac:dyDescent="0.25">
      <c r="A2586" s="28">
        <v>7710231</v>
      </c>
      <c r="B2586" s="26" t="s">
        <v>9551</v>
      </c>
    </row>
    <row r="2587" spans="1:2" x14ac:dyDescent="0.25">
      <c r="A2587" s="28">
        <v>7711003</v>
      </c>
      <c r="B2587" s="26" t="s">
        <v>10814</v>
      </c>
    </row>
    <row r="2588" spans="1:2" x14ac:dyDescent="0.25">
      <c r="A2588" s="28">
        <v>7711004</v>
      </c>
      <c r="B2588" s="26" t="s">
        <v>12243</v>
      </c>
    </row>
    <row r="2589" spans="1:2" x14ac:dyDescent="0.25">
      <c r="A2589" s="28">
        <v>7711034</v>
      </c>
      <c r="B2589" s="26" t="s">
        <v>9580</v>
      </c>
    </row>
    <row r="2590" spans="1:2" x14ac:dyDescent="0.25">
      <c r="A2590" s="28">
        <v>7711068</v>
      </c>
      <c r="B2590" s="26" t="s">
        <v>11611</v>
      </c>
    </row>
    <row r="2591" spans="1:2" x14ac:dyDescent="0.25">
      <c r="A2591" s="28">
        <v>7711069</v>
      </c>
      <c r="B2591" s="26" t="s">
        <v>8397</v>
      </c>
    </row>
    <row r="2592" spans="1:2" x14ac:dyDescent="0.25">
      <c r="A2592" s="28">
        <v>7711070</v>
      </c>
      <c r="B2592" s="26" t="s">
        <v>8398</v>
      </c>
    </row>
    <row r="2593" spans="1:2" x14ac:dyDescent="0.25">
      <c r="A2593" s="28">
        <v>7711091</v>
      </c>
      <c r="B2593" s="26" t="s">
        <v>9531</v>
      </c>
    </row>
    <row r="2594" spans="1:2" x14ac:dyDescent="0.25">
      <c r="A2594" s="28">
        <v>7711100</v>
      </c>
      <c r="B2594" s="26" t="s">
        <v>9486</v>
      </c>
    </row>
    <row r="2595" spans="1:2" x14ac:dyDescent="0.25">
      <c r="A2595" s="28">
        <v>7711136</v>
      </c>
      <c r="B2595" s="26" t="s">
        <v>11612</v>
      </c>
    </row>
    <row r="2596" spans="1:2" x14ac:dyDescent="0.25">
      <c r="A2596" s="28">
        <v>7711137</v>
      </c>
      <c r="B2596" s="26" t="s">
        <v>11613</v>
      </c>
    </row>
    <row r="2597" spans="1:2" x14ac:dyDescent="0.25">
      <c r="A2597" s="28">
        <v>7711138</v>
      </c>
      <c r="B2597" s="26" t="s">
        <v>11614</v>
      </c>
    </row>
    <row r="2598" spans="1:2" x14ac:dyDescent="0.25">
      <c r="A2598" s="28">
        <v>7711139</v>
      </c>
      <c r="B2598" s="26" t="s">
        <v>8396</v>
      </c>
    </row>
    <row r="2599" spans="1:2" x14ac:dyDescent="0.25">
      <c r="A2599" s="28">
        <v>7711141</v>
      </c>
      <c r="B2599" s="26" t="s">
        <v>11615</v>
      </c>
    </row>
    <row r="2600" spans="1:2" x14ac:dyDescent="0.25">
      <c r="A2600" s="28">
        <v>7711205</v>
      </c>
      <c r="B2600" s="26" t="s">
        <v>11616</v>
      </c>
    </row>
    <row r="2601" spans="1:2" x14ac:dyDescent="0.25">
      <c r="A2601" s="28">
        <v>7711213</v>
      </c>
      <c r="B2601" s="26" t="s">
        <v>8411</v>
      </c>
    </row>
    <row r="2602" spans="1:2" x14ac:dyDescent="0.25">
      <c r="A2602" s="28">
        <v>7711222</v>
      </c>
      <c r="B2602" s="26" t="s">
        <v>11618</v>
      </c>
    </row>
    <row r="2603" spans="1:2" x14ac:dyDescent="0.25">
      <c r="A2603" s="28">
        <v>7711300</v>
      </c>
      <c r="B2603" s="26" t="s">
        <v>8406</v>
      </c>
    </row>
    <row r="2604" spans="1:2" x14ac:dyDescent="0.25">
      <c r="A2604" s="28">
        <v>7711413</v>
      </c>
      <c r="B2604" s="26" t="s">
        <v>11619</v>
      </c>
    </row>
    <row r="2605" spans="1:2" x14ac:dyDescent="0.25">
      <c r="A2605" s="28">
        <v>7711503</v>
      </c>
      <c r="B2605" s="26" t="s">
        <v>8816</v>
      </c>
    </row>
    <row r="2606" spans="1:2" x14ac:dyDescent="0.25">
      <c r="A2606" s="28">
        <v>7711676</v>
      </c>
      <c r="B2606" s="26" t="s">
        <v>10791</v>
      </c>
    </row>
    <row r="2607" spans="1:2" x14ac:dyDescent="0.25">
      <c r="A2607" s="28">
        <v>779999</v>
      </c>
      <c r="B2607" s="26" t="s">
        <v>12794</v>
      </c>
    </row>
    <row r="2608" spans="1:2" x14ac:dyDescent="0.25">
      <c r="A2608" s="28">
        <v>7800000</v>
      </c>
      <c r="B2608" s="26" t="s">
        <v>8833</v>
      </c>
    </row>
    <row r="2609" spans="1:2" x14ac:dyDescent="0.25">
      <c r="A2609" s="28">
        <v>7800001</v>
      </c>
      <c r="B2609" s="26" t="s">
        <v>12349</v>
      </c>
    </row>
    <row r="2610" spans="1:2" x14ac:dyDescent="0.25">
      <c r="A2610" s="28">
        <v>7800002</v>
      </c>
      <c r="B2610" s="26" t="s">
        <v>12350</v>
      </c>
    </row>
    <row r="2611" spans="1:2" x14ac:dyDescent="0.25">
      <c r="A2611" s="28">
        <v>7800003</v>
      </c>
      <c r="B2611" s="26" t="s">
        <v>12351</v>
      </c>
    </row>
    <row r="2612" spans="1:2" x14ac:dyDescent="0.25">
      <c r="A2612" s="28">
        <v>8203265</v>
      </c>
      <c r="B2612" s="26" t="s">
        <v>10854</v>
      </c>
    </row>
    <row r="2613" spans="1:2" x14ac:dyDescent="0.25">
      <c r="A2613" s="28">
        <v>8203267</v>
      </c>
      <c r="B2613" s="26" t="s">
        <v>11620</v>
      </c>
    </row>
    <row r="2614" spans="1:2" x14ac:dyDescent="0.25">
      <c r="A2614" s="28">
        <v>8203268</v>
      </c>
      <c r="B2614" s="26" t="s">
        <v>11621</v>
      </c>
    </row>
    <row r="2615" spans="1:2" x14ac:dyDescent="0.25">
      <c r="A2615" s="28">
        <v>8203830</v>
      </c>
      <c r="B2615" s="26" t="s">
        <v>10855</v>
      </c>
    </row>
    <row r="2616" spans="1:2" x14ac:dyDescent="0.25">
      <c r="A2616" s="28">
        <v>8203835</v>
      </c>
      <c r="B2616" s="26" t="s">
        <v>11622</v>
      </c>
    </row>
    <row r="2617" spans="1:2" x14ac:dyDescent="0.25">
      <c r="A2617" s="28">
        <v>8205006</v>
      </c>
      <c r="B2617" s="26" t="s">
        <v>12244</v>
      </c>
    </row>
    <row r="2618" spans="1:2" x14ac:dyDescent="0.25">
      <c r="A2618" s="28">
        <v>8205010</v>
      </c>
      <c r="B2618" s="26" t="s">
        <v>8813</v>
      </c>
    </row>
    <row r="2619" spans="1:2" x14ac:dyDescent="0.25">
      <c r="A2619" s="28">
        <v>8205011</v>
      </c>
      <c r="B2619" s="26" t="s">
        <v>11623</v>
      </c>
    </row>
    <row r="2620" spans="1:2" x14ac:dyDescent="0.25">
      <c r="A2620" s="28">
        <v>8205016</v>
      </c>
      <c r="B2620" s="26" t="s">
        <v>8811</v>
      </c>
    </row>
    <row r="2621" spans="1:2" x14ac:dyDescent="0.25">
      <c r="A2621" s="28">
        <v>8205018</v>
      </c>
      <c r="B2621" s="26" t="s">
        <v>8812</v>
      </c>
    </row>
    <row r="2622" spans="1:2" x14ac:dyDescent="0.25">
      <c r="A2622" s="28">
        <v>8205020</v>
      </c>
      <c r="B2622" s="26" t="s">
        <v>8814</v>
      </c>
    </row>
    <row r="2623" spans="1:2" x14ac:dyDescent="0.25">
      <c r="A2623" s="28">
        <v>8205021</v>
      </c>
      <c r="B2623" s="26" t="s">
        <v>11624</v>
      </c>
    </row>
    <row r="2624" spans="1:2" x14ac:dyDescent="0.25">
      <c r="A2624" s="28">
        <v>8205030</v>
      </c>
      <c r="B2624" s="26" t="s">
        <v>11625</v>
      </c>
    </row>
    <row r="2625" spans="1:2" x14ac:dyDescent="0.25">
      <c r="A2625" s="28">
        <v>8205037</v>
      </c>
      <c r="B2625" s="26" t="s">
        <v>13212</v>
      </c>
    </row>
    <row r="2626" spans="1:2" x14ac:dyDescent="0.25">
      <c r="A2626" s="28">
        <v>8205038</v>
      </c>
      <c r="B2626" s="26" t="s">
        <v>13213</v>
      </c>
    </row>
    <row r="2627" spans="1:2" x14ac:dyDescent="0.25">
      <c r="A2627" s="28">
        <v>8205040</v>
      </c>
      <c r="B2627" s="26" t="s">
        <v>8809</v>
      </c>
    </row>
    <row r="2628" spans="1:2" x14ac:dyDescent="0.25">
      <c r="A2628" s="28">
        <v>8205041</v>
      </c>
      <c r="B2628" s="26" t="s">
        <v>8799</v>
      </c>
    </row>
    <row r="2629" spans="1:2" x14ac:dyDescent="0.25">
      <c r="A2629" s="26" t="s">
        <v>12795</v>
      </c>
      <c r="B2629" s="27"/>
    </row>
    <row r="2630" spans="1:2" x14ac:dyDescent="0.25">
      <c r="A2630" s="28">
        <v>8205044</v>
      </c>
      <c r="B2630" s="26" t="s">
        <v>11626</v>
      </c>
    </row>
    <row r="2631" spans="1:2" x14ac:dyDescent="0.25">
      <c r="A2631" s="28">
        <v>8205050</v>
      </c>
      <c r="B2631" s="26" t="s">
        <v>8793</v>
      </c>
    </row>
    <row r="2632" spans="1:2" x14ac:dyDescent="0.25">
      <c r="A2632" s="28">
        <v>8205051</v>
      </c>
      <c r="B2632" s="26" t="s">
        <v>8792</v>
      </c>
    </row>
    <row r="2633" spans="1:2" x14ac:dyDescent="0.25">
      <c r="A2633" s="28">
        <v>8205060</v>
      </c>
      <c r="B2633" s="26" t="s">
        <v>8810</v>
      </c>
    </row>
    <row r="2634" spans="1:2" x14ac:dyDescent="0.25">
      <c r="A2634" s="28">
        <v>8205061</v>
      </c>
      <c r="B2634" s="26" t="s">
        <v>11627</v>
      </c>
    </row>
    <row r="2635" spans="1:2" x14ac:dyDescent="0.25">
      <c r="A2635" s="28">
        <v>8205078</v>
      </c>
      <c r="B2635" s="26" t="s">
        <v>8795</v>
      </c>
    </row>
    <row r="2636" spans="1:2" x14ac:dyDescent="0.25">
      <c r="A2636" s="28">
        <v>8205079</v>
      </c>
      <c r="B2636" s="26" t="s">
        <v>11628</v>
      </c>
    </row>
    <row r="2637" spans="1:2" x14ac:dyDescent="0.25">
      <c r="A2637" s="28">
        <v>8205080</v>
      </c>
      <c r="B2637" s="26" t="s">
        <v>8788</v>
      </c>
    </row>
    <row r="2638" spans="1:2" x14ac:dyDescent="0.25">
      <c r="A2638" s="28">
        <v>8205090</v>
      </c>
      <c r="B2638" s="26" t="s">
        <v>8800</v>
      </c>
    </row>
    <row r="2639" spans="1:2" x14ac:dyDescent="0.25">
      <c r="A2639" s="28">
        <v>8205115</v>
      </c>
      <c r="B2639" s="26" t="s">
        <v>8797</v>
      </c>
    </row>
    <row r="2640" spans="1:2" x14ac:dyDescent="0.25">
      <c r="A2640" s="28">
        <v>8205116</v>
      </c>
      <c r="B2640" s="26" t="s">
        <v>8798</v>
      </c>
    </row>
    <row r="2641" spans="1:2" x14ac:dyDescent="0.25">
      <c r="A2641" s="28">
        <v>8205117</v>
      </c>
      <c r="B2641" s="26" t="s">
        <v>8794</v>
      </c>
    </row>
    <row r="2642" spans="1:2" x14ac:dyDescent="0.25">
      <c r="A2642" s="28">
        <v>8205118</v>
      </c>
      <c r="B2642" s="26" t="s">
        <v>8790</v>
      </c>
    </row>
    <row r="2643" spans="1:2" x14ac:dyDescent="0.25">
      <c r="A2643" s="28">
        <v>8205119</v>
      </c>
      <c r="B2643" s="26" t="s">
        <v>8791</v>
      </c>
    </row>
    <row r="2644" spans="1:2" x14ac:dyDescent="0.25">
      <c r="A2644" s="28">
        <v>8205120</v>
      </c>
      <c r="B2644" s="26" t="s">
        <v>8801</v>
      </c>
    </row>
    <row r="2645" spans="1:2" x14ac:dyDescent="0.25">
      <c r="A2645" s="28">
        <v>8205150</v>
      </c>
      <c r="B2645" s="26" t="s">
        <v>8787</v>
      </c>
    </row>
    <row r="2646" spans="1:2" x14ac:dyDescent="0.25">
      <c r="A2646" s="28">
        <v>8205200</v>
      </c>
      <c r="B2646" s="26" t="s">
        <v>12796</v>
      </c>
    </row>
    <row r="2647" spans="1:2" x14ac:dyDescent="0.25">
      <c r="A2647" s="28">
        <v>8205210</v>
      </c>
      <c r="B2647" s="26" t="s">
        <v>12797</v>
      </c>
    </row>
    <row r="2648" spans="1:2" x14ac:dyDescent="0.25">
      <c r="A2648" s="28">
        <v>8205600</v>
      </c>
      <c r="B2648" s="26" t="s">
        <v>12245</v>
      </c>
    </row>
    <row r="2649" spans="1:2" x14ac:dyDescent="0.25">
      <c r="A2649" s="28">
        <v>8205800</v>
      </c>
      <c r="B2649" s="26" t="s">
        <v>8796</v>
      </c>
    </row>
    <row r="2650" spans="1:2" x14ac:dyDescent="0.25">
      <c r="A2650" s="28">
        <v>8205818</v>
      </c>
      <c r="B2650" s="26" t="s">
        <v>12352</v>
      </c>
    </row>
    <row r="2651" spans="1:2" x14ac:dyDescent="0.25">
      <c r="A2651" s="28">
        <v>8205881</v>
      </c>
      <c r="B2651" s="26" t="s">
        <v>8789</v>
      </c>
    </row>
    <row r="2652" spans="1:2" x14ac:dyDescent="0.25">
      <c r="A2652" s="28">
        <v>8205989</v>
      </c>
      <c r="B2652" s="26" t="s">
        <v>11629</v>
      </c>
    </row>
    <row r="2653" spans="1:2" x14ac:dyDescent="0.25">
      <c r="A2653" s="28">
        <v>8251025</v>
      </c>
      <c r="B2653" s="26" t="s">
        <v>8460</v>
      </c>
    </row>
    <row r="2654" spans="1:2" x14ac:dyDescent="0.25">
      <c r="A2654" s="28">
        <v>8300777</v>
      </c>
      <c r="B2654" s="26" t="s">
        <v>8837</v>
      </c>
    </row>
    <row r="2655" spans="1:2" x14ac:dyDescent="0.25">
      <c r="A2655" s="28">
        <v>8301000</v>
      </c>
      <c r="B2655" s="26" t="s">
        <v>8468</v>
      </c>
    </row>
    <row r="2656" spans="1:2" x14ac:dyDescent="0.25">
      <c r="A2656" s="28">
        <v>8301008</v>
      </c>
      <c r="B2656" s="26" t="s">
        <v>8469</v>
      </c>
    </row>
    <row r="2657" spans="1:2" x14ac:dyDescent="0.25">
      <c r="A2657" s="28">
        <v>8301300</v>
      </c>
      <c r="B2657" s="26" t="s">
        <v>11630</v>
      </c>
    </row>
    <row r="2658" spans="1:2" x14ac:dyDescent="0.25">
      <c r="A2658" s="28">
        <v>8301301</v>
      </c>
      <c r="B2658" s="26" t="s">
        <v>8464</v>
      </c>
    </row>
    <row r="2659" spans="1:2" x14ac:dyDescent="0.25">
      <c r="A2659" s="28">
        <v>8301310</v>
      </c>
      <c r="B2659" s="26" t="s">
        <v>11631</v>
      </c>
    </row>
    <row r="2660" spans="1:2" x14ac:dyDescent="0.25">
      <c r="A2660" s="28">
        <v>8301311</v>
      </c>
      <c r="B2660" s="26" t="s">
        <v>8463</v>
      </c>
    </row>
    <row r="2661" spans="1:2" x14ac:dyDescent="0.25">
      <c r="A2661" s="28">
        <v>8301312</v>
      </c>
      <c r="B2661" s="26" t="s">
        <v>8466</v>
      </c>
    </row>
    <row r="2662" spans="1:2" x14ac:dyDescent="0.25">
      <c r="A2662" s="28">
        <v>8301313</v>
      </c>
      <c r="B2662" s="26" t="s">
        <v>11632</v>
      </c>
    </row>
    <row r="2663" spans="1:2" x14ac:dyDescent="0.25">
      <c r="A2663" s="28">
        <v>8301350</v>
      </c>
      <c r="B2663" s="26" t="s">
        <v>8471</v>
      </c>
    </row>
    <row r="2664" spans="1:2" x14ac:dyDescent="0.25">
      <c r="A2664" s="28">
        <v>8301495</v>
      </c>
      <c r="B2664" s="26" t="s">
        <v>8472</v>
      </c>
    </row>
    <row r="2665" spans="1:2" x14ac:dyDescent="0.25">
      <c r="A2665" s="28">
        <v>8301558</v>
      </c>
      <c r="B2665" s="26" t="s">
        <v>8465</v>
      </c>
    </row>
    <row r="2666" spans="1:2" x14ac:dyDescent="0.25">
      <c r="A2666" s="28">
        <v>8301700</v>
      </c>
      <c r="B2666" s="26" t="s">
        <v>8473</v>
      </c>
    </row>
    <row r="2667" spans="1:2" x14ac:dyDescent="0.25">
      <c r="A2667" s="28">
        <v>8301805</v>
      </c>
      <c r="B2667" s="26" t="s">
        <v>8470</v>
      </c>
    </row>
    <row r="2668" spans="1:2" x14ac:dyDescent="0.25">
      <c r="A2668" s="28">
        <v>8301900</v>
      </c>
      <c r="B2668" s="26" t="s">
        <v>8467</v>
      </c>
    </row>
    <row r="2669" spans="1:2" x14ac:dyDescent="0.25">
      <c r="A2669" s="28">
        <v>830190003</v>
      </c>
      <c r="B2669" s="26" t="s">
        <v>13214</v>
      </c>
    </row>
    <row r="2670" spans="1:2" x14ac:dyDescent="0.25">
      <c r="A2670" s="28">
        <v>8301901</v>
      </c>
      <c r="B2670" s="26" t="s">
        <v>11633</v>
      </c>
    </row>
    <row r="2671" spans="1:2" x14ac:dyDescent="0.25">
      <c r="A2671" s="28">
        <v>8302001</v>
      </c>
      <c r="B2671" s="26" t="s">
        <v>11634</v>
      </c>
    </row>
    <row r="2672" spans="1:2" x14ac:dyDescent="0.25">
      <c r="A2672" s="28">
        <v>8303000</v>
      </c>
      <c r="B2672" s="26" t="s">
        <v>11635</v>
      </c>
    </row>
    <row r="2673" spans="1:2" x14ac:dyDescent="0.25">
      <c r="A2673" s="28">
        <v>8303001</v>
      </c>
      <c r="B2673" s="26" t="s">
        <v>9145</v>
      </c>
    </row>
    <row r="2674" spans="1:2" x14ac:dyDescent="0.25">
      <c r="A2674" s="28">
        <v>8303002</v>
      </c>
      <c r="B2674" s="26" t="s">
        <v>9148</v>
      </c>
    </row>
    <row r="2675" spans="1:2" x14ac:dyDescent="0.25">
      <c r="A2675" s="28">
        <v>8303003</v>
      </c>
      <c r="B2675" s="26" t="s">
        <v>9135</v>
      </c>
    </row>
    <row r="2676" spans="1:2" x14ac:dyDescent="0.25">
      <c r="A2676" s="28">
        <v>8303004</v>
      </c>
      <c r="B2676" s="26" t="s">
        <v>9137</v>
      </c>
    </row>
    <row r="2677" spans="1:2" x14ac:dyDescent="0.25">
      <c r="A2677" s="28">
        <v>8303005</v>
      </c>
      <c r="B2677" s="26" t="s">
        <v>9121</v>
      </c>
    </row>
    <row r="2678" spans="1:2" x14ac:dyDescent="0.25">
      <c r="A2678" s="28">
        <v>8303006</v>
      </c>
      <c r="B2678" s="26" t="s">
        <v>9126</v>
      </c>
    </row>
    <row r="2679" spans="1:2" x14ac:dyDescent="0.25">
      <c r="A2679" s="28">
        <v>8303007</v>
      </c>
      <c r="B2679" s="26" t="s">
        <v>9149</v>
      </c>
    </row>
    <row r="2680" spans="1:2" x14ac:dyDescent="0.25">
      <c r="A2680" s="28">
        <v>8303008</v>
      </c>
      <c r="B2680" s="26" t="s">
        <v>9118</v>
      </c>
    </row>
    <row r="2681" spans="1:2" x14ac:dyDescent="0.25">
      <c r="A2681" s="28">
        <v>8303009</v>
      </c>
      <c r="B2681" s="26" t="s">
        <v>11636</v>
      </c>
    </row>
    <row r="2682" spans="1:2" x14ac:dyDescent="0.25">
      <c r="A2682" s="28">
        <v>8303010</v>
      </c>
      <c r="B2682" s="26" t="s">
        <v>9121</v>
      </c>
    </row>
    <row r="2683" spans="1:2" x14ac:dyDescent="0.25">
      <c r="A2683" s="28">
        <v>8303011</v>
      </c>
      <c r="B2683" s="26" t="s">
        <v>9123</v>
      </c>
    </row>
    <row r="2684" spans="1:2" x14ac:dyDescent="0.25">
      <c r="A2684" s="28">
        <v>8303012</v>
      </c>
      <c r="B2684" s="26" t="s">
        <v>11637</v>
      </c>
    </row>
    <row r="2685" spans="1:2" x14ac:dyDescent="0.25">
      <c r="A2685" s="28">
        <v>8303013</v>
      </c>
      <c r="B2685" s="26" t="s">
        <v>11638</v>
      </c>
    </row>
    <row r="2686" spans="1:2" x14ac:dyDescent="0.25">
      <c r="A2686" s="28">
        <v>8303014</v>
      </c>
      <c r="B2686" s="26" t="s">
        <v>12353</v>
      </c>
    </row>
    <row r="2687" spans="1:2" x14ac:dyDescent="0.25">
      <c r="A2687" s="28">
        <v>8303015</v>
      </c>
      <c r="B2687" s="26" t="s">
        <v>11639</v>
      </c>
    </row>
    <row r="2688" spans="1:2" x14ac:dyDescent="0.25">
      <c r="A2688" s="28">
        <v>8303016</v>
      </c>
      <c r="B2688" s="26" t="s">
        <v>11640</v>
      </c>
    </row>
    <row r="2689" spans="1:2" x14ac:dyDescent="0.25">
      <c r="A2689" s="28">
        <v>8303017</v>
      </c>
      <c r="B2689" s="26" t="s">
        <v>11641</v>
      </c>
    </row>
    <row r="2690" spans="1:2" x14ac:dyDescent="0.25">
      <c r="A2690" s="28">
        <v>8303018</v>
      </c>
      <c r="B2690" s="26" t="s">
        <v>11642</v>
      </c>
    </row>
    <row r="2691" spans="1:2" x14ac:dyDescent="0.25">
      <c r="A2691" s="28">
        <v>8303019</v>
      </c>
      <c r="B2691" s="26" t="s">
        <v>11643</v>
      </c>
    </row>
    <row r="2692" spans="1:2" x14ac:dyDescent="0.25">
      <c r="A2692" s="28">
        <v>8303020</v>
      </c>
      <c r="B2692" s="26" t="s">
        <v>9122</v>
      </c>
    </row>
    <row r="2693" spans="1:2" x14ac:dyDescent="0.25">
      <c r="A2693" s="28">
        <v>8303021</v>
      </c>
      <c r="B2693" s="26" t="s">
        <v>12354</v>
      </c>
    </row>
    <row r="2694" spans="1:2" x14ac:dyDescent="0.25">
      <c r="A2694" s="28">
        <v>8303022</v>
      </c>
      <c r="B2694" s="26" t="s">
        <v>12355</v>
      </c>
    </row>
    <row r="2695" spans="1:2" x14ac:dyDescent="0.25">
      <c r="A2695" s="28">
        <v>8303023</v>
      </c>
      <c r="B2695" s="26" t="s">
        <v>12356</v>
      </c>
    </row>
    <row r="2696" spans="1:2" x14ac:dyDescent="0.25">
      <c r="A2696" s="28">
        <v>8303032</v>
      </c>
      <c r="B2696" s="26" t="s">
        <v>11644</v>
      </c>
    </row>
    <row r="2697" spans="1:2" x14ac:dyDescent="0.25">
      <c r="A2697" s="28">
        <v>8303033</v>
      </c>
      <c r="B2697" s="26" t="s">
        <v>11645</v>
      </c>
    </row>
    <row r="2698" spans="1:2" x14ac:dyDescent="0.25">
      <c r="A2698" s="28">
        <v>8303111</v>
      </c>
      <c r="B2698" s="26" t="s">
        <v>9128</v>
      </c>
    </row>
    <row r="2699" spans="1:2" x14ac:dyDescent="0.25">
      <c r="A2699" s="28">
        <v>8303112</v>
      </c>
      <c r="B2699" s="26" t="s">
        <v>9127</v>
      </c>
    </row>
    <row r="2700" spans="1:2" x14ac:dyDescent="0.25">
      <c r="A2700" s="28">
        <v>8303113</v>
      </c>
      <c r="B2700" s="26" t="s">
        <v>9141</v>
      </c>
    </row>
    <row r="2701" spans="1:2" x14ac:dyDescent="0.25">
      <c r="A2701" s="28">
        <v>8303114</v>
      </c>
      <c r="B2701" s="26" t="s">
        <v>9124</v>
      </c>
    </row>
    <row r="2702" spans="1:2" x14ac:dyDescent="0.25">
      <c r="A2702" s="28">
        <v>8303116</v>
      </c>
      <c r="B2702" s="26" t="s">
        <v>12357</v>
      </c>
    </row>
    <row r="2703" spans="1:2" x14ac:dyDescent="0.25">
      <c r="A2703" s="28">
        <v>8303119</v>
      </c>
      <c r="B2703" s="26" t="s">
        <v>12358</v>
      </c>
    </row>
    <row r="2704" spans="1:2" x14ac:dyDescent="0.25">
      <c r="A2704" s="28">
        <v>8303120</v>
      </c>
      <c r="B2704" s="26" t="s">
        <v>9129</v>
      </c>
    </row>
    <row r="2705" spans="1:2" x14ac:dyDescent="0.25">
      <c r="A2705" s="28">
        <v>8303121</v>
      </c>
      <c r="B2705" s="26" t="s">
        <v>9132</v>
      </c>
    </row>
    <row r="2706" spans="1:2" x14ac:dyDescent="0.25">
      <c r="A2706" s="28">
        <v>8303123</v>
      </c>
      <c r="B2706" s="26" t="s">
        <v>9117</v>
      </c>
    </row>
    <row r="2707" spans="1:2" x14ac:dyDescent="0.25">
      <c r="A2707" s="28">
        <v>8303125</v>
      </c>
      <c r="B2707" s="26" t="s">
        <v>9131</v>
      </c>
    </row>
    <row r="2708" spans="1:2" x14ac:dyDescent="0.25">
      <c r="A2708" s="28">
        <v>8303126</v>
      </c>
      <c r="B2708" s="26" t="s">
        <v>11646</v>
      </c>
    </row>
    <row r="2709" spans="1:2" x14ac:dyDescent="0.25">
      <c r="A2709" s="28">
        <v>8303127</v>
      </c>
      <c r="B2709" s="26" t="s">
        <v>9130</v>
      </c>
    </row>
    <row r="2710" spans="1:2" x14ac:dyDescent="0.25">
      <c r="A2710" s="28">
        <v>8303128</v>
      </c>
      <c r="B2710" s="26" t="s">
        <v>9139</v>
      </c>
    </row>
    <row r="2711" spans="1:2" x14ac:dyDescent="0.25">
      <c r="A2711" s="28">
        <v>8303129</v>
      </c>
      <c r="B2711" s="26" t="s">
        <v>9146</v>
      </c>
    </row>
    <row r="2712" spans="1:2" x14ac:dyDescent="0.25">
      <c r="A2712" s="28">
        <v>8303130</v>
      </c>
      <c r="B2712" s="26" t="s">
        <v>9134</v>
      </c>
    </row>
    <row r="2713" spans="1:2" x14ac:dyDescent="0.25">
      <c r="A2713" s="28">
        <v>8303131</v>
      </c>
      <c r="B2713" s="26" t="s">
        <v>11647</v>
      </c>
    </row>
    <row r="2714" spans="1:2" x14ac:dyDescent="0.25">
      <c r="A2714" s="28">
        <v>8303132</v>
      </c>
      <c r="B2714" s="26" t="s">
        <v>11648</v>
      </c>
    </row>
    <row r="2715" spans="1:2" x14ac:dyDescent="0.25">
      <c r="A2715" s="28">
        <v>8303133</v>
      </c>
      <c r="B2715" s="26" t="s">
        <v>11649</v>
      </c>
    </row>
    <row r="2716" spans="1:2" x14ac:dyDescent="0.25">
      <c r="A2716" s="28">
        <v>8303222</v>
      </c>
      <c r="B2716" s="26" t="s">
        <v>12798</v>
      </c>
    </row>
    <row r="2717" spans="1:2" x14ac:dyDescent="0.25">
      <c r="A2717" s="28">
        <v>8303223</v>
      </c>
      <c r="B2717" s="26" t="s">
        <v>12799</v>
      </c>
    </row>
    <row r="2718" spans="1:2" x14ac:dyDescent="0.25">
      <c r="A2718" s="28">
        <v>8303297</v>
      </c>
      <c r="B2718" s="26" t="s">
        <v>10723</v>
      </c>
    </row>
    <row r="2719" spans="1:2" x14ac:dyDescent="0.25">
      <c r="A2719" s="28">
        <v>8303298</v>
      </c>
      <c r="B2719" s="26" t="s">
        <v>10725</v>
      </c>
    </row>
    <row r="2720" spans="1:2" x14ac:dyDescent="0.25">
      <c r="A2720" s="28">
        <v>8303299</v>
      </c>
      <c r="B2720" s="26" t="s">
        <v>10722</v>
      </c>
    </row>
    <row r="2721" spans="1:2" x14ac:dyDescent="0.25">
      <c r="A2721" s="28">
        <v>8303300</v>
      </c>
      <c r="B2721" s="26" t="s">
        <v>10726</v>
      </c>
    </row>
    <row r="2722" spans="1:2" x14ac:dyDescent="0.25">
      <c r="A2722" s="28">
        <v>8303356</v>
      </c>
      <c r="B2722" s="26" t="s">
        <v>11650</v>
      </c>
    </row>
    <row r="2723" spans="1:2" x14ac:dyDescent="0.25">
      <c r="A2723" s="28">
        <v>8303357</v>
      </c>
      <c r="B2723" s="26" t="s">
        <v>9148</v>
      </c>
    </row>
    <row r="2724" spans="1:2" x14ac:dyDescent="0.25">
      <c r="A2724" s="28">
        <v>8303358</v>
      </c>
      <c r="B2724" s="26" t="s">
        <v>11651</v>
      </c>
    </row>
    <row r="2725" spans="1:2" x14ac:dyDescent="0.25">
      <c r="A2725" s="28">
        <v>8303360</v>
      </c>
      <c r="B2725" s="26" t="s">
        <v>12246</v>
      </c>
    </row>
    <row r="2726" spans="1:2" x14ac:dyDescent="0.25">
      <c r="A2726" s="28">
        <v>8303442</v>
      </c>
      <c r="B2726" s="26" t="s">
        <v>12800</v>
      </c>
    </row>
    <row r="2727" spans="1:2" x14ac:dyDescent="0.25">
      <c r="A2727" s="28">
        <v>8303495</v>
      </c>
      <c r="B2727" s="26" t="s">
        <v>9133</v>
      </c>
    </row>
    <row r="2728" spans="1:2" x14ac:dyDescent="0.25">
      <c r="A2728" s="28">
        <v>8303496</v>
      </c>
      <c r="B2728" s="26" t="s">
        <v>9140</v>
      </c>
    </row>
    <row r="2729" spans="1:2" x14ac:dyDescent="0.25">
      <c r="A2729" s="28">
        <v>8303523</v>
      </c>
      <c r="B2729" s="26" t="s">
        <v>10724</v>
      </c>
    </row>
    <row r="2730" spans="1:2" x14ac:dyDescent="0.25">
      <c r="A2730" s="28">
        <v>8303544</v>
      </c>
      <c r="B2730" s="26" t="s">
        <v>9142</v>
      </c>
    </row>
    <row r="2731" spans="1:2" x14ac:dyDescent="0.25">
      <c r="A2731" s="28">
        <v>8303665</v>
      </c>
      <c r="B2731" s="26" t="s">
        <v>9119</v>
      </c>
    </row>
    <row r="2732" spans="1:2" x14ac:dyDescent="0.25">
      <c r="A2732" s="28">
        <v>8303674</v>
      </c>
      <c r="B2732" s="26" t="s">
        <v>9125</v>
      </c>
    </row>
    <row r="2733" spans="1:2" x14ac:dyDescent="0.25">
      <c r="A2733" s="28">
        <v>8303677</v>
      </c>
      <c r="B2733" s="26" t="s">
        <v>9120</v>
      </c>
    </row>
    <row r="2734" spans="1:2" x14ac:dyDescent="0.25">
      <c r="A2734" s="28">
        <v>8303700</v>
      </c>
      <c r="B2734" s="26" t="s">
        <v>11652</v>
      </c>
    </row>
    <row r="2735" spans="1:2" x14ac:dyDescent="0.25">
      <c r="A2735" s="28">
        <v>8303701</v>
      </c>
      <c r="B2735" s="26" t="s">
        <v>9147</v>
      </c>
    </row>
    <row r="2736" spans="1:2" x14ac:dyDescent="0.25">
      <c r="A2736" s="28">
        <v>8303750</v>
      </c>
      <c r="B2736" s="26" t="s">
        <v>13215</v>
      </c>
    </row>
    <row r="2737" spans="1:2" x14ac:dyDescent="0.25">
      <c r="A2737" s="28">
        <v>8303800</v>
      </c>
      <c r="B2737" s="26" t="s">
        <v>9136</v>
      </c>
    </row>
    <row r="2738" spans="1:2" x14ac:dyDescent="0.25">
      <c r="A2738" s="28">
        <v>8303900</v>
      </c>
      <c r="B2738" s="26" t="s">
        <v>9143</v>
      </c>
    </row>
    <row r="2739" spans="1:2" x14ac:dyDescent="0.25">
      <c r="A2739" s="28">
        <v>8303901</v>
      </c>
      <c r="B2739" s="26" t="s">
        <v>9144</v>
      </c>
    </row>
    <row r="2740" spans="1:2" x14ac:dyDescent="0.25">
      <c r="A2740" s="28">
        <v>8303902</v>
      </c>
      <c r="B2740" s="26" t="s">
        <v>9138</v>
      </c>
    </row>
    <row r="2741" spans="1:2" x14ac:dyDescent="0.25">
      <c r="A2741" s="28">
        <v>8303987</v>
      </c>
      <c r="B2741" s="26" t="s">
        <v>11653</v>
      </c>
    </row>
    <row r="2742" spans="1:2" x14ac:dyDescent="0.25">
      <c r="A2742" s="28">
        <v>8305000</v>
      </c>
      <c r="B2742" s="26" t="s">
        <v>9655</v>
      </c>
    </row>
    <row r="2743" spans="1:2" x14ac:dyDescent="0.25">
      <c r="A2743" s="28">
        <v>8305001</v>
      </c>
      <c r="B2743" s="26" t="s">
        <v>9658</v>
      </c>
    </row>
    <row r="2744" spans="1:2" x14ac:dyDescent="0.25">
      <c r="A2744" s="28">
        <v>8305002</v>
      </c>
      <c r="B2744" s="26" t="s">
        <v>9659</v>
      </c>
    </row>
    <row r="2745" spans="1:2" x14ac:dyDescent="0.25">
      <c r="A2745" s="28">
        <v>8305003</v>
      </c>
      <c r="B2745" s="26" t="s">
        <v>11654</v>
      </c>
    </row>
    <row r="2746" spans="1:2" x14ac:dyDescent="0.25">
      <c r="A2746" s="28">
        <v>8305004</v>
      </c>
      <c r="B2746" s="26" t="s">
        <v>11655</v>
      </c>
    </row>
    <row r="2747" spans="1:2" x14ac:dyDescent="0.25">
      <c r="A2747" s="28">
        <v>8305006</v>
      </c>
      <c r="B2747" s="26" t="s">
        <v>11656</v>
      </c>
    </row>
    <row r="2748" spans="1:2" x14ac:dyDescent="0.25">
      <c r="A2748" s="28">
        <v>8305007</v>
      </c>
      <c r="B2748" s="26" t="s">
        <v>11657</v>
      </c>
    </row>
    <row r="2749" spans="1:2" x14ac:dyDescent="0.25">
      <c r="A2749" s="28">
        <v>8305008</v>
      </c>
      <c r="B2749" s="26" t="s">
        <v>9656</v>
      </c>
    </row>
    <row r="2750" spans="1:2" x14ac:dyDescent="0.25">
      <c r="A2750" s="28">
        <v>8305010</v>
      </c>
      <c r="B2750" s="26" t="s">
        <v>13216</v>
      </c>
    </row>
    <row r="2751" spans="1:2" x14ac:dyDescent="0.25">
      <c r="A2751" s="28">
        <v>8306100</v>
      </c>
      <c r="B2751" s="26" t="s">
        <v>9725</v>
      </c>
    </row>
    <row r="2752" spans="1:2" x14ac:dyDescent="0.25">
      <c r="A2752" s="28">
        <v>8306101</v>
      </c>
      <c r="B2752" s="26" t="s">
        <v>9728</v>
      </c>
    </row>
    <row r="2753" spans="1:2" x14ac:dyDescent="0.25">
      <c r="A2753" s="28">
        <v>8306200</v>
      </c>
      <c r="B2753" s="26" t="s">
        <v>9729</v>
      </c>
    </row>
    <row r="2754" spans="1:2" x14ac:dyDescent="0.25">
      <c r="A2754" s="28">
        <v>8307001</v>
      </c>
      <c r="B2754" s="26" t="s">
        <v>11658</v>
      </c>
    </row>
    <row r="2755" spans="1:2" x14ac:dyDescent="0.25">
      <c r="A2755" s="26" t="s">
        <v>12801</v>
      </c>
      <c r="B2755" s="27"/>
    </row>
    <row r="2756" spans="1:2" x14ac:dyDescent="0.25">
      <c r="A2756" s="28">
        <v>8307002</v>
      </c>
      <c r="B2756" s="26" t="s">
        <v>8786</v>
      </c>
    </row>
    <row r="2757" spans="1:2" x14ac:dyDescent="0.25">
      <c r="A2757" s="28">
        <v>8307003</v>
      </c>
      <c r="B2757" s="26" t="s">
        <v>12359</v>
      </c>
    </row>
    <row r="2758" spans="1:2" x14ac:dyDescent="0.25">
      <c r="A2758" s="28">
        <v>8307017</v>
      </c>
      <c r="B2758" s="26" t="s">
        <v>11659</v>
      </c>
    </row>
    <row r="2759" spans="1:2" x14ac:dyDescent="0.25">
      <c r="A2759" s="28">
        <v>8307018</v>
      </c>
      <c r="B2759" s="26" t="s">
        <v>11660</v>
      </c>
    </row>
    <row r="2760" spans="1:2" x14ac:dyDescent="0.25">
      <c r="A2760" s="28">
        <v>8307159</v>
      </c>
      <c r="B2760" s="26" t="s">
        <v>11661</v>
      </c>
    </row>
    <row r="2761" spans="1:2" x14ac:dyDescent="0.25">
      <c r="A2761" s="28">
        <v>8307810</v>
      </c>
      <c r="B2761" s="26" t="s">
        <v>9180</v>
      </c>
    </row>
    <row r="2762" spans="1:2" x14ac:dyDescent="0.25">
      <c r="A2762" s="28">
        <v>8307811</v>
      </c>
      <c r="B2762" s="26" t="s">
        <v>11662</v>
      </c>
    </row>
    <row r="2763" spans="1:2" x14ac:dyDescent="0.25">
      <c r="A2763" s="28">
        <v>8351026</v>
      </c>
      <c r="B2763" s="26" t="s">
        <v>11663</v>
      </c>
    </row>
    <row r="2764" spans="1:2" x14ac:dyDescent="0.25">
      <c r="A2764" s="28">
        <v>8400000</v>
      </c>
      <c r="B2764" s="26" t="s">
        <v>9661</v>
      </c>
    </row>
    <row r="2765" spans="1:2" x14ac:dyDescent="0.25">
      <c r="A2765" s="28">
        <v>8400001</v>
      </c>
      <c r="B2765" s="26" t="s">
        <v>9679</v>
      </c>
    </row>
    <row r="2766" spans="1:2" x14ac:dyDescent="0.25">
      <c r="A2766" s="28">
        <v>8400002</v>
      </c>
      <c r="B2766" s="26" t="s">
        <v>9663</v>
      </c>
    </row>
    <row r="2767" spans="1:2" x14ac:dyDescent="0.25">
      <c r="A2767" s="28">
        <v>8400003</v>
      </c>
      <c r="B2767" s="26" t="s">
        <v>9702</v>
      </c>
    </row>
    <row r="2768" spans="1:2" x14ac:dyDescent="0.25">
      <c r="A2768" s="28">
        <v>8400004</v>
      </c>
      <c r="B2768" s="26" t="s">
        <v>9677</v>
      </c>
    </row>
    <row r="2769" spans="1:2" x14ac:dyDescent="0.25">
      <c r="A2769" s="28">
        <v>8400005</v>
      </c>
      <c r="B2769" s="26" t="s">
        <v>9718</v>
      </c>
    </row>
    <row r="2770" spans="1:2" x14ac:dyDescent="0.25">
      <c r="A2770" s="28">
        <v>8400007</v>
      </c>
      <c r="B2770" s="26" t="s">
        <v>12247</v>
      </c>
    </row>
    <row r="2771" spans="1:2" x14ac:dyDescent="0.25">
      <c r="A2771" s="28">
        <v>8400008</v>
      </c>
      <c r="B2771" s="26" t="s">
        <v>9660</v>
      </c>
    </row>
    <row r="2772" spans="1:2" x14ac:dyDescent="0.25">
      <c r="A2772" s="28">
        <v>8400009</v>
      </c>
      <c r="B2772" s="26" t="s">
        <v>11664</v>
      </c>
    </row>
    <row r="2773" spans="1:2" x14ac:dyDescent="0.25">
      <c r="A2773" s="28">
        <v>8400010</v>
      </c>
      <c r="B2773" s="26" t="s">
        <v>9662</v>
      </c>
    </row>
    <row r="2774" spans="1:2" x14ac:dyDescent="0.25">
      <c r="A2774" s="28">
        <v>8400020</v>
      </c>
      <c r="B2774" s="26" t="s">
        <v>11665</v>
      </c>
    </row>
    <row r="2775" spans="1:2" x14ac:dyDescent="0.25">
      <c r="A2775" s="28">
        <v>8400021</v>
      </c>
      <c r="B2775" s="26" t="s">
        <v>11666</v>
      </c>
    </row>
    <row r="2776" spans="1:2" x14ac:dyDescent="0.25">
      <c r="A2776" s="28">
        <v>8400024</v>
      </c>
      <c r="B2776" s="26" t="s">
        <v>9682</v>
      </c>
    </row>
    <row r="2777" spans="1:2" x14ac:dyDescent="0.25">
      <c r="A2777" s="28">
        <v>8400025</v>
      </c>
      <c r="B2777" s="26" t="s">
        <v>11667</v>
      </c>
    </row>
    <row r="2778" spans="1:2" x14ac:dyDescent="0.25">
      <c r="A2778" s="28">
        <v>8400026</v>
      </c>
      <c r="B2778" s="26" t="s">
        <v>9697</v>
      </c>
    </row>
    <row r="2779" spans="1:2" x14ac:dyDescent="0.25">
      <c r="A2779" s="28">
        <v>8400027</v>
      </c>
      <c r="B2779" s="26" t="s">
        <v>9683</v>
      </c>
    </row>
    <row r="2780" spans="1:2" x14ac:dyDescent="0.25">
      <c r="A2780" s="28">
        <v>8400028</v>
      </c>
      <c r="B2780" s="26" t="s">
        <v>11668</v>
      </c>
    </row>
    <row r="2781" spans="1:2" x14ac:dyDescent="0.25">
      <c r="A2781" s="28">
        <v>8400029</v>
      </c>
      <c r="B2781" s="26" t="s">
        <v>11669</v>
      </c>
    </row>
    <row r="2782" spans="1:2" x14ac:dyDescent="0.25">
      <c r="A2782" s="28">
        <v>8400030</v>
      </c>
      <c r="B2782" s="26" t="s">
        <v>11670</v>
      </c>
    </row>
    <row r="2783" spans="1:2" x14ac:dyDescent="0.25">
      <c r="A2783" s="28">
        <v>8400032</v>
      </c>
      <c r="B2783" s="26" t="s">
        <v>11671</v>
      </c>
    </row>
    <row r="2784" spans="1:2" x14ac:dyDescent="0.25">
      <c r="A2784" s="28">
        <v>8400035</v>
      </c>
      <c r="B2784" s="26" t="s">
        <v>11672</v>
      </c>
    </row>
    <row r="2785" spans="1:2" x14ac:dyDescent="0.25">
      <c r="A2785" s="28">
        <v>8400036</v>
      </c>
      <c r="B2785" s="26" t="s">
        <v>11673</v>
      </c>
    </row>
    <row r="2786" spans="1:2" x14ac:dyDescent="0.25">
      <c r="A2786" s="28">
        <v>8400051</v>
      </c>
      <c r="B2786" s="26" t="s">
        <v>9705</v>
      </c>
    </row>
    <row r="2787" spans="1:2" x14ac:dyDescent="0.25">
      <c r="A2787" s="28">
        <v>8400062</v>
      </c>
      <c r="B2787" s="26" t="s">
        <v>9719</v>
      </c>
    </row>
    <row r="2788" spans="1:2" x14ac:dyDescent="0.25">
      <c r="A2788" s="28">
        <v>8400070</v>
      </c>
      <c r="B2788" s="26" t="s">
        <v>10312</v>
      </c>
    </row>
    <row r="2789" spans="1:2" x14ac:dyDescent="0.25">
      <c r="A2789" s="28">
        <v>8400076</v>
      </c>
      <c r="B2789" s="26" t="s">
        <v>11674</v>
      </c>
    </row>
    <row r="2790" spans="1:2" x14ac:dyDescent="0.25">
      <c r="A2790" s="28">
        <v>8400080</v>
      </c>
      <c r="B2790" s="26" t="s">
        <v>10311</v>
      </c>
    </row>
    <row r="2791" spans="1:2" x14ac:dyDescent="0.25">
      <c r="A2791" s="28">
        <v>8400085</v>
      </c>
      <c r="B2791" s="26" t="s">
        <v>11675</v>
      </c>
    </row>
    <row r="2792" spans="1:2" x14ac:dyDescent="0.25">
      <c r="A2792" s="28">
        <v>8400086</v>
      </c>
      <c r="B2792" s="26" t="s">
        <v>11676</v>
      </c>
    </row>
    <row r="2793" spans="1:2" x14ac:dyDescent="0.25">
      <c r="A2793" s="28">
        <v>8400087</v>
      </c>
      <c r="B2793" s="26" t="s">
        <v>11677</v>
      </c>
    </row>
    <row r="2794" spans="1:2" x14ac:dyDescent="0.25">
      <c r="A2794" s="28">
        <v>8400088</v>
      </c>
      <c r="B2794" s="26" t="s">
        <v>11678</v>
      </c>
    </row>
    <row r="2795" spans="1:2" x14ac:dyDescent="0.25">
      <c r="A2795" s="28">
        <v>8400089</v>
      </c>
      <c r="B2795" s="26" t="s">
        <v>11679</v>
      </c>
    </row>
    <row r="2796" spans="1:2" x14ac:dyDescent="0.25">
      <c r="A2796" s="28">
        <v>8400090</v>
      </c>
      <c r="B2796" s="26" t="s">
        <v>11680</v>
      </c>
    </row>
    <row r="2797" spans="1:2" x14ac:dyDescent="0.25">
      <c r="A2797" s="28">
        <v>8400091</v>
      </c>
      <c r="B2797" s="26" t="s">
        <v>9678</v>
      </c>
    </row>
    <row r="2798" spans="1:2" x14ac:dyDescent="0.25">
      <c r="A2798" s="28">
        <v>8400105</v>
      </c>
      <c r="B2798" s="26" t="s">
        <v>9721</v>
      </c>
    </row>
    <row r="2799" spans="1:2" x14ac:dyDescent="0.25">
      <c r="A2799" s="28">
        <v>8400106</v>
      </c>
      <c r="B2799" s="26" t="s">
        <v>11681</v>
      </c>
    </row>
    <row r="2800" spans="1:2" x14ac:dyDescent="0.25">
      <c r="A2800" s="28">
        <v>8400107</v>
      </c>
      <c r="B2800" s="26" t="s">
        <v>9709</v>
      </c>
    </row>
    <row r="2801" spans="1:2" x14ac:dyDescent="0.25">
      <c r="A2801" s="28">
        <v>8400110</v>
      </c>
      <c r="B2801" s="26" t="s">
        <v>9722</v>
      </c>
    </row>
    <row r="2802" spans="1:2" x14ac:dyDescent="0.25">
      <c r="A2802" s="28">
        <v>8400111</v>
      </c>
      <c r="B2802" s="26" t="s">
        <v>9727</v>
      </c>
    </row>
    <row r="2803" spans="1:2" x14ac:dyDescent="0.25">
      <c r="A2803" s="28">
        <v>8400112</v>
      </c>
      <c r="B2803" s="26" t="s">
        <v>9713</v>
      </c>
    </row>
    <row r="2804" spans="1:2" x14ac:dyDescent="0.25">
      <c r="A2804" s="28">
        <v>8400113</v>
      </c>
      <c r="B2804" s="26" t="s">
        <v>11682</v>
      </c>
    </row>
    <row r="2805" spans="1:2" x14ac:dyDescent="0.25">
      <c r="A2805" s="28">
        <v>8400114</v>
      </c>
      <c r="B2805" s="26" t="s">
        <v>11683</v>
      </c>
    </row>
    <row r="2806" spans="1:2" x14ac:dyDescent="0.25">
      <c r="A2806" s="28">
        <v>8400116</v>
      </c>
      <c r="B2806" s="26" t="s">
        <v>9730</v>
      </c>
    </row>
    <row r="2807" spans="1:2" x14ac:dyDescent="0.25">
      <c r="A2807" s="28">
        <v>8400117</v>
      </c>
      <c r="B2807" s="26" t="s">
        <v>11684</v>
      </c>
    </row>
    <row r="2808" spans="1:2" x14ac:dyDescent="0.25">
      <c r="A2808" s="28">
        <v>8400119</v>
      </c>
      <c r="B2808" s="26" t="s">
        <v>9710</v>
      </c>
    </row>
    <row r="2809" spans="1:2" x14ac:dyDescent="0.25">
      <c r="A2809" s="28">
        <v>8400120</v>
      </c>
      <c r="B2809" s="26" t="s">
        <v>9699</v>
      </c>
    </row>
    <row r="2810" spans="1:2" x14ac:dyDescent="0.25">
      <c r="A2810" s="28">
        <v>8400121</v>
      </c>
      <c r="B2810" s="26" t="s">
        <v>9666</v>
      </c>
    </row>
    <row r="2811" spans="1:2" x14ac:dyDescent="0.25">
      <c r="A2811" s="28">
        <v>8400122</v>
      </c>
      <c r="B2811" s="26" t="s">
        <v>9698</v>
      </c>
    </row>
    <row r="2812" spans="1:2" x14ac:dyDescent="0.25">
      <c r="A2812" s="28">
        <v>8400123</v>
      </c>
      <c r="B2812" s="26" t="s">
        <v>9689</v>
      </c>
    </row>
    <row r="2813" spans="1:2" x14ac:dyDescent="0.25">
      <c r="A2813" s="28">
        <v>8400124</v>
      </c>
      <c r="B2813" s="26" t="s">
        <v>9665</v>
      </c>
    </row>
    <row r="2814" spans="1:2" x14ac:dyDescent="0.25">
      <c r="A2814" s="28">
        <v>8400125</v>
      </c>
      <c r="B2814" s="26" t="s">
        <v>9724</v>
      </c>
    </row>
    <row r="2815" spans="1:2" x14ac:dyDescent="0.25">
      <c r="A2815" s="28">
        <v>8400126</v>
      </c>
      <c r="B2815" s="26" t="s">
        <v>9707</v>
      </c>
    </row>
    <row r="2816" spans="1:2" x14ac:dyDescent="0.25">
      <c r="A2816" s="28">
        <v>8400127</v>
      </c>
      <c r="B2816" s="26" t="s">
        <v>9711</v>
      </c>
    </row>
    <row r="2817" spans="1:2" x14ac:dyDescent="0.25">
      <c r="A2817" s="28">
        <v>8400128</v>
      </c>
      <c r="B2817" s="26" t="s">
        <v>9675</v>
      </c>
    </row>
    <row r="2818" spans="1:2" x14ac:dyDescent="0.25">
      <c r="A2818" s="28">
        <v>8400129</v>
      </c>
      <c r="B2818" s="26" t="s">
        <v>9676</v>
      </c>
    </row>
    <row r="2819" spans="1:2" x14ac:dyDescent="0.25">
      <c r="A2819" s="28">
        <v>8400130</v>
      </c>
      <c r="B2819" s="26" t="s">
        <v>9703</v>
      </c>
    </row>
    <row r="2820" spans="1:2" x14ac:dyDescent="0.25">
      <c r="A2820" s="28">
        <v>8400131</v>
      </c>
      <c r="B2820" s="26" t="s">
        <v>9670</v>
      </c>
    </row>
    <row r="2821" spans="1:2" x14ac:dyDescent="0.25">
      <c r="A2821" s="28">
        <v>8400132</v>
      </c>
      <c r="B2821" s="26" t="s">
        <v>11685</v>
      </c>
    </row>
    <row r="2822" spans="1:2" x14ac:dyDescent="0.25">
      <c r="A2822" s="28">
        <v>8400142</v>
      </c>
      <c r="B2822" s="26" t="s">
        <v>9714</v>
      </c>
    </row>
    <row r="2823" spans="1:2" x14ac:dyDescent="0.25">
      <c r="A2823" s="28">
        <v>8400150</v>
      </c>
      <c r="B2823" s="26" t="s">
        <v>9723</v>
      </c>
    </row>
    <row r="2824" spans="1:2" x14ac:dyDescent="0.25">
      <c r="A2824" s="28">
        <v>8400155</v>
      </c>
      <c r="B2824" s="26" t="s">
        <v>11686</v>
      </c>
    </row>
    <row r="2825" spans="1:2" x14ac:dyDescent="0.25">
      <c r="A2825" s="28">
        <v>8400158</v>
      </c>
      <c r="B2825" s="26" t="s">
        <v>11687</v>
      </c>
    </row>
    <row r="2826" spans="1:2" x14ac:dyDescent="0.25">
      <c r="A2826" s="28">
        <v>8400164</v>
      </c>
      <c r="B2826" s="26" t="s">
        <v>11688</v>
      </c>
    </row>
    <row r="2827" spans="1:2" x14ac:dyDescent="0.25">
      <c r="A2827" s="28">
        <v>8400165</v>
      </c>
      <c r="B2827" s="26" t="s">
        <v>11689</v>
      </c>
    </row>
    <row r="2828" spans="1:2" x14ac:dyDescent="0.25">
      <c r="A2828" s="28">
        <v>8400166</v>
      </c>
      <c r="B2828" s="26" t="s">
        <v>11690</v>
      </c>
    </row>
    <row r="2829" spans="1:2" x14ac:dyDescent="0.25">
      <c r="A2829" s="28">
        <v>8400167</v>
      </c>
      <c r="B2829" s="26" t="s">
        <v>9693</v>
      </c>
    </row>
    <row r="2830" spans="1:2" x14ac:dyDescent="0.25">
      <c r="A2830" s="28">
        <v>8400168</v>
      </c>
      <c r="B2830" s="26" t="s">
        <v>9692</v>
      </c>
    </row>
    <row r="2831" spans="1:2" x14ac:dyDescent="0.25">
      <c r="A2831" s="28">
        <v>8400169</v>
      </c>
      <c r="B2831" s="26" t="s">
        <v>9680</v>
      </c>
    </row>
    <row r="2832" spans="1:2" x14ac:dyDescent="0.25">
      <c r="A2832" s="28">
        <v>8400170</v>
      </c>
      <c r="B2832" s="26" t="s">
        <v>11691</v>
      </c>
    </row>
    <row r="2833" spans="1:2" x14ac:dyDescent="0.25">
      <c r="A2833" s="28">
        <v>8400173</v>
      </c>
      <c r="B2833" s="26" t="s">
        <v>9690</v>
      </c>
    </row>
    <row r="2834" spans="1:2" x14ac:dyDescent="0.25">
      <c r="A2834" s="28">
        <v>8400174</v>
      </c>
      <c r="B2834" s="26" t="s">
        <v>11692</v>
      </c>
    </row>
    <row r="2835" spans="1:2" x14ac:dyDescent="0.25">
      <c r="A2835" s="28">
        <v>8400175</v>
      </c>
      <c r="B2835" s="26" t="s">
        <v>9717</v>
      </c>
    </row>
    <row r="2836" spans="1:2" x14ac:dyDescent="0.25">
      <c r="A2836" s="28">
        <v>8400190</v>
      </c>
      <c r="B2836" s="26" t="s">
        <v>11693</v>
      </c>
    </row>
    <row r="2837" spans="1:2" x14ac:dyDescent="0.25">
      <c r="A2837" s="28">
        <v>8400214</v>
      </c>
      <c r="B2837" s="26" t="s">
        <v>11694</v>
      </c>
    </row>
    <row r="2838" spans="1:2" x14ac:dyDescent="0.25">
      <c r="A2838" s="28">
        <v>8400222</v>
      </c>
      <c r="B2838" s="26" t="s">
        <v>11695</v>
      </c>
    </row>
    <row r="2839" spans="1:2" x14ac:dyDescent="0.25">
      <c r="A2839" s="28">
        <v>8400223</v>
      </c>
      <c r="B2839" s="26" t="s">
        <v>11696</v>
      </c>
    </row>
    <row r="2840" spans="1:2" x14ac:dyDescent="0.25">
      <c r="A2840" s="28">
        <v>8400224</v>
      </c>
      <c r="B2840" s="26" t="s">
        <v>11697</v>
      </c>
    </row>
    <row r="2841" spans="1:2" x14ac:dyDescent="0.25">
      <c r="A2841" s="28">
        <v>8400240</v>
      </c>
      <c r="B2841" s="26" t="s">
        <v>9726</v>
      </c>
    </row>
    <row r="2842" spans="1:2" x14ac:dyDescent="0.25">
      <c r="A2842" s="28">
        <v>8400252</v>
      </c>
      <c r="B2842" s="26" t="s">
        <v>9715</v>
      </c>
    </row>
    <row r="2843" spans="1:2" x14ac:dyDescent="0.25">
      <c r="A2843" s="28">
        <v>8400265</v>
      </c>
      <c r="B2843" s="26" t="s">
        <v>11698</v>
      </c>
    </row>
    <row r="2844" spans="1:2" x14ac:dyDescent="0.25">
      <c r="A2844" s="28">
        <v>8400266</v>
      </c>
      <c r="B2844" s="26" t="s">
        <v>9701</v>
      </c>
    </row>
    <row r="2845" spans="1:2" x14ac:dyDescent="0.25">
      <c r="A2845" s="28">
        <v>8400280</v>
      </c>
      <c r="B2845" s="26" t="s">
        <v>11699</v>
      </c>
    </row>
    <row r="2846" spans="1:2" x14ac:dyDescent="0.25">
      <c r="A2846" s="28">
        <v>8400286</v>
      </c>
      <c r="B2846" s="26" t="s">
        <v>9694</v>
      </c>
    </row>
    <row r="2847" spans="1:2" x14ac:dyDescent="0.25">
      <c r="A2847" s="28">
        <v>8400287</v>
      </c>
      <c r="B2847" s="26" t="s">
        <v>11700</v>
      </c>
    </row>
    <row r="2848" spans="1:2" x14ac:dyDescent="0.25">
      <c r="A2848" s="28">
        <v>8400292</v>
      </c>
      <c r="B2848" s="26" t="s">
        <v>9688</v>
      </c>
    </row>
    <row r="2849" spans="1:2" x14ac:dyDescent="0.25">
      <c r="A2849" s="28">
        <v>8400300</v>
      </c>
      <c r="B2849" s="26" t="s">
        <v>9712</v>
      </c>
    </row>
    <row r="2850" spans="1:2" x14ac:dyDescent="0.25">
      <c r="A2850" s="28">
        <v>8400309</v>
      </c>
      <c r="B2850" s="26" t="s">
        <v>11701</v>
      </c>
    </row>
    <row r="2851" spans="1:2" x14ac:dyDescent="0.25">
      <c r="A2851" s="28">
        <v>8400311</v>
      </c>
      <c r="B2851" s="26" t="s">
        <v>9664</v>
      </c>
    </row>
    <row r="2852" spans="1:2" x14ac:dyDescent="0.25">
      <c r="A2852" s="28">
        <v>8400312</v>
      </c>
      <c r="B2852" s="26" t="s">
        <v>11702</v>
      </c>
    </row>
    <row r="2853" spans="1:2" x14ac:dyDescent="0.25">
      <c r="A2853" s="28">
        <v>8400323</v>
      </c>
      <c r="B2853" s="26" t="s">
        <v>9700</v>
      </c>
    </row>
    <row r="2854" spans="1:2" x14ac:dyDescent="0.25">
      <c r="A2854" s="28">
        <v>8400330</v>
      </c>
      <c r="B2854" s="26" t="s">
        <v>9681</v>
      </c>
    </row>
    <row r="2855" spans="1:2" x14ac:dyDescent="0.25">
      <c r="A2855" s="28">
        <v>8400331</v>
      </c>
      <c r="B2855" s="26" t="s">
        <v>9695</v>
      </c>
    </row>
    <row r="2856" spans="1:2" x14ac:dyDescent="0.25">
      <c r="A2856" s="28">
        <v>8400333</v>
      </c>
      <c r="B2856" s="26" t="s">
        <v>9716</v>
      </c>
    </row>
    <row r="2857" spans="1:2" x14ac:dyDescent="0.25">
      <c r="A2857" s="28">
        <v>8400356</v>
      </c>
      <c r="B2857" s="26" t="s">
        <v>9667</v>
      </c>
    </row>
    <row r="2858" spans="1:2" x14ac:dyDescent="0.25">
      <c r="A2858" s="28">
        <v>8400357</v>
      </c>
      <c r="B2858" s="26" t="s">
        <v>9668</v>
      </c>
    </row>
    <row r="2859" spans="1:2" x14ac:dyDescent="0.25">
      <c r="A2859" s="28">
        <v>8400360</v>
      </c>
      <c r="B2859" s="26" t="s">
        <v>9720</v>
      </c>
    </row>
    <row r="2860" spans="1:2" x14ac:dyDescent="0.25">
      <c r="A2860" s="28">
        <v>8400367</v>
      </c>
      <c r="B2860" s="26" t="s">
        <v>9691</v>
      </c>
    </row>
    <row r="2861" spans="1:2" x14ac:dyDescent="0.25">
      <c r="A2861" s="28">
        <v>8400368</v>
      </c>
      <c r="B2861" s="26" t="s">
        <v>9708</v>
      </c>
    </row>
    <row r="2862" spans="1:2" x14ac:dyDescent="0.25">
      <c r="A2862" s="28">
        <v>8400369</v>
      </c>
      <c r="B2862" s="26" t="s">
        <v>11703</v>
      </c>
    </row>
    <row r="2863" spans="1:2" x14ac:dyDescent="0.25">
      <c r="A2863" s="28">
        <v>8400370</v>
      </c>
      <c r="B2863" s="26" t="s">
        <v>9687</v>
      </c>
    </row>
    <row r="2864" spans="1:2" x14ac:dyDescent="0.25">
      <c r="A2864" s="28">
        <v>8400390</v>
      </c>
      <c r="B2864" s="26" t="s">
        <v>9686</v>
      </c>
    </row>
    <row r="2865" spans="1:2" x14ac:dyDescent="0.25">
      <c r="A2865" s="28">
        <v>8400391</v>
      </c>
      <c r="B2865" s="26" t="s">
        <v>9684</v>
      </c>
    </row>
    <row r="2866" spans="1:2" x14ac:dyDescent="0.25">
      <c r="A2866" s="28">
        <v>8400392</v>
      </c>
      <c r="B2866" s="26" t="s">
        <v>12248</v>
      </c>
    </row>
    <row r="2867" spans="1:2" x14ac:dyDescent="0.25">
      <c r="A2867" s="28">
        <v>8400393</v>
      </c>
      <c r="B2867" s="26" t="s">
        <v>9685</v>
      </c>
    </row>
    <row r="2868" spans="1:2" x14ac:dyDescent="0.25">
      <c r="A2868" s="28">
        <v>8400452</v>
      </c>
      <c r="B2868" s="26" t="s">
        <v>11704</v>
      </c>
    </row>
    <row r="2869" spans="1:2" x14ac:dyDescent="0.25">
      <c r="A2869" s="28">
        <v>8400456</v>
      </c>
      <c r="B2869" s="26" t="s">
        <v>11705</v>
      </c>
    </row>
    <row r="2870" spans="1:2" x14ac:dyDescent="0.25">
      <c r="A2870" s="28">
        <v>8400564</v>
      </c>
      <c r="B2870" s="26" t="s">
        <v>11706</v>
      </c>
    </row>
    <row r="2871" spans="1:2" x14ac:dyDescent="0.25">
      <c r="A2871" s="28">
        <v>8400650</v>
      </c>
      <c r="B2871" s="26" t="s">
        <v>9706</v>
      </c>
    </row>
    <row r="2872" spans="1:2" x14ac:dyDescent="0.25">
      <c r="A2872" s="28">
        <v>8400651</v>
      </c>
      <c r="B2872" s="26" t="s">
        <v>11707</v>
      </c>
    </row>
    <row r="2873" spans="1:2" x14ac:dyDescent="0.25">
      <c r="A2873" s="28">
        <v>8400654</v>
      </c>
      <c r="B2873" s="26" t="s">
        <v>9696</v>
      </c>
    </row>
    <row r="2874" spans="1:2" x14ac:dyDescent="0.25">
      <c r="A2874" s="28">
        <v>8400661</v>
      </c>
      <c r="B2874" s="26" t="s">
        <v>9731</v>
      </c>
    </row>
    <row r="2875" spans="1:2" x14ac:dyDescent="0.25">
      <c r="A2875" s="28">
        <v>8400662</v>
      </c>
      <c r="B2875" s="26" t="s">
        <v>11708</v>
      </c>
    </row>
    <row r="2876" spans="1:2" x14ac:dyDescent="0.25">
      <c r="A2876" s="28">
        <v>8400663</v>
      </c>
      <c r="B2876" s="26" t="s">
        <v>11709</v>
      </c>
    </row>
    <row r="2877" spans="1:2" x14ac:dyDescent="0.25">
      <c r="A2877" s="28">
        <v>8400664</v>
      </c>
      <c r="B2877" s="26" t="s">
        <v>11710</v>
      </c>
    </row>
    <row r="2878" spans="1:2" x14ac:dyDescent="0.25">
      <c r="A2878" s="28">
        <v>8400689</v>
      </c>
      <c r="B2878" s="26" t="s">
        <v>9674</v>
      </c>
    </row>
    <row r="2879" spans="1:2" x14ac:dyDescent="0.25">
      <c r="A2879" s="28">
        <v>8400691</v>
      </c>
      <c r="B2879" s="26" t="s">
        <v>9669</v>
      </c>
    </row>
    <row r="2880" spans="1:2" x14ac:dyDescent="0.25">
      <c r="A2880" s="28">
        <v>8400753</v>
      </c>
      <c r="B2880" s="26" t="s">
        <v>11711</v>
      </c>
    </row>
    <row r="2881" spans="1:2" x14ac:dyDescent="0.25">
      <c r="A2881" s="28">
        <v>8400852</v>
      </c>
      <c r="B2881" s="26" t="s">
        <v>9704</v>
      </c>
    </row>
    <row r="2882" spans="1:2" x14ac:dyDescent="0.25">
      <c r="A2882" s="28">
        <v>8400907</v>
      </c>
      <c r="B2882" s="26" t="s">
        <v>11712</v>
      </c>
    </row>
    <row r="2883" spans="1:2" x14ac:dyDescent="0.25">
      <c r="A2883" s="28">
        <v>8400908</v>
      </c>
      <c r="B2883" s="26" t="s">
        <v>9671</v>
      </c>
    </row>
    <row r="2884" spans="1:2" x14ac:dyDescent="0.25">
      <c r="A2884" s="28">
        <v>8400951</v>
      </c>
      <c r="B2884" s="26" t="s">
        <v>11713</v>
      </c>
    </row>
    <row r="2885" spans="1:2" x14ac:dyDescent="0.25">
      <c r="A2885" s="28">
        <v>8401001</v>
      </c>
      <c r="B2885" s="26" t="s">
        <v>12249</v>
      </c>
    </row>
    <row r="2886" spans="1:2" x14ac:dyDescent="0.25">
      <c r="A2886" s="28">
        <v>8401002</v>
      </c>
      <c r="B2886" s="26" t="s">
        <v>10019</v>
      </c>
    </row>
    <row r="2887" spans="1:2" x14ac:dyDescent="0.25">
      <c r="A2887" s="28">
        <v>8401003</v>
      </c>
      <c r="B2887" s="26" t="s">
        <v>10823</v>
      </c>
    </row>
    <row r="2888" spans="1:2" x14ac:dyDescent="0.25">
      <c r="A2888" s="28">
        <v>8401004</v>
      </c>
      <c r="B2888" s="26" t="s">
        <v>10816</v>
      </c>
    </row>
    <row r="2889" spans="1:2" x14ac:dyDescent="0.25">
      <c r="A2889" s="28">
        <v>8401005</v>
      </c>
      <c r="B2889" s="26" t="s">
        <v>10818</v>
      </c>
    </row>
    <row r="2890" spans="1:2" x14ac:dyDescent="0.25">
      <c r="A2890" s="28">
        <v>8401006</v>
      </c>
      <c r="B2890" s="26" t="s">
        <v>10817</v>
      </c>
    </row>
    <row r="2891" spans="1:2" x14ac:dyDescent="0.25">
      <c r="A2891" s="28">
        <v>8401007</v>
      </c>
      <c r="B2891" s="26" t="s">
        <v>11714</v>
      </c>
    </row>
    <row r="2892" spans="1:2" x14ac:dyDescent="0.25">
      <c r="A2892" s="28">
        <v>8401008</v>
      </c>
      <c r="B2892" s="26" t="s">
        <v>11715</v>
      </c>
    </row>
    <row r="2893" spans="1:2" x14ac:dyDescent="0.25">
      <c r="A2893" s="28">
        <v>8401009</v>
      </c>
      <c r="B2893" s="26" t="s">
        <v>10820</v>
      </c>
    </row>
    <row r="2894" spans="1:2" x14ac:dyDescent="0.25">
      <c r="A2894" s="28">
        <v>8401010</v>
      </c>
      <c r="B2894" s="26" t="s">
        <v>10819</v>
      </c>
    </row>
    <row r="2895" spans="1:2" x14ac:dyDescent="0.25">
      <c r="A2895" s="28">
        <v>8401011</v>
      </c>
      <c r="B2895" s="26" t="s">
        <v>10822</v>
      </c>
    </row>
    <row r="2896" spans="1:2" x14ac:dyDescent="0.25">
      <c r="A2896" s="28">
        <v>8401012</v>
      </c>
      <c r="B2896" s="26" t="s">
        <v>10821</v>
      </c>
    </row>
    <row r="2897" spans="1:2" x14ac:dyDescent="0.25">
      <c r="A2897" s="28">
        <v>8401013</v>
      </c>
      <c r="B2897" s="26" t="s">
        <v>10815</v>
      </c>
    </row>
    <row r="2898" spans="1:2" x14ac:dyDescent="0.25">
      <c r="A2898" s="28">
        <v>8401014</v>
      </c>
      <c r="B2898" s="26" t="s">
        <v>12360</v>
      </c>
    </row>
    <row r="2899" spans="1:2" x14ac:dyDescent="0.25">
      <c r="A2899" s="28">
        <v>8401133</v>
      </c>
      <c r="B2899" s="26" t="s">
        <v>9672</v>
      </c>
    </row>
    <row r="2900" spans="1:2" x14ac:dyDescent="0.25">
      <c r="A2900" s="28">
        <v>8401134</v>
      </c>
      <c r="B2900" s="26" t="s">
        <v>9673</v>
      </c>
    </row>
    <row r="2901" spans="1:2" x14ac:dyDescent="0.25">
      <c r="A2901" s="28">
        <v>8401232</v>
      </c>
      <c r="B2901" s="26" t="s">
        <v>9657</v>
      </c>
    </row>
    <row r="2902" spans="1:2" x14ac:dyDescent="0.25">
      <c r="A2902" s="28">
        <v>8500001</v>
      </c>
      <c r="B2902" s="26" t="s">
        <v>9573</v>
      </c>
    </row>
    <row r="2903" spans="1:2" x14ac:dyDescent="0.25">
      <c r="A2903" s="28">
        <v>8500002</v>
      </c>
      <c r="B2903" s="26" t="s">
        <v>11716</v>
      </c>
    </row>
    <row r="2904" spans="1:2" x14ac:dyDescent="0.25">
      <c r="A2904" s="28">
        <v>8500003</v>
      </c>
      <c r="B2904" s="26" t="s">
        <v>9577</v>
      </c>
    </row>
    <row r="2905" spans="1:2" x14ac:dyDescent="0.25">
      <c r="A2905" s="28">
        <v>8500300</v>
      </c>
      <c r="B2905" s="26" t="s">
        <v>11717</v>
      </c>
    </row>
    <row r="2906" spans="1:2" x14ac:dyDescent="0.25">
      <c r="A2906" s="28">
        <v>8500500</v>
      </c>
      <c r="B2906" s="26" t="s">
        <v>10703</v>
      </c>
    </row>
    <row r="2907" spans="1:2" x14ac:dyDescent="0.25">
      <c r="A2907" s="28">
        <v>8501001</v>
      </c>
      <c r="B2907" s="26" t="s">
        <v>10651</v>
      </c>
    </row>
    <row r="2908" spans="1:2" x14ac:dyDescent="0.25">
      <c r="A2908" s="28">
        <v>8501015</v>
      </c>
      <c r="B2908" s="26" t="s">
        <v>10608</v>
      </c>
    </row>
    <row r="2909" spans="1:2" x14ac:dyDescent="0.25">
      <c r="A2909" s="28">
        <v>8501024</v>
      </c>
      <c r="B2909" s="26" t="s">
        <v>10649</v>
      </c>
    </row>
    <row r="2910" spans="1:2" x14ac:dyDescent="0.25">
      <c r="A2910" s="28">
        <v>8501025</v>
      </c>
      <c r="B2910" s="26" t="s">
        <v>10646</v>
      </c>
    </row>
    <row r="2911" spans="1:2" x14ac:dyDescent="0.25">
      <c r="A2911" s="28">
        <v>8501026</v>
      </c>
      <c r="B2911" s="26" t="s">
        <v>10648</v>
      </c>
    </row>
    <row r="2912" spans="1:2" x14ac:dyDescent="0.25">
      <c r="A2912" s="28">
        <v>8501027</v>
      </c>
      <c r="B2912" s="26" t="s">
        <v>10647</v>
      </c>
    </row>
    <row r="2913" spans="1:2" x14ac:dyDescent="0.25">
      <c r="A2913" s="28">
        <v>8501034</v>
      </c>
      <c r="B2913" s="26" t="s">
        <v>10650</v>
      </c>
    </row>
    <row r="2914" spans="1:2" x14ac:dyDescent="0.25">
      <c r="A2914" s="28">
        <v>8501228</v>
      </c>
      <c r="B2914" s="26" t="s">
        <v>11718</v>
      </c>
    </row>
    <row r="2915" spans="1:2" x14ac:dyDescent="0.25">
      <c r="A2915" s="28">
        <v>8501551</v>
      </c>
      <c r="B2915" s="26" t="s">
        <v>10653</v>
      </c>
    </row>
    <row r="2916" spans="1:2" x14ac:dyDescent="0.25">
      <c r="A2916" s="28">
        <v>8501594</v>
      </c>
      <c r="B2916" s="26" t="s">
        <v>11719</v>
      </c>
    </row>
    <row r="2917" spans="1:2" x14ac:dyDescent="0.25">
      <c r="A2917" s="28">
        <v>8501602</v>
      </c>
      <c r="B2917" s="26" t="s">
        <v>11720</v>
      </c>
    </row>
    <row r="2918" spans="1:2" x14ac:dyDescent="0.25">
      <c r="A2918" s="28">
        <v>8501621</v>
      </c>
      <c r="B2918" s="26" t="s">
        <v>10652</v>
      </c>
    </row>
    <row r="2919" spans="1:2" x14ac:dyDescent="0.25">
      <c r="A2919" s="28">
        <v>8501654</v>
      </c>
      <c r="B2919" s="26" t="s">
        <v>11721</v>
      </c>
    </row>
    <row r="2920" spans="1:2" x14ac:dyDescent="0.25">
      <c r="A2920" s="28">
        <v>8501655</v>
      </c>
      <c r="B2920" s="26" t="s">
        <v>11722</v>
      </c>
    </row>
    <row r="2921" spans="1:2" x14ac:dyDescent="0.25">
      <c r="A2921" s="28">
        <v>8501662</v>
      </c>
      <c r="B2921" s="26" t="s">
        <v>10654</v>
      </c>
    </row>
    <row r="2922" spans="1:2" x14ac:dyDescent="0.25">
      <c r="A2922" s="28">
        <v>8501700</v>
      </c>
      <c r="B2922" s="26" t="s">
        <v>10229</v>
      </c>
    </row>
    <row r="2923" spans="1:2" x14ac:dyDescent="0.25">
      <c r="A2923" s="28">
        <v>8503000</v>
      </c>
      <c r="B2923" s="26" t="s">
        <v>9571</v>
      </c>
    </row>
    <row r="2924" spans="1:2" x14ac:dyDescent="0.25">
      <c r="A2924" s="28">
        <v>8503003</v>
      </c>
      <c r="B2924" s="26" t="s">
        <v>9575</v>
      </c>
    </row>
    <row r="2925" spans="1:2" x14ac:dyDescent="0.25">
      <c r="A2925" s="28">
        <v>8503011</v>
      </c>
      <c r="B2925" s="26" t="s">
        <v>11723</v>
      </c>
    </row>
    <row r="2926" spans="1:2" x14ac:dyDescent="0.25">
      <c r="A2926" s="28">
        <v>8503012</v>
      </c>
      <c r="B2926" s="26" t="s">
        <v>9574</v>
      </c>
    </row>
    <row r="2927" spans="1:2" x14ac:dyDescent="0.25">
      <c r="A2927" s="28">
        <v>8503020</v>
      </c>
      <c r="B2927" s="26" t="s">
        <v>11724</v>
      </c>
    </row>
    <row r="2928" spans="1:2" x14ac:dyDescent="0.25">
      <c r="A2928" s="28">
        <v>8503026</v>
      </c>
      <c r="B2928" s="26" t="s">
        <v>11725</v>
      </c>
    </row>
    <row r="2929" spans="1:2" x14ac:dyDescent="0.25">
      <c r="A2929" s="28">
        <v>8503045</v>
      </c>
      <c r="B2929" s="26" t="s">
        <v>9572</v>
      </c>
    </row>
    <row r="2930" spans="1:2" x14ac:dyDescent="0.25">
      <c r="A2930" s="28">
        <v>8503046</v>
      </c>
      <c r="B2930" s="26" t="s">
        <v>11726</v>
      </c>
    </row>
    <row r="2931" spans="1:2" x14ac:dyDescent="0.25">
      <c r="A2931" s="28">
        <v>8503060</v>
      </c>
      <c r="B2931" s="26" t="s">
        <v>11727</v>
      </c>
    </row>
    <row r="2932" spans="1:2" x14ac:dyDescent="0.25">
      <c r="A2932" s="28">
        <v>8503061</v>
      </c>
      <c r="B2932" s="26" t="s">
        <v>10826</v>
      </c>
    </row>
    <row r="2933" spans="1:2" x14ac:dyDescent="0.25">
      <c r="A2933" s="28">
        <v>850306101</v>
      </c>
      <c r="B2933" s="26" t="s">
        <v>11728</v>
      </c>
    </row>
    <row r="2934" spans="1:2" x14ac:dyDescent="0.25">
      <c r="A2934" s="28">
        <v>8503063</v>
      </c>
      <c r="B2934" s="26" t="s">
        <v>11729</v>
      </c>
    </row>
    <row r="2935" spans="1:2" x14ac:dyDescent="0.25">
      <c r="A2935" s="28">
        <v>8503090</v>
      </c>
      <c r="B2935" s="26" t="s">
        <v>11730</v>
      </c>
    </row>
    <row r="2936" spans="1:2" x14ac:dyDescent="0.25">
      <c r="A2936" s="28">
        <v>8503091</v>
      </c>
      <c r="B2936" s="26" t="s">
        <v>11731</v>
      </c>
    </row>
    <row r="2937" spans="1:2" x14ac:dyDescent="0.25">
      <c r="A2937" s="26" t="s">
        <v>12802</v>
      </c>
      <c r="B2937" s="27"/>
    </row>
    <row r="2938" spans="1:2" x14ac:dyDescent="0.25">
      <c r="A2938" s="28">
        <v>8503092</v>
      </c>
      <c r="B2938" s="26" t="s">
        <v>9568</v>
      </c>
    </row>
    <row r="2939" spans="1:2" x14ac:dyDescent="0.25">
      <c r="A2939" s="28">
        <v>8503097</v>
      </c>
      <c r="B2939" s="26" t="s">
        <v>12803</v>
      </c>
    </row>
    <row r="2940" spans="1:2" x14ac:dyDescent="0.25">
      <c r="A2940" s="28">
        <v>8503098</v>
      </c>
      <c r="B2940" s="26" t="s">
        <v>10336</v>
      </c>
    </row>
    <row r="2941" spans="1:2" x14ac:dyDescent="0.25">
      <c r="A2941" s="28">
        <v>8503100</v>
      </c>
      <c r="B2941" s="26" t="s">
        <v>8443</v>
      </c>
    </row>
    <row r="2942" spans="1:2" x14ac:dyDescent="0.25">
      <c r="A2942" s="28">
        <v>8503111</v>
      </c>
      <c r="B2942" s="26" t="s">
        <v>11732</v>
      </c>
    </row>
    <row r="2943" spans="1:2" x14ac:dyDescent="0.25">
      <c r="A2943" s="28">
        <v>8503125</v>
      </c>
      <c r="B2943" s="26" t="s">
        <v>8445</v>
      </c>
    </row>
    <row r="2944" spans="1:2" x14ac:dyDescent="0.25">
      <c r="A2944" s="28">
        <v>8503130</v>
      </c>
      <c r="B2944" s="26" t="s">
        <v>11733</v>
      </c>
    </row>
    <row r="2945" spans="1:2" x14ac:dyDescent="0.25">
      <c r="A2945" s="28">
        <v>8503159</v>
      </c>
      <c r="B2945" s="26" t="s">
        <v>8452</v>
      </c>
    </row>
    <row r="2946" spans="1:2" x14ac:dyDescent="0.25">
      <c r="A2946" s="28">
        <v>8503168</v>
      </c>
      <c r="B2946" s="26" t="s">
        <v>8453</v>
      </c>
    </row>
    <row r="2947" spans="1:2" x14ac:dyDescent="0.25">
      <c r="A2947" s="28">
        <v>8503201</v>
      </c>
      <c r="B2947" s="26" t="s">
        <v>10716</v>
      </c>
    </row>
    <row r="2948" spans="1:2" x14ac:dyDescent="0.25">
      <c r="A2948" s="28">
        <v>8503202</v>
      </c>
      <c r="B2948" s="26" t="s">
        <v>10828</v>
      </c>
    </row>
    <row r="2949" spans="1:2" x14ac:dyDescent="0.25">
      <c r="A2949" s="28">
        <v>8503209</v>
      </c>
      <c r="B2949" s="26" t="s">
        <v>8450</v>
      </c>
    </row>
    <row r="2950" spans="1:2" x14ac:dyDescent="0.25">
      <c r="A2950" s="28">
        <v>8503224</v>
      </c>
      <c r="B2950" s="26" t="s">
        <v>10707</v>
      </c>
    </row>
    <row r="2951" spans="1:2" x14ac:dyDescent="0.25">
      <c r="A2951" s="28">
        <v>8503225</v>
      </c>
      <c r="B2951" s="26" t="s">
        <v>10706</v>
      </c>
    </row>
    <row r="2952" spans="1:2" x14ac:dyDescent="0.25">
      <c r="A2952" s="28">
        <v>8503230</v>
      </c>
      <c r="B2952" s="26" t="s">
        <v>11734</v>
      </c>
    </row>
    <row r="2953" spans="1:2" x14ac:dyDescent="0.25">
      <c r="A2953" s="28">
        <v>8503234</v>
      </c>
      <c r="B2953" s="26" t="s">
        <v>10333</v>
      </c>
    </row>
    <row r="2954" spans="1:2" x14ac:dyDescent="0.25">
      <c r="A2954" s="28">
        <v>8503235</v>
      </c>
      <c r="B2954" s="26" t="s">
        <v>10335</v>
      </c>
    </row>
    <row r="2955" spans="1:2" x14ac:dyDescent="0.25">
      <c r="A2955" s="28">
        <v>8503236</v>
      </c>
      <c r="B2955" s="26" t="s">
        <v>10334</v>
      </c>
    </row>
    <row r="2956" spans="1:2" x14ac:dyDescent="0.25">
      <c r="A2956" s="28">
        <v>8503238</v>
      </c>
      <c r="B2956" s="26" t="s">
        <v>10338</v>
      </c>
    </row>
    <row r="2957" spans="1:2" x14ac:dyDescent="0.25">
      <c r="A2957" s="28">
        <v>8503250</v>
      </c>
      <c r="B2957" s="26" t="s">
        <v>8451</v>
      </c>
    </row>
    <row r="2958" spans="1:2" x14ac:dyDescent="0.25">
      <c r="A2958" s="28">
        <v>8503258</v>
      </c>
      <c r="B2958" s="26" t="s">
        <v>10793</v>
      </c>
    </row>
    <row r="2959" spans="1:2" x14ac:dyDescent="0.25">
      <c r="A2959" s="28">
        <v>8503302</v>
      </c>
      <c r="B2959" s="26" t="s">
        <v>10718</v>
      </c>
    </row>
    <row r="2960" spans="1:2" x14ac:dyDescent="0.25">
      <c r="A2960" s="28">
        <v>8503303</v>
      </c>
      <c r="B2960" s="26" t="s">
        <v>10720</v>
      </c>
    </row>
    <row r="2961" spans="1:2" x14ac:dyDescent="0.25">
      <c r="A2961" s="28">
        <v>8503304</v>
      </c>
      <c r="B2961" s="26" t="s">
        <v>11735</v>
      </c>
    </row>
    <row r="2962" spans="1:2" x14ac:dyDescent="0.25">
      <c r="A2962" s="28">
        <v>8503305</v>
      </c>
      <c r="B2962" s="26" t="s">
        <v>10721</v>
      </c>
    </row>
    <row r="2963" spans="1:2" x14ac:dyDescent="0.25">
      <c r="A2963" s="28">
        <v>8503310</v>
      </c>
      <c r="B2963" s="26" t="s">
        <v>9576</v>
      </c>
    </row>
    <row r="2964" spans="1:2" x14ac:dyDescent="0.25">
      <c r="A2964" s="28">
        <v>8503320</v>
      </c>
      <c r="B2964" s="26" t="s">
        <v>11736</v>
      </c>
    </row>
    <row r="2965" spans="1:2" x14ac:dyDescent="0.25">
      <c r="A2965" s="28">
        <v>8503332</v>
      </c>
      <c r="B2965" s="26" t="s">
        <v>9959</v>
      </c>
    </row>
    <row r="2966" spans="1:2" x14ac:dyDescent="0.25">
      <c r="A2966" s="28">
        <v>8503401</v>
      </c>
      <c r="B2966" s="26" t="s">
        <v>11737</v>
      </c>
    </row>
    <row r="2967" spans="1:2" x14ac:dyDescent="0.25">
      <c r="A2967" s="28">
        <v>8503402</v>
      </c>
      <c r="B2967" s="26" t="s">
        <v>8448</v>
      </c>
    </row>
    <row r="2968" spans="1:2" x14ac:dyDescent="0.25">
      <c r="A2968" s="28">
        <v>8503424</v>
      </c>
      <c r="B2968" s="26" t="s">
        <v>8446</v>
      </c>
    </row>
    <row r="2969" spans="1:2" x14ac:dyDescent="0.25">
      <c r="A2969" s="28">
        <v>8503425</v>
      </c>
      <c r="B2969" s="26" t="s">
        <v>11738</v>
      </c>
    </row>
    <row r="2970" spans="1:2" x14ac:dyDescent="0.25">
      <c r="A2970" s="28">
        <v>8503426</v>
      </c>
      <c r="B2970" s="26" t="s">
        <v>8449</v>
      </c>
    </row>
    <row r="2971" spans="1:2" x14ac:dyDescent="0.25">
      <c r="A2971" s="28">
        <v>8503427</v>
      </c>
      <c r="B2971" s="26" t="s">
        <v>11739</v>
      </c>
    </row>
    <row r="2972" spans="1:2" x14ac:dyDescent="0.25">
      <c r="A2972" s="28">
        <v>8503428</v>
      </c>
      <c r="B2972" s="26" t="s">
        <v>8447</v>
      </c>
    </row>
    <row r="2973" spans="1:2" x14ac:dyDescent="0.25">
      <c r="A2973" s="28">
        <v>8503429</v>
      </c>
      <c r="B2973" s="26" t="s">
        <v>11740</v>
      </c>
    </row>
    <row r="2974" spans="1:2" x14ac:dyDescent="0.25">
      <c r="A2974" s="28">
        <v>8503451</v>
      </c>
      <c r="B2974" s="26" t="s">
        <v>11741</v>
      </c>
    </row>
    <row r="2975" spans="1:2" x14ac:dyDescent="0.25">
      <c r="A2975" s="28">
        <v>8503456</v>
      </c>
      <c r="B2975" s="26" t="s">
        <v>11726</v>
      </c>
    </row>
    <row r="2976" spans="1:2" x14ac:dyDescent="0.25">
      <c r="A2976" s="28">
        <v>8503457</v>
      </c>
      <c r="B2976" s="26" t="s">
        <v>11742</v>
      </c>
    </row>
    <row r="2977" spans="1:2" x14ac:dyDescent="0.25">
      <c r="A2977" s="28">
        <v>8503458</v>
      </c>
      <c r="B2977" s="26" t="s">
        <v>11743</v>
      </c>
    </row>
    <row r="2978" spans="1:2" x14ac:dyDescent="0.25">
      <c r="A2978" s="28">
        <v>8503500</v>
      </c>
      <c r="B2978" s="26" t="s">
        <v>11744</v>
      </c>
    </row>
    <row r="2979" spans="1:2" x14ac:dyDescent="0.25">
      <c r="A2979" s="28">
        <v>8503501</v>
      </c>
      <c r="B2979" s="26" t="s">
        <v>13217</v>
      </c>
    </row>
    <row r="2980" spans="1:2" x14ac:dyDescent="0.25">
      <c r="A2980" s="28">
        <v>8503505</v>
      </c>
      <c r="B2980" s="26" t="s">
        <v>10002</v>
      </c>
    </row>
    <row r="2981" spans="1:2" x14ac:dyDescent="0.25">
      <c r="A2981" s="28">
        <v>8503600</v>
      </c>
      <c r="B2981" s="26" t="s">
        <v>9960</v>
      </c>
    </row>
    <row r="2982" spans="1:2" x14ac:dyDescent="0.25">
      <c r="A2982" s="28">
        <v>8503638</v>
      </c>
      <c r="B2982" s="26" t="s">
        <v>10705</v>
      </c>
    </row>
    <row r="2983" spans="1:2" x14ac:dyDescent="0.25">
      <c r="A2983" s="28">
        <v>8503639</v>
      </c>
      <c r="B2983" s="26" t="s">
        <v>10704</v>
      </c>
    </row>
    <row r="2984" spans="1:2" x14ac:dyDescent="0.25">
      <c r="A2984" s="28">
        <v>8503712</v>
      </c>
      <c r="B2984" s="26" t="s">
        <v>10792</v>
      </c>
    </row>
    <row r="2985" spans="1:2" x14ac:dyDescent="0.25">
      <c r="A2985" s="28">
        <v>8503716</v>
      </c>
      <c r="B2985" s="26" t="s">
        <v>8444</v>
      </c>
    </row>
    <row r="2986" spans="1:2" x14ac:dyDescent="0.25">
      <c r="A2986" s="28">
        <v>8503750</v>
      </c>
      <c r="B2986" s="26" t="s">
        <v>10709</v>
      </c>
    </row>
    <row r="2987" spans="1:2" x14ac:dyDescent="0.25">
      <c r="A2987" s="28">
        <v>8503760</v>
      </c>
      <c r="B2987" s="26" t="s">
        <v>10708</v>
      </c>
    </row>
    <row r="2988" spans="1:2" x14ac:dyDescent="0.25">
      <c r="A2988" s="28">
        <v>8503800</v>
      </c>
      <c r="B2988" s="26" t="s">
        <v>11745</v>
      </c>
    </row>
    <row r="2989" spans="1:2" x14ac:dyDescent="0.25">
      <c r="A2989" s="28">
        <v>8503801</v>
      </c>
      <c r="B2989" s="26" t="s">
        <v>10022</v>
      </c>
    </row>
    <row r="2990" spans="1:2" x14ac:dyDescent="0.25">
      <c r="A2990" s="28">
        <v>8503802</v>
      </c>
      <c r="B2990" s="26" t="s">
        <v>11746</v>
      </c>
    </row>
    <row r="2991" spans="1:2" x14ac:dyDescent="0.25">
      <c r="A2991" s="28">
        <v>8503803</v>
      </c>
      <c r="B2991" s="26" t="s">
        <v>10026</v>
      </c>
    </row>
    <row r="2992" spans="1:2" x14ac:dyDescent="0.25">
      <c r="A2992" s="28">
        <v>8503804</v>
      </c>
      <c r="B2992" s="26" t="s">
        <v>11747</v>
      </c>
    </row>
    <row r="2993" spans="1:2" x14ac:dyDescent="0.25">
      <c r="A2993" s="28">
        <v>8503808</v>
      </c>
      <c r="B2993" s="26" t="s">
        <v>11748</v>
      </c>
    </row>
    <row r="2994" spans="1:2" x14ac:dyDescent="0.25">
      <c r="A2994" s="28">
        <v>8503820</v>
      </c>
      <c r="B2994" s="26" t="s">
        <v>10710</v>
      </c>
    </row>
    <row r="2995" spans="1:2" x14ac:dyDescent="0.25">
      <c r="A2995" s="28">
        <v>8503821</v>
      </c>
      <c r="B2995" s="26" t="s">
        <v>11749</v>
      </c>
    </row>
    <row r="2996" spans="1:2" x14ac:dyDescent="0.25">
      <c r="A2996" s="28">
        <v>8503825</v>
      </c>
      <c r="B2996" s="26" t="s">
        <v>11750</v>
      </c>
    </row>
    <row r="2997" spans="1:2" x14ac:dyDescent="0.25">
      <c r="A2997" s="28">
        <v>8503826</v>
      </c>
      <c r="B2997" s="26" t="s">
        <v>11751</v>
      </c>
    </row>
    <row r="2998" spans="1:2" x14ac:dyDescent="0.25">
      <c r="A2998" s="28">
        <v>8503827</v>
      </c>
      <c r="B2998" s="26" t="s">
        <v>11752</v>
      </c>
    </row>
    <row r="2999" spans="1:2" x14ac:dyDescent="0.25">
      <c r="A2999" s="28">
        <v>8503828</v>
      </c>
      <c r="B2999" s="26" t="s">
        <v>11753</v>
      </c>
    </row>
    <row r="3000" spans="1:2" x14ac:dyDescent="0.25">
      <c r="A3000" s="28">
        <v>8503829</v>
      </c>
      <c r="B3000" s="26" t="s">
        <v>11754</v>
      </c>
    </row>
    <row r="3001" spans="1:2" x14ac:dyDescent="0.25">
      <c r="A3001" s="28">
        <v>8503830</v>
      </c>
      <c r="B3001" s="26" t="s">
        <v>11755</v>
      </c>
    </row>
    <row r="3002" spans="1:2" x14ac:dyDescent="0.25">
      <c r="A3002" s="28">
        <v>8503833</v>
      </c>
      <c r="B3002" s="26" t="s">
        <v>11756</v>
      </c>
    </row>
    <row r="3003" spans="1:2" x14ac:dyDescent="0.25">
      <c r="A3003" s="28">
        <v>8503834</v>
      </c>
      <c r="B3003" s="26" t="s">
        <v>11757</v>
      </c>
    </row>
    <row r="3004" spans="1:2" x14ac:dyDescent="0.25">
      <c r="A3004" s="28">
        <v>8503835</v>
      </c>
      <c r="B3004" s="26" t="s">
        <v>11758</v>
      </c>
    </row>
    <row r="3005" spans="1:2" x14ac:dyDescent="0.25">
      <c r="A3005" s="28">
        <v>8503836</v>
      </c>
      <c r="B3005" s="26" t="s">
        <v>11759</v>
      </c>
    </row>
    <row r="3006" spans="1:2" x14ac:dyDescent="0.25">
      <c r="A3006" s="28">
        <v>8503837</v>
      </c>
      <c r="B3006" s="26" t="s">
        <v>11760</v>
      </c>
    </row>
    <row r="3007" spans="1:2" x14ac:dyDescent="0.25">
      <c r="A3007" s="28">
        <v>8503853</v>
      </c>
      <c r="B3007" s="26" t="s">
        <v>11761</v>
      </c>
    </row>
    <row r="3008" spans="1:2" x14ac:dyDescent="0.25">
      <c r="A3008" s="28">
        <v>8503888</v>
      </c>
      <c r="B3008" s="26" t="s">
        <v>11762</v>
      </c>
    </row>
    <row r="3009" spans="1:2" x14ac:dyDescent="0.25">
      <c r="A3009" s="28">
        <v>8503901</v>
      </c>
      <c r="B3009" s="26" t="s">
        <v>10827</v>
      </c>
    </row>
    <row r="3010" spans="1:2" x14ac:dyDescent="0.25">
      <c r="A3010" s="28">
        <v>8503983</v>
      </c>
      <c r="B3010" s="26" t="s">
        <v>10337</v>
      </c>
    </row>
    <row r="3011" spans="1:2" x14ac:dyDescent="0.25">
      <c r="A3011" s="28">
        <v>8503984</v>
      </c>
      <c r="B3011" s="26" t="s">
        <v>10332</v>
      </c>
    </row>
    <row r="3012" spans="1:2" x14ac:dyDescent="0.25">
      <c r="A3012" s="28">
        <v>8503999</v>
      </c>
      <c r="B3012" s="26" t="s">
        <v>11763</v>
      </c>
    </row>
    <row r="3013" spans="1:2" x14ac:dyDescent="0.25">
      <c r="A3013" s="28">
        <v>8505000</v>
      </c>
      <c r="B3013" s="26" t="s">
        <v>11764</v>
      </c>
    </row>
    <row r="3014" spans="1:2" x14ac:dyDescent="0.25">
      <c r="A3014" s="28">
        <v>8505001</v>
      </c>
      <c r="B3014" s="26" t="s">
        <v>10426</v>
      </c>
    </row>
    <row r="3015" spans="1:2" x14ac:dyDescent="0.25">
      <c r="A3015" s="28">
        <v>8505002</v>
      </c>
      <c r="B3015" s="26" t="s">
        <v>10429</v>
      </c>
    </row>
    <row r="3016" spans="1:2" x14ac:dyDescent="0.25">
      <c r="A3016" s="28">
        <v>8505003</v>
      </c>
      <c r="B3016" s="26" t="s">
        <v>8442</v>
      </c>
    </row>
    <row r="3017" spans="1:2" x14ac:dyDescent="0.25">
      <c r="A3017" s="28">
        <v>8505004</v>
      </c>
      <c r="B3017" s="26" t="s">
        <v>10432</v>
      </c>
    </row>
    <row r="3018" spans="1:2" x14ac:dyDescent="0.25">
      <c r="A3018" s="28">
        <v>8505005</v>
      </c>
      <c r="B3018" s="26" t="s">
        <v>10427</v>
      </c>
    </row>
    <row r="3019" spans="1:2" x14ac:dyDescent="0.25">
      <c r="A3019" s="28">
        <v>8505006</v>
      </c>
      <c r="B3019" s="26" t="s">
        <v>10431</v>
      </c>
    </row>
    <row r="3020" spans="1:2" x14ac:dyDescent="0.25">
      <c r="A3020" s="28">
        <v>8505007</v>
      </c>
      <c r="B3020" s="26" t="s">
        <v>10428</v>
      </c>
    </row>
    <row r="3021" spans="1:2" x14ac:dyDescent="0.25">
      <c r="A3021" s="28">
        <v>8505008</v>
      </c>
      <c r="B3021" s="26" t="s">
        <v>10430</v>
      </c>
    </row>
    <row r="3022" spans="1:2" x14ac:dyDescent="0.25">
      <c r="A3022" s="28">
        <v>8505009</v>
      </c>
      <c r="B3022" s="26" t="s">
        <v>11765</v>
      </c>
    </row>
    <row r="3023" spans="1:2" x14ac:dyDescent="0.25">
      <c r="A3023" s="28">
        <v>8505010</v>
      </c>
      <c r="B3023" s="26" t="s">
        <v>11766</v>
      </c>
    </row>
    <row r="3024" spans="1:2" x14ac:dyDescent="0.25">
      <c r="A3024" s="28">
        <v>8505011</v>
      </c>
      <c r="B3024" s="26" t="s">
        <v>11767</v>
      </c>
    </row>
    <row r="3025" spans="1:2" x14ac:dyDescent="0.25">
      <c r="A3025" s="28">
        <v>8505012</v>
      </c>
      <c r="B3025" s="26" t="s">
        <v>10404</v>
      </c>
    </row>
    <row r="3026" spans="1:2" x14ac:dyDescent="0.25">
      <c r="A3026" s="28">
        <v>8505013</v>
      </c>
      <c r="B3026" s="26" t="s">
        <v>11768</v>
      </c>
    </row>
    <row r="3027" spans="1:2" x14ac:dyDescent="0.25">
      <c r="A3027" s="28">
        <v>8505014</v>
      </c>
      <c r="B3027" s="26" t="s">
        <v>10477</v>
      </c>
    </row>
    <row r="3028" spans="1:2" x14ac:dyDescent="0.25">
      <c r="A3028" s="28">
        <v>8505015</v>
      </c>
      <c r="B3028" s="26" t="s">
        <v>9732</v>
      </c>
    </row>
    <row r="3029" spans="1:2" x14ac:dyDescent="0.25">
      <c r="A3029" s="28">
        <v>8505016</v>
      </c>
      <c r="B3029" s="26" t="s">
        <v>9733</v>
      </c>
    </row>
    <row r="3030" spans="1:2" x14ac:dyDescent="0.25">
      <c r="A3030" s="28">
        <v>8505017</v>
      </c>
      <c r="B3030" s="26" t="s">
        <v>12250</v>
      </c>
    </row>
    <row r="3031" spans="1:2" x14ac:dyDescent="0.25">
      <c r="A3031" s="28">
        <v>8505018</v>
      </c>
      <c r="B3031" s="26" t="s">
        <v>11769</v>
      </c>
    </row>
    <row r="3032" spans="1:2" x14ac:dyDescent="0.25">
      <c r="A3032" s="28">
        <v>8505019</v>
      </c>
      <c r="B3032" s="26" t="s">
        <v>12251</v>
      </c>
    </row>
    <row r="3033" spans="1:2" x14ac:dyDescent="0.25">
      <c r="A3033" s="28">
        <v>8505020</v>
      </c>
      <c r="B3033" s="26" t="s">
        <v>11770</v>
      </c>
    </row>
    <row r="3034" spans="1:2" x14ac:dyDescent="0.25">
      <c r="A3034" s="28">
        <v>8505021</v>
      </c>
      <c r="B3034" s="26" t="s">
        <v>10411</v>
      </c>
    </row>
    <row r="3035" spans="1:2" x14ac:dyDescent="0.25">
      <c r="A3035" s="28">
        <v>8505022</v>
      </c>
      <c r="B3035" s="26" t="s">
        <v>10414</v>
      </c>
    </row>
    <row r="3036" spans="1:2" x14ac:dyDescent="0.25">
      <c r="A3036" s="28">
        <v>850502201</v>
      </c>
      <c r="B3036" s="26" t="s">
        <v>11771</v>
      </c>
    </row>
    <row r="3037" spans="1:2" x14ac:dyDescent="0.25">
      <c r="A3037" s="28">
        <v>8505023</v>
      </c>
      <c r="B3037" s="26" t="s">
        <v>10410</v>
      </c>
    </row>
    <row r="3038" spans="1:2" x14ac:dyDescent="0.25">
      <c r="A3038" s="28">
        <v>850502302</v>
      </c>
      <c r="B3038" s="26" t="s">
        <v>11772</v>
      </c>
    </row>
    <row r="3039" spans="1:2" x14ac:dyDescent="0.25">
      <c r="A3039" s="28">
        <v>8505024</v>
      </c>
      <c r="B3039" s="26" t="s">
        <v>10413</v>
      </c>
    </row>
    <row r="3040" spans="1:2" x14ac:dyDescent="0.25">
      <c r="A3040" s="28">
        <v>850502403</v>
      </c>
      <c r="B3040" s="26" t="s">
        <v>11773</v>
      </c>
    </row>
    <row r="3041" spans="1:2" x14ac:dyDescent="0.25">
      <c r="A3041" s="28">
        <v>8505025</v>
      </c>
      <c r="B3041" s="26" t="s">
        <v>10400</v>
      </c>
    </row>
    <row r="3042" spans="1:2" x14ac:dyDescent="0.25">
      <c r="A3042" s="28">
        <v>8505026</v>
      </c>
      <c r="B3042" s="26" t="s">
        <v>10473</v>
      </c>
    </row>
    <row r="3043" spans="1:2" x14ac:dyDescent="0.25">
      <c r="A3043" s="28">
        <v>8505027</v>
      </c>
      <c r="B3043" s="26" t="s">
        <v>11774</v>
      </c>
    </row>
    <row r="3044" spans="1:2" x14ac:dyDescent="0.25">
      <c r="A3044" s="28">
        <v>8505028</v>
      </c>
      <c r="B3044" s="26" t="s">
        <v>10397</v>
      </c>
    </row>
    <row r="3045" spans="1:2" x14ac:dyDescent="0.25">
      <c r="A3045" s="28">
        <v>8505029</v>
      </c>
      <c r="B3045" s="26" t="s">
        <v>10399</v>
      </c>
    </row>
    <row r="3046" spans="1:2" x14ac:dyDescent="0.25">
      <c r="A3046" s="28">
        <v>8505030</v>
      </c>
      <c r="B3046" s="26" t="s">
        <v>10398</v>
      </c>
    </row>
    <row r="3047" spans="1:2" x14ac:dyDescent="0.25">
      <c r="A3047" s="28">
        <v>8505031</v>
      </c>
      <c r="B3047" s="26" t="s">
        <v>10412</v>
      </c>
    </row>
    <row r="3048" spans="1:2" x14ac:dyDescent="0.25">
      <c r="A3048" s="28">
        <v>8505032</v>
      </c>
      <c r="B3048" s="26" t="s">
        <v>10415</v>
      </c>
    </row>
    <row r="3049" spans="1:2" x14ac:dyDescent="0.25">
      <c r="A3049" s="28">
        <v>8505033</v>
      </c>
      <c r="B3049" s="26" t="s">
        <v>10374</v>
      </c>
    </row>
    <row r="3050" spans="1:2" x14ac:dyDescent="0.25">
      <c r="A3050" s="28">
        <v>8505034</v>
      </c>
      <c r="B3050" s="26" t="s">
        <v>11775</v>
      </c>
    </row>
    <row r="3051" spans="1:2" x14ac:dyDescent="0.25">
      <c r="A3051" s="28">
        <v>8505040</v>
      </c>
      <c r="B3051" s="26" t="s">
        <v>10445</v>
      </c>
    </row>
    <row r="3052" spans="1:2" x14ac:dyDescent="0.25">
      <c r="A3052" s="28">
        <v>8505041</v>
      </c>
      <c r="B3052" s="26" t="s">
        <v>10439</v>
      </c>
    </row>
    <row r="3053" spans="1:2" x14ac:dyDescent="0.25">
      <c r="A3053" s="28">
        <v>8505042</v>
      </c>
      <c r="B3053" s="26" t="s">
        <v>10440</v>
      </c>
    </row>
    <row r="3054" spans="1:2" x14ac:dyDescent="0.25">
      <c r="A3054" s="28">
        <v>8505043</v>
      </c>
      <c r="B3054" s="26" t="s">
        <v>10446</v>
      </c>
    </row>
    <row r="3055" spans="1:2" x14ac:dyDescent="0.25">
      <c r="A3055" s="28">
        <v>8505044</v>
      </c>
      <c r="B3055" s="26" t="s">
        <v>10441</v>
      </c>
    </row>
    <row r="3056" spans="1:2" x14ac:dyDescent="0.25">
      <c r="A3056" s="28">
        <v>8505045</v>
      </c>
      <c r="B3056" s="26" t="s">
        <v>10442</v>
      </c>
    </row>
    <row r="3057" spans="1:2" x14ac:dyDescent="0.25">
      <c r="A3057" s="28">
        <v>8505046</v>
      </c>
      <c r="B3057" s="26" t="s">
        <v>10447</v>
      </c>
    </row>
    <row r="3058" spans="1:2" x14ac:dyDescent="0.25">
      <c r="A3058" s="28">
        <v>8505047</v>
      </c>
      <c r="B3058" s="26" t="s">
        <v>10444</v>
      </c>
    </row>
    <row r="3059" spans="1:2" x14ac:dyDescent="0.25">
      <c r="A3059" s="28">
        <v>8505048</v>
      </c>
      <c r="B3059" s="26" t="s">
        <v>10443</v>
      </c>
    </row>
    <row r="3060" spans="1:2" x14ac:dyDescent="0.25">
      <c r="A3060" s="28">
        <v>8505050</v>
      </c>
      <c r="B3060" s="26" t="s">
        <v>11776</v>
      </c>
    </row>
    <row r="3061" spans="1:2" x14ac:dyDescent="0.25">
      <c r="A3061" s="28">
        <v>8505051</v>
      </c>
      <c r="B3061" s="26" t="s">
        <v>11777</v>
      </c>
    </row>
    <row r="3062" spans="1:2" x14ac:dyDescent="0.25">
      <c r="A3062" s="28">
        <v>8505052</v>
      </c>
      <c r="B3062" s="26" t="s">
        <v>11778</v>
      </c>
    </row>
    <row r="3063" spans="1:2" x14ac:dyDescent="0.25">
      <c r="A3063" s="28">
        <v>8505053</v>
      </c>
      <c r="B3063" s="26" t="s">
        <v>11779</v>
      </c>
    </row>
    <row r="3064" spans="1:2" x14ac:dyDescent="0.25">
      <c r="A3064" s="28">
        <v>8505054</v>
      </c>
      <c r="B3064" s="26" t="s">
        <v>11780</v>
      </c>
    </row>
    <row r="3065" spans="1:2" x14ac:dyDescent="0.25">
      <c r="A3065" s="28">
        <v>8505055</v>
      </c>
      <c r="B3065" s="26" t="s">
        <v>11781</v>
      </c>
    </row>
    <row r="3066" spans="1:2" x14ac:dyDescent="0.25">
      <c r="A3066" s="28">
        <v>8505063</v>
      </c>
      <c r="B3066" s="26" t="s">
        <v>10463</v>
      </c>
    </row>
    <row r="3067" spans="1:2" x14ac:dyDescent="0.25">
      <c r="A3067" s="28">
        <v>8505067</v>
      </c>
      <c r="B3067" s="26" t="s">
        <v>10306</v>
      </c>
    </row>
    <row r="3068" spans="1:2" x14ac:dyDescent="0.25">
      <c r="A3068" s="28">
        <v>8505068</v>
      </c>
      <c r="B3068" s="26" t="s">
        <v>11782</v>
      </c>
    </row>
    <row r="3069" spans="1:2" x14ac:dyDescent="0.25">
      <c r="A3069" s="28">
        <v>8505069</v>
      </c>
      <c r="B3069" s="26" t="s">
        <v>11783</v>
      </c>
    </row>
    <row r="3070" spans="1:2" x14ac:dyDescent="0.25">
      <c r="A3070" s="28">
        <v>8505070</v>
      </c>
      <c r="B3070" s="26" t="s">
        <v>10309</v>
      </c>
    </row>
    <row r="3071" spans="1:2" x14ac:dyDescent="0.25">
      <c r="A3071" s="28">
        <v>8505071</v>
      </c>
      <c r="B3071" s="26" t="s">
        <v>11784</v>
      </c>
    </row>
    <row r="3072" spans="1:2" x14ac:dyDescent="0.25">
      <c r="A3072" s="28">
        <v>8505072</v>
      </c>
      <c r="B3072" s="26" t="s">
        <v>11785</v>
      </c>
    </row>
    <row r="3073" spans="1:2" x14ac:dyDescent="0.25">
      <c r="A3073" s="28">
        <v>8505073</v>
      </c>
      <c r="B3073" s="26" t="s">
        <v>11786</v>
      </c>
    </row>
    <row r="3074" spans="1:2" x14ac:dyDescent="0.25">
      <c r="A3074" s="28">
        <v>8505074</v>
      </c>
      <c r="B3074" s="26" t="s">
        <v>10308</v>
      </c>
    </row>
    <row r="3075" spans="1:2" x14ac:dyDescent="0.25">
      <c r="A3075" s="28">
        <v>8505075</v>
      </c>
      <c r="B3075" s="26" t="s">
        <v>10307</v>
      </c>
    </row>
    <row r="3076" spans="1:2" x14ac:dyDescent="0.25">
      <c r="A3076" s="28">
        <v>8505076</v>
      </c>
      <c r="B3076" s="26" t="s">
        <v>11787</v>
      </c>
    </row>
    <row r="3077" spans="1:2" x14ac:dyDescent="0.25">
      <c r="A3077" s="28">
        <v>8505100</v>
      </c>
      <c r="B3077" s="26" t="s">
        <v>11788</v>
      </c>
    </row>
    <row r="3078" spans="1:2" x14ac:dyDescent="0.25">
      <c r="A3078" s="28">
        <v>8505101</v>
      </c>
      <c r="B3078" s="26" t="s">
        <v>10402</v>
      </c>
    </row>
    <row r="3079" spans="1:2" x14ac:dyDescent="0.25">
      <c r="A3079" s="28">
        <v>8505109</v>
      </c>
      <c r="B3079" s="26" t="s">
        <v>10403</v>
      </c>
    </row>
    <row r="3080" spans="1:2" x14ac:dyDescent="0.25">
      <c r="A3080" s="28">
        <v>8505110</v>
      </c>
      <c r="B3080" s="26" t="s">
        <v>11789</v>
      </c>
    </row>
    <row r="3081" spans="1:2" x14ac:dyDescent="0.25">
      <c r="A3081" s="28">
        <v>8505111</v>
      </c>
      <c r="B3081" s="26" t="s">
        <v>10393</v>
      </c>
    </row>
    <row r="3082" spans="1:2" x14ac:dyDescent="0.25">
      <c r="A3082" s="28">
        <v>8505118</v>
      </c>
      <c r="B3082" s="26" t="s">
        <v>10448</v>
      </c>
    </row>
    <row r="3083" spans="1:2" x14ac:dyDescent="0.25">
      <c r="A3083" s="28">
        <v>8505120</v>
      </c>
      <c r="B3083" s="26" t="s">
        <v>10449</v>
      </c>
    </row>
    <row r="3084" spans="1:2" x14ac:dyDescent="0.25">
      <c r="A3084" s="28">
        <v>8505121</v>
      </c>
      <c r="B3084" s="26" t="s">
        <v>8429</v>
      </c>
    </row>
    <row r="3085" spans="1:2" x14ac:dyDescent="0.25">
      <c r="A3085" s="28">
        <v>8505122</v>
      </c>
      <c r="B3085" s="26" t="s">
        <v>8431</v>
      </c>
    </row>
    <row r="3086" spans="1:2" x14ac:dyDescent="0.25">
      <c r="A3086" s="28">
        <v>8505123</v>
      </c>
      <c r="B3086" s="26" t="s">
        <v>8435</v>
      </c>
    </row>
    <row r="3087" spans="1:2" x14ac:dyDescent="0.25">
      <c r="A3087" s="28">
        <v>8505124</v>
      </c>
      <c r="B3087" s="26" t="s">
        <v>8436</v>
      </c>
    </row>
    <row r="3088" spans="1:2" x14ac:dyDescent="0.25">
      <c r="A3088" s="28">
        <v>8505125</v>
      </c>
      <c r="B3088" s="26" t="s">
        <v>8437</v>
      </c>
    </row>
    <row r="3089" spans="1:2" x14ac:dyDescent="0.25">
      <c r="A3089" s="28">
        <v>8505126</v>
      </c>
      <c r="B3089" s="26" t="s">
        <v>8438</v>
      </c>
    </row>
    <row r="3090" spans="1:2" x14ac:dyDescent="0.25">
      <c r="A3090" s="28">
        <v>8505127</v>
      </c>
      <c r="B3090" s="26" t="s">
        <v>10475</v>
      </c>
    </row>
    <row r="3091" spans="1:2" x14ac:dyDescent="0.25">
      <c r="A3091" s="28">
        <v>8505128</v>
      </c>
      <c r="B3091" s="26" t="s">
        <v>10401</v>
      </c>
    </row>
    <row r="3092" spans="1:2" x14ac:dyDescent="0.25">
      <c r="A3092" s="28">
        <v>8505129</v>
      </c>
      <c r="B3092" s="26" t="s">
        <v>10474</v>
      </c>
    </row>
    <row r="3093" spans="1:2" x14ac:dyDescent="0.25">
      <c r="A3093" s="28">
        <v>8505130</v>
      </c>
      <c r="B3093" s="26" t="s">
        <v>10425</v>
      </c>
    </row>
    <row r="3094" spans="1:2" x14ac:dyDescent="0.25">
      <c r="A3094" s="28">
        <v>8505131</v>
      </c>
      <c r="B3094" s="26" t="s">
        <v>10423</v>
      </c>
    </row>
    <row r="3095" spans="1:2" x14ac:dyDescent="0.25">
      <c r="A3095" s="28">
        <v>8505132</v>
      </c>
      <c r="B3095" s="26" t="s">
        <v>11790</v>
      </c>
    </row>
    <row r="3096" spans="1:2" x14ac:dyDescent="0.25">
      <c r="A3096" s="28">
        <v>8505133</v>
      </c>
      <c r="B3096" s="26" t="s">
        <v>8432</v>
      </c>
    </row>
    <row r="3097" spans="1:2" x14ac:dyDescent="0.25">
      <c r="A3097" s="28">
        <v>8505134</v>
      </c>
      <c r="B3097" s="26" t="s">
        <v>10450</v>
      </c>
    </row>
    <row r="3098" spans="1:2" x14ac:dyDescent="0.25">
      <c r="A3098" s="28">
        <v>8505135</v>
      </c>
      <c r="B3098" s="26" t="s">
        <v>10451</v>
      </c>
    </row>
    <row r="3099" spans="1:2" x14ac:dyDescent="0.25">
      <c r="A3099" s="28">
        <v>8505136</v>
      </c>
      <c r="B3099" s="26" t="s">
        <v>10452</v>
      </c>
    </row>
    <row r="3100" spans="1:2" x14ac:dyDescent="0.25">
      <c r="A3100" s="28">
        <v>8505137</v>
      </c>
      <c r="B3100" s="26" t="s">
        <v>10453</v>
      </c>
    </row>
    <row r="3101" spans="1:2" x14ac:dyDescent="0.25">
      <c r="A3101" s="28">
        <v>8505138</v>
      </c>
      <c r="B3101" s="26" t="s">
        <v>10454</v>
      </c>
    </row>
    <row r="3102" spans="1:2" x14ac:dyDescent="0.25">
      <c r="A3102" s="28">
        <v>8505139</v>
      </c>
      <c r="B3102" s="26" t="s">
        <v>10470</v>
      </c>
    </row>
    <row r="3103" spans="1:2" x14ac:dyDescent="0.25">
      <c r="A3103" s="28">
        <v>8505140</v>
      </c>
      <c r="B3103" s="26" t="s">
        <v>10472</v>
      </c>
    </row>
    <row r="3104" spans="1:2" x14ac:dyDescent="0.25">
      <c r="A3104" s="28">
        <v>8505141</v>
      </c>
      <c r="B3104" s="26" t="s">
        <v>10471</v>
      </c>
    </row>
    <row r="3105" spans="1:2" x14ac:dyDescent="0.25">
      <c r="A3105" s="28">
        <v>8505142</v>
      </c>
      <c r="B3105" s="26" t="s">
        <v>10469</v>
      </c>
    </row>
    <row r="3106" spans="1:2" x14ac:dyDescent="0.25">
      <c r="A3106" s="28">
        <v>8505149</v>
      </c>
      <c r="B3106" s="26" t="s">
        <v>8423</v>
      </c>
    </row>
    <row r="3107" spans="1:2" x14ac:dyDescent="0.25">
      <c r="A3107" s="28">
        <v>8505150</v>
      </c>
      <c r="B3107" s="26" t="s">
        <v>11791</v>
      </c>
    </row>
    <row r="3108" spans="1:2" x14ac:dyDescent="0.25">
      <c r="A3108" s="28">
        <v>8505151</v>
      </c>
      <c r="B3108" s="26" t="s">
        <v>8427</v>
      </c>
    </row>
    <row r="3109" spans="1:2" x14ac:dyDescent="0.25">
      <c r="A3109" s="28">
        <v>8505153</v>
      </c>
      <c r="B3109" s="26" t="s">
        <v>8434</v>
      </c>
    </row>
    <row r="3110" spans="1:2" x14ac:dyDescent="0.25">
      <c r="A3110" s="28">
        <v>8505154</v>
      </c>
      <c r="B3110" s="26" t="s">
        <v>8440</v>
      </c>
    </row>
    <row r="3111" spans="1:2" x14ac:dyDescent="0.25">
      <c r="A3111" s="28">
        <v>8505155</v>
      </c>
      <c r="B3111" s="26" t="s">
        <v>8439</v>
      </c>
    </row>
    <row r="3112" spans="1:2" x14ac:dyDescent="0.25">
      <c r="A3112" s="28">
        <v>8505156</v>
      </c>
      <c r="B3112" s="26" t="s">
        <v>10464</v>
      </c>
    </row>
    <row r="3113" spans="1:2" x14ac:dyDescent="0.25">
      <c r="A3113" s="28">
        <v>8505157</v>
      </c>
      <c r="B3113" s="26" t="s">
        <v>10466</v>
      </c>
    </row>
    <row r="3114" spans="1:2" x14ac:dyDescent="0.25">
      <c r="A3114" s="28">
        <v>8505158</v>
      </c>
      <c r="B3114" s="26" t="s">
        <v>10465</v>
      </c>
    </row>
    <row r="3115" spans="1:2" x14ac:dyDescent="0.25">
      <c r="A3115" s="28">
        <v>8505159</v>
      </c>
      <c r="B3115" s="26" t="s">
        <v>10419</v>
      </c>
    </row>
    <row r="3116" spans="1:2" x14ac:dyDescent="0.25">
      <c r="A3116" s="28">
        <v>8505160</v>
      </c>
      <c r="B3116" s="26" t="s">
        <v>10418</v>
      </c>
    </row>
    <row r="3117" spans="1:2" x14ac:dyDescent="0.25">
      <c r="A3117" s="28">
        <v>8505161</v>
      </c>
      <c r="B3117" s="26" t="s">
        <v>8428</v>
      </c>
    </row>
    <row r="3118" spans="1:2" x14ac:dyDescent="0.25">
      <c r="A3118" s="28">
        <v>8505162</v>
      </c>
      <c r="B3118" s="26" t="s">
        <v>8433</v>
      </c>
    </row>
    <row r="3119" spans="1:2" x14ac:dyDescent="0.25">
      <c r="A3119" s="28">
        <v>8505163</v>
      </c>
      <c r="B3119" s="26" t="s">
        <v>11792</v>
      </c>
    </row>
    <row r="3120" spans="1:2" x14ac:dyDescent="0.25">
      <c r="A3120" s="28">
        <v>8505164</v>
      </c>
      <c r="B3120" s="26" t="s">
        <v>11793</v>
      </c>
    </row>
    <row r="3121" spans="1:2" x14ac:dyDescent="0.25">
      <c r="A3121" s="28">
        <v>8505165</v>
      </c>
      <c r="B3121" s="26" t="s">
        <v>11794</v>
      </c>
    </row>
    <row r="3122" spans="1:2" x14ac:dyDescent="0.25">
      <c r="A3122" s="28">
        <v>8505166</v>
      </c>
      <c r="B3122" s="26" t="s">
        <v>11795</v>
      </c>
    </row>
    <row r="3123" spans="1:2" x14ac:dyDescent="0.25">
      <c r="A3123" s="28">
        <v>8505167</v>
      </c>
      <c r="B3123" s="26" t="s">
        <v>10406</v>
      </c>
    </row>
    <row r="3124" spans="1:2" x14ac:dyDescent="0.25">
      <c r="A3124" s="28">
        <v>8505168</v>
      </c>
      <c r="B3124" s="26" t="s">
        <v>10408</v>
      </c>
    </row>
    <row r="3125" spans="1:2" x14ac:dyDescent="0.25">
      <c r="A3125" s="28">
        <v>8505169</v>
      </c>
      <c r="B3125" s="26" t="s">
        <v>10409</v>
      </c>
    </row>
    <row r="3126" spans="1:2" x14ac:dyDescent="0.25">
      <c r="A3126" s="28">
        <v>8505170</v>
      </c>
      <c r="B3126" s="26" t="s">
        <v>8430</v>
      </c>
    </row>
    <row r="3127" spans="1:2" x14ac:dyDescent="0.25">
      <c r="A3127" s="28">
        <v>8505171</v>
      </c>
      <c r="B3127" s="26" t="s">
        <v>8425</v>
      </c>
    </row>
    <row r="3128" spans="1:2" x14ac:dyDescent="0.25">
      <c r="A3128" s="28">
        <v>8505172</v>
      </c>
      <c r="B3128" s="26" t="s">
        <v>8424</v>
      </c>
    </row>
    <row r="3129" spans="1:2" x14ac:dyDescent="0.25">
      <c r="A3129" s="28">
        <v>8505173</v>
      </c>
      <c r="B3129" s="26" t="s">
        <v>8426</v>
      </c>
    </row>
    <row r="3130" spans="1:2" x14ac:dyDescent="0.25">
      <c r="A3130" s="28">
        <v>8505174</v>
      </c>
      <c r="B3130" s="26" t="s">
        <v>8441</v>
      </c>
    </row>
    <row r="3131" spans="1:2" x14ac:dyDescent="0.25">
      <c r="A3131" s="28">
        <v>8505175</v>
      </c>
      <c r="B3131" s="26" t="s">
        <v>10468</v>
      </c>
    </row>
    <row r="3132" spans="1:2" x14ac:dyDescent="0.25">
      <c r="A3132" s="28">
        <v>8505176</v>
      </c>
      <c r="B3132" s="26" t="s">
        <v>10405</v>
      </c>
    </row>
    <row r="3133" spans="1:2" x14ac:dyDescent="0.25">
      <c r="A3133" s="28">
        <v>8505177</v>
      </c>
      <c r="B3133" s="26" t="s">
        <v>10407</v>
      </c>
    </row>
    <row r="3134" spans="1:2" x14ac:dyDescent="0.25">
      <c r="A3134" s="28">
        <v>8505178</v>
      </c>
      <c r="B3134" s="26" t="s">
        <v>11796</v>
      </c>
    </row>
    <row r="3135" spans="1:2" x14ac:dyDescent="0.25">
      <c r="A3135" s="28">
        <v>8505196</v>
      </c>
      <c r="B3135" s="26" t="s">
        <v>10382</v>
      </c>
    </row>
    <row r="3136" spans="1:2" x14ac:dyDescent="0.25">
      <c r="A3136" s="28">
        <v>8505200</v>
      </c>
      <c r="B3136" s="26" t="s">
        <v>11797</v>
      </c>
    </row>
    <row r="3137" spans="1:2" x14ac:dyDescent="0.25">
      <c r="A3137" s="28">
        <v>8505201</v>
      </c>
      <c r="B3137" s="26" t="s">
        <v>10390</v>
      </c>
    </row>
    <row r="3138" spans="1:2" x14ac:dyDescent="0.25">
      <c r="A3138" s="28">
        <v>8505202</v>
      </c>
      <c r="B3138" s="26" t="s">
        <v>10386</v>
      </c>
    </row>
    <row r="3139" spans="1:2" x14ac:dyDescent="0.25">
      <c r="A3139" s="28">
        <v>8505203</v>
      </c>
      <c r="B3139" s="26" t="s">
        <v>11798</v>
      </c>
    </row>
    <row r="3140" spans="1:2" x14ac:dyDescent="0.25">
      <c r="A3140" s="28">
        <v>8505204</v>
      </c>
      <c r="B3140" s="26" t="s">
        <v>11799</v>
      </c>
    </row>
    <row r="3141" spans="1:2" x14ac:dyDescent="0.25">
      <c r="A3141" s="28">
        <v>8505205</v>
      </c>
      <c r="B3141" s="26" t="s">
        <v>10380</v>
      </c>
    </row>
    <row r="3142" spans="1:2" x14ac:dyDescent="0.25">
      <c r="A3142" s="28">
        <v>8505206</v>
      </c>
      <c r="B3142" s="26" t="s">
        <v>10385</v>
      </c>
    </row>
    <row r="3143" spans="1:2" x14ac:dyDescent="0.25">
      <c r="A3143" s="28">
        <v>8505207</v>
      </c>
      <c r="B3143" s="26" t="s">
        <v>10389</v>
      </c>
    </row>
    <row r="3144" spans="1:2" x14ac:dyDescent="0.25">
      <c r="A3144" s="28">
        <v>8505208</v>
      </c>
      <c r="B3144" s="26" t="s">
        <v>11800</v>
      </c>
    </row>
    <row r="3145" spans="1:2" x14ac:dyDescent="0.25">
      <c r="A3145" s="28">
        <v>8505209</v>
      </c>
      <c r="B3145" s="26" t="s">
        <v>10378</v>
      </c>
    </row>
    <row r="3146" spans="1:2" x14ac:dyDescent="0.25">
      <c r="A3146" s="28">
        <v>8505210</v>
      </c>
      <c r="B3146" s="26" t="s">
        <v>10388</v>
      </c>
    </row>
    <row r="3147" spans="1:2" x14ac:dyDescent="0.25">
      <c r="A3147" s="28">
        <v>8505211</v>
      </c>
      <c r="B3147" s="26" t="s">
        <v>10379</v>
      </c>
    </row>
    <row r="3148" spans="1:2" x14ac:dyDescent="0.25">
      <c r="A3148" s="28">
        <v>8505215</v>
      </c>
      <c r="B3148" s="26" t="s">
        <v>10391</v>
      </c>
    </row>
    <row r="3149" spans="1:2" x14ac:dyDescent="0.25">
      <c r="A3149" s="28">
        <v>8505216</v>
      </c>
      <c r="B3149" s="26" t="s">
        <v>11801</v>
      </c>
    </row>
    <row r="3150" spans="1:2" x14ac:dyDescent="0.25">
      <c r="A3150" s="28">
        <v>8505217</v>
      </c>
      <c r="B3150" s="26" t="s">
        <v>11802</v>
      </c>
    </row>
    <row r="3151" spans="1:2" x14ac:dyDescent="0.25">
      <c r="A3151" s="28">
        <v>8505219</v>
      </c>
      <c r="B3151" s="26" t="s">
        <v>11803</v>
      </c>
    </row>
    <row r="3152" spans="1:2" x14ac:dyDescent="0.25">
      <c r="A3152" s="28">
        <v>8505220</v>
      </c>
      <c r="B3152" s="26" t="s">
        <v>10395</v>
      </c>
    </row>
    <row r="3153" spans="1:2" x14ac:dyDescent="0.25">
      <c r="A3153" s="28">
        <v>8505221</v>
      </c>
      <c r="B3153" s="26" t="s">
        <v>10394</v>
      </c>
    </row>
    <row r="3154" spans="1:2" x14ac:dyDescent="0.25">
      <c r="A3154" s="28">
        <v>8505223</v>
      </c>
      <c r="B3154" s="26" t="s">
        <v>10376</v>
      </c>
    </row>
    <row r="3155" spans="1:2" x14ac:dyDescent="0.25">
      <c r="A3155" s="28">
        <v>8505224</v>
      </c>
      <c r="B3155" s="26" t="s">
        <v>10375</v>
      </c>
    </row>
    <row r="3156" spans="1:2" x14ac:dyDescent="0.25">
      <c r="A3156" s="28">
        <v>8505225</v>
      </c>
      <c r="B3156" s="26" t="s">
        <v>11804</v>
      </c>
    </row>
    <row r="3157" spans="1:2" x14ac:dyDescent="0.25">
      <c r="A3157" s="28">
        <v>8505233</v>
      </c>
      <c r="B3157" s="26" t="s">
        <v>10381</v>
      </c>
    </row>
    <row r="3158" spans="1:2" x14ac:dyDescent="0.25">
      <c r="A3158" s="28">
        <v>8505243</v>
      </c>
      <c r="B3158" s="26" t="s">
        <v>10387</v>
      </c>
    </row>
    <row r="3159" spans="1:2" x14ac:dyDescent="0.25">
      <c r="A3159" s="28">
        <v>8505250</v>
      </c>
      <c r="B3159" s="26" t="s">
        <v>10420</v>
      </c>
    </row>
    <row r="3160" spans="1:2" x14ac:dyDescent="0.25">
      <c r="A3160" s="28">
        <v>8505262</v>
      </c>
      <c r="B3160" s="26" t="s">
        <v>10377</v>
      </c>
    </row>
    <row r="3161" spans="1:2" x14ac:dyDescent="0.25">
      <c r="A3161" s="28">
        <v>8505263</v>
      </c>
      <c r="B3161" s="26" t="s">
        <v>11805</v>
      </c>
    </row>
    <row r="3162" spans="1:2" x14ac:dyDescent="0.25">
      <c r="A3162" s="28">
        <v>8505264</v>
      </c>
      <c r="B3162" s="26" t="s">
        <v>11806</v>
      </c>
    </row>
    <row r="3163" spans="1:2" x14ac:dyDescent="0.25">
      <c r="A3163" s="26" t="s">
        <v>12804</v>
      </c>
      <c r="B3163" s="27"/>
    </row>
    <row r="3164" spans="1:2" x14ac:dyDescent="0.25">
      <c r="A3164" s="28">
        <v>8505290</v>
      </c>
      <c r="B3164" s="26" t="s">
        <v>11807</v>
      </c>
    </row>
    <row r="3165" spans="1:2" x14ac:dyDescent="0.25">
      <c r="A3165" s="28">
        <v>8505291</v>
      </c>
      <c r="B3165" s="26" t="s">
        <v>11808</v>
      </c>
    </row>
    <row r="3166" spans="1:2" x14ac:dyDescent="0.25">
      <c r="A3166" s="28">
        <v>8505320</v>
      </c>
      <c r="B3166" s="26" t="s">
        <v>11809</v>
      </c>
    </row>
    <row r="3167" spans="1:2" x14ac:dyDescent="0.25">
      <c r="A3167" s="28">
        <v>8505322</v>
      </c>
      <c r="B3167" s="26" t="s">
        <v>11810</v>
      </c>
    </row>
    <row r="3168" spans="1:2" x14ac:dyDescent="0.25">
      <c r="A3168" s="28">
        <v>8505324</v>
      </c>
      <c r="B3168" s="26" t="s">
        <v>11811</v>
      </c>
    </row>
    <row r="3169" spans="1:2" x14ac:dyDescent="0.25">
      <c r="A3169" s="28">
        <v>8505329</v>
      </c>
      <c r="B3169" s="26" t="s">
        <v>10384</v>
      </c>
    </row>
    <row r="3170" spans="1:2" x14ac:dyDescent="0.25">
      <c r="A3170" s="28">
        <v>8505330</v>
      </c>
      <c r="B3170" s="26" t="s">
        <v>10422</v>
      </c>
    </row>
    <row r="3171" spans="1:2" x14ac:dyDescent="0.25">
      <c r="A3171" s="28">
        <v>8505331</v>
      </c>
      <c r="B3171" s="26" t="s">
        <v>10383</v>
      </c>
    </row>
    <row r="3172" spans="1:2" x14ac:dyDescent="0.25">
      <c r="A3172" s="28">
        <v>8505367</v>
      </c>
      <c r="B3172" s="26" t="s">
        <v>10421</v>
      </c>
    </row>
    <row r="3173" spans="1:2" x14ac:dyDescent="0.25">
      <c r="A3173" s="28">
        <v>8505401</v>
      </c>
      <c r="B3173" s="26" t="s">
        <v>10433</v>
      </c>
    </row>
    <row r="3174" spans="1:2" x14ac:dyDescent="0.25">
      <c r="A3174" s="28">
        <v>8505402</v>
      </c>
      <c r="B3174" s="26" t="s">
        <v>10437</v>
      </c>
    </row>
    <row r="3175" spans="1:2" x14ac:dyDescent="0.25">
      <c r="A3175" s="28">
        <v>8505403</v>
      </c>
      <c r="B3175" s="26" t="s">
        <v>10438</v>
      </c>
    </row>
    <row r="3176" spans="1:2" x14ac:dyDescent="0.25">
      <c r="A3176" s="28">
        <v>8505404</v>
      </c>
      <c r="B3176" s="26" t="s">
        <v>10434</v>
      </c>
    </row>
    <row r="3177" spans="1:2" x14ac:dyDescent="0.25">
      <c r="A3177" s="28">
        <v>8505405</v>
      </c>
      <c r="B3177" s="26" t="s">
        <v>10435</v>
      </c>
    </row>
    <row r="3178" spans="1:2" x14ac:dyDescent="0.25">
      <c r="A3178" s="28">
        <v>8505406</v>
      </c>
      <c r="B3178" s="26" t="s">
        <v>10436</v>
      </c>
    </row>
    <row r="3179" spans="1:2" x14ac:dyDescent="0.25">
      <c r="A3179" s="28">
        <v>8505590</v>
      </c>
      <c r="B3179" s="26" t="s">
        <v>12805</v>
      </c>
    </row>
    <row r="3180" spans="1:2" x14ac:dyDescent="0.25">
      <c r="A3180" s="28">
        <v>8505591</v>
      </c>
      <c r="B3180" s="26" t="s">
        <v>12806</v>
      </c>
    </row>
    <row r="3181" spans="1:2" x14ac:dyDescent="0.25">
      <c r="A3181" s="28">
        <v>8505592</v>
      </c>
      <c r="B3181" s="26" t="s">
        <v>13193</v>
      </c>
    </row>
    <row r="3182" spans="1:2" x14ac:dyDescent="0.25">
      <c r="A3182" s="28">
        <v>8505600</v>
      </c>
      <c r="B3182" s="26" t="s">
        <v>10396</v>
      </c>
    </row>
    <row r="3183" spans="1:2" x14ac:dyDescent="0.25">
      <c r="A3183" s="28">
        <v>8505601</v>
      </c>
      <c r="B3183" s="26" t="s">
        <v>9901</v>
      </c>
    </row>
    <row r="3184" spans="1:2" x14ac:dyDescent="0.25">
      <c r="A3184" s="28">
        <v>8505602</v>
      </c>
      <c r="B3184" s="26" t="s">
        <v>9908</v>
      </c>
    </row>
    <row r="3185" spans="1:2" x14ac:dyDescent="0.25">
      <c r="A3185" s="28">
        <v>8505603</v>
      </c>
      <c r="B3185" s="26" t="s">
        <v>9913</v>
      </c>
    </row>
    <row r="3186" spans="1:2" x14ac:dyDescent="0.25">
      <c r="A3186" s="28">
        <v>8505604</v>
      </c>
      <c r="B3186" s="26" t="s">
        <v>9912</v>
      </c>
    </row>
    <row r="3187" spans="1:2" x14ac:dyDescent="0.25">
      <c r="A3187" s="28">
        <v>8505605</v>
      </c>
      <c r="B3187" s="26" t="s">
        <v>9919</v>
      </c>
    </row>
    <row r="3188" spans="1:2" x14ac:dyDescent="0.25">
      <c r="A3188" s="28">
        <v>8505606</v>
      </c>
      <c r="B3188" s="26" t="s">
        <v>9921</v>
      </c>
    </row>
    <row r="3189" spans="1:2" x14ac:dyDescent="0.25">
      <c r="A3189" s="28">
        <v>8505607</v>
      </c>
      <c r="B3189" s="26" t="s">
        <v>9915</v>
      </c>
    </row>
    <row r="3190" spans="1:2" x14ac:dyDescent="0.25">
      <c r="A3190" s="28">
        <v>8505650</v>
      </c>
      <c r="B3190" s="26" t="s">
        <v>8421</v>
      </c>
    </row>
    <row r="3191" spans="1:2" x14ac:dyDescent="0.25">
      <c r="A3191" s="28">
        <v>8505688</v>
      </c>
      <c r="B3191" s="26" t="s">
        <v>10853</v>
      </c>
    </row>
    <row r="3192" spans="1:2" x14ac:dyDescent="0.25">
      <c r="A3192" s="28">
        <v>8505689</v>
      </c>
      <c r="B3192" s="26" t="s">
        <v>10850</v>
      </c>
    </row>
    <row r="3193" spans="1:2" x14ac:dyDescent="0.25">
      <c r="A3193" s="28">
        <v>8505690</v>
      </c>
      <c r="B3193" s="26" t="s">
        <v>10849</v>
      </c>
    </row>
    <row r="3194" spans="1:2" x14ac:dyDescent="0.25">
      <c r="A3194" s="28">
        <v>8505691</v>
      </c>
      <c r="B3194" s="26" t="s">
        <v>10851</v>
      </c>
    </row>
    <row r="3195" spans="1:2" x14ac:dyDescent="0.25">
      <c r="A3195" s="28">
        <v>8505692</v>
      </c>
      <c r="B3195" s="26" t="s">
        <v>11812</v>
      </c>
    </row>
    <row r="3196" spans="1:2" x14ac:dyDescent="0.25">
      <c r="A3196" s="28">
        <v>8505693</v>
      </c>
      <c r="B3196" s="26" t="s">
        <v>10852</v>
      </c>
    </row>
    <row r="3197" spans="1:2" x14ac:dyDescent="0.25">
      <c r="A3197" s="28">
        <v>8505701</v>
      </c>
      <c r="B3197" s="26" t="s">
        <v>9900</v>
      </c>
    </row>
    <row r="3198" spans="1:2" x14ac:dyDescent="0.25">
      <c r="A3198" s="28">
        <v>8505702</v>
      </c>
      <c r="B3198" s="26" t="s">
        <v>11813</v>
      </c>
    </row>
    <row r="3199" spans="1:2" x14ac:dyDescent="0.25">
      <c r="A3199" s="28">
        <v>8505703</v>
      </c>
      <c r="B3199" s="26" t="s">
        <v>9905</v>
      </c>
    </row>
    <row r="3200" spans="1:2" x14ac:dyDescent="0.25">
      <c r="A3200" s="28">
        <v>8505704</v>
      </c>
      <c r="B3200" s="26" t="s">
        <v>9906</v>
      </c>
    </row>
    <row r="3201" spans="1:2" x14ac:dyDescent="0.25">
      <c r="A3201" s="28">
        <v>8505705</v>
      </c>
      <c r="B3201" s="26" t="s">
        <v>9904</v>
      </c>
    </row>
    <row r="3202" spans="1:2" x14ac:dyDescent="0.25">
      <c r="A3202" s="28">
        <v>8505706</v>
      </c>
      <c r="B3202" s="26" t="s">
        <v>9917</v>
      </c>
    </row>
    <row r="3203" spans="1:2" x14ac:dyDescent="0.25">
      <c r="A3203" s="28">
        <v>8505707</v>
      </c>
      <c r="B3203" s="26" t="s">
        <v>9914</v>
      </c>
    </row>
    <row r="3204" spans="1:2" x14ac:dyDescent="0.25">
      <c r="A3204" s="28">
        <v>8505708</v>
      </c>
      <c r="B3204" s="26" t="s">
        <v>11814</v>
      </c>
    </row>
    <row r="3205" spans="1:2" x14ac:dyDescent="0.25">
      <c r="A3205" s="28">
        <v>8505709</v>
      </c>
      <c r="B3205" s="26" t="s">
        <v>11815</v>
      </c>
    </row>
    <row r="3206" spans="1:2" x14ac:dyDescent="0.25">
      <c r="A3206" s="28">
        <v>8505710</v>
      </c>
      <c r="B3206" s="26" t="s">
        <v>11816</v>
      </c>
    </row>
    <row r="3207" spans="1:2" x14ac:dyDescent="0.25">
      <c r="A3207" s="28">
        <v>8505711</v>
      </c>
      <c r="B3207" s="26" t="s">
        <v>11817</v>
      </c>
    </row>
    <row r="3208" spans="1:2" x14ac:dyDescent="0.25">
      <c r="A3208" s="28">
        <v>8505712</v>
      </c>
      <c r="B3208" s="26" t="s">
        <v>11818</v>
      </c>
    </row>
    <row r="3209" spans="1:2" x14ac:dyDescent="0.25">
      <c r="A3209" s="28">
        <v>8505713</v>
      </c>
      <c r="B3209" s="26" t="s">
        <v>11819</v>
      </c>
    </row>
    <row r="3210" spans="1:2" x14ac:dyDescent="0.25">
      <c r="A3210" s="28">
        <v>8505714</v>
      </c>
      <c r="B3210" s="26" t="s">
        <v>11820</v>
      </c>
    </row>
    <row r="3211" spans="1:2" x14ac:dyDescent="0.25">
      <c r="A3211" s="28">
        <v>8505715</v>
      </c>
      <c r="B3211" s="26" t="s">
        <v>9923</v>
      </c>
    </row>
    <row r="3212" spans="1:2" x14ac:dyDescent="0.25">
      <c r="A3212" s="28">
        <v>8505750</v>
      </c>
      <c r="B3212" s="26" t="s">
        <v>13218</v>
      </c>
    </row>
    <row r="3213" spans="1:2" x14ac:dyDescent="0.25">
      <c r="A3213" s="28">
        <v>8505789</v>
      </c>
      <c r="B3213" s="26" t="s">
        <v>10467</v>
      </c>
    </row>
    <row r="3214" spans="1:2" x14ac:dyDescent="0.25">
      <c r="A3214" s="28">
        <v>8505800</v>
      </c>
      <c r="B3214" s="26" t="s">
        <v>10416</v>
      </c>
    </row>
    <row r="3215" spans="1:2" x14ac:dyDescent="0.25">
      <c r="A3215" s="28">
        <v>8505801</v>
      </c>
      <c r="B3215" s="26" t="s">
        <v>10417</v>
      </c>
    </row>
    <row r="3216" spans="1:2" x14ac:dyDescent="0.25">
      <c r="A3216" s="28">
        <v>8505809</v>
      </c>
      <c r="B3216" s="26" t="s">
        <v>11821</v>
      </c>
    </row>
    <row r="3217" spans="1:2" x14ac:dyDescent="0.25">
      <c r="A3217" s="28">
        <v>8505810</v>
      </c>
      <c r="B3217" s="26" t="s">
        <v>11822</v>
      </c>
    </row>
    <row r="3218" spans="1:2" x14ac:dyDescent="0.25">
      <c r="A3218" s="28">
        <v>8505820</v>
      </c>
      <c r="B3218" s="26" t="s">
        <v>8419</v>
      </c>
    </row>
    <row r="3219" spans="1:2" x14ac:dyDescent="0.25">
      <c r="A3219" s="28">
        <v>8505821</v>
      </c>
      <c r="B3219" s="26" t="s">
        <v>8416</v>
      </c>
    </row>
    <row r="3220" spans="1:2" x14ac:dyDescent="0.25">
      <c r="A3220" s="28">
        <v>8505822</v>
      </c>
      <c r="B3220" s="26" t="s">
        <v>8415</v>
      </c>
    </row>
    <row r="3221" spans="1:2" x14ac:dyDescent="0.25">
      <c r="A3221" s="28">
        <v>8505823</v>
      </c>
      <c r="B3221" s="26" t="s">
        <v>8418</v>
      </c>
    </row>
    <row r="3222" spans="1:2" x14ac:dyDescent="0.25">
      <c r="A3222" s="28">
        <v>8505824</v>
      </c>
      <c r="B3222" s="26" t="s">
        <v>8417</v>
      </c>
    </row>
    <row r="3223" spans="1:2" x14ac:dyDescent="0.25">
      <c r="A3223" s="28">
        <v>8505825</v>
      </c>
      <c r="B3223" s="26" t="s">
        <v>8420</v>
      </c>
    </row>
    <row r="3224" spans="1:2" x14ac:dyDescent="0.25">
      <c r="A3224" s="28">
        <v>8505826</v>
      </c>
      <c r="B3224" s="26" t="s">
        <v>8422</v>
      </c>
    </row>
    <row r="3225" spans="1:2" x14ac:dyDescent="0.25">
      <c r="A3225" s="28">
        <v>8505827</v>
      </c>
      <c r="B3225" s="26" t="s">
        <v>8414</v>
      </c>
    </row>
    <row r="3226" spans="1:2" x14ac:dyDescent="0.25">
      <c r="A3226" s="28">
        <v>8505838</v>
      </c>
      <c r="B3226" s="26" t="s">
        <v>11823</v>
      </c>
    </row>
    <row r="3227" spans="1:2" x14ac:dyDescent="0.25">
      <c r="A3227" s="28">
        <v>8507002</v>
      </c>
      <c r="B3227" s="26" t="s">
        <v>10825</v>
      </c>
    </row>
    <row r="3228" spans="1:2" x14ac:dyDescent="0.25">
      <c r="A3228" s="28">
        <v>8508065</v>
      </c>
      <c r="B3228" s="26" t="s">
        <v>11824</v>
      </c>
    </row>
    <row r="3229" spans="1:2" x14ac:dyDescent="0.25">
      <c r="A3229" s="28">
        <v>8508121</v>
      </c>
      <c r="B3229" s="26" t="s">
        <v>11825</v>
      </c>
    </row>
    <row r="3230" spans="1:2" x14ac:dyDescent="0.25">
      <c r="A3230" s="28">
        <v>850812160</v>
      </c>
      <c r="B3230" s="26" t="s">
        <v>11825</v>
      </c>
    </row>
    <row r="3231" spans="1:2" x14ac:dyDescent="0.25">
      <c r="A3231" s="28">
        <v>8508132</v>
      </c>
      <c r="B3231" s="26" t="s">
        <v>9349</v>
      </c>
    </row>
    <row r="3232" spans="1:2" x14ac:dyDescent="0.25">
      <c r="A3232" s="28">
        <v>850814110</v>
      </c>
      <c r="B3232" s="26" t="s">
        <v>11826</v>
      </c>
    </row>
    <row r="3233" spans="1:2" x14ac:dyDescent="0.25">
      <c r="A3233" s="28">
        <v>850822000</v>
      </c>
      <c r="B3233" s="26" t="s">
        <v>11827</v>
      </c>
    </row>
    <row r="3234" spans="1:2" x14ac:dyDescent="0.25">
      <c r="A3234" s="28">
        <v>8508507</v>
      </c>
      <c r="B3234" s="26" t="s">
        <v>10014</v>
      </c>
    </row>
    <row r="3235" spans="1:2" x14ac:dyDescent="0.25">
      <c r="A3235" s="28">
        <v>850850712</v>
      </c>
      <c r="B3235" s="26" t="s">
        <v>13219</v>
      </c>
    </row>
    <row r="3236" spans="1:2" x14ac:dyDescent="0.25">
      <c r="A3236" s="28">
        <v>8509729</v>
      </c>
      <c r="B3236" s="26" t="s">
        <v>9376</v>
      </c>
    </row>
    <row r="3237" spans="1:2" x14ac:dyDescent="0.25">
      <c r="A3237" s="28">
        <v>8511115</v>
      </c>
      <c r="B3237" s="26" t="s">
        <v>10155</v>
      </c>
    </row>
    <row r="3238" spans="1:2" x14ac:dyDescent="0.25">
      <c r="A3238" s="28">
        <v>8511421</v>
      </c>
      <c r="B3238" s="26" t="s">
        <v>8836</v>
      </c>
    </row>
    <row r="3239" spans="1:2" x14ac:dyDescent="0.25">
      <c r="A3239" s="28">
        <v>8511446</v>
      </c>
      <c r="B3239" s="26" t="s">
        <v>11828</v>
      </c>
    </row>
    <row r="3240" spans="1:2" x14ac:dyDescent="0.25">
      <c r="A3240" s="28">
        <v>8511522</v>
      </c>
      <c r="B3240" s="26" t="s">
        <v>8835</v>
      </c>
    </row>
    <row r="3241" spans="1:2" x14ac:dyDescent="0.25">
      <c r="A3241" s="28">
        <v>8511744</v>
      </c>
      <c r="B3241" s="26" t="s">
        <v>8834</v>
      </c>
    </row>
    <row r="3242" spans="1:2" x14ac:dyDescent="0.25">
      <c r="A3242" s="28">
        <v>8513001</v>
      </c>
      <c r="B3242" s="26" t="s">
        <v>11829</v>
      </c>
    </row>
    <row r="3243" spans="1:2" x14ac:dyDescent="0.25">
      <c r="A3243" s="28">
        <v>8513012</v>
      </c>
      <c r="B3243" s="26" t="s">
        <v>9099</v>
      </c>
    </row>
    <row r="3244" spans="1:2" x14ac:dyDescent="0.25">
      <c r="A3244" s="28">
        <v>8513160</v>
      </c>
      <c r="B3244" s="26" t="s">
        <v>10013</v>
      </c>
    </row>
    <row r="3245" spans="1:2" x14ac:dyDescent="0.25">
      <c r="A3245" s="28">
        <v>8513173</v>
      </c>
      <c r="B3245" s="26" t="s">
        <v>9956</v>
      </c>
    </row>
    <row r="3246" spans="1:2" x14ac:dyDescent="0.25">
      <c r="A3246" s="28">
        <v>8513174</v>
      </c>
      <c r="B3246" s="26" t="s">
        <v>9958</v>
      </c>
    </row>
    <row r="3247" spans="1:2" x14ac:dyDescent="0.25">
      <c r="A3247" s="28">
        <v>8513175</v>
      </c>
      <c r="B3247" s="26" t="s">
        <v>8413</v>
      </c>
    </row>
    <row r="3248" spans="1:2" x14ac:dyDescent="0.25">
      <c r="A3248" s="28">
        <v>8513202</v>
      </c>
      <c r="B3248" s="26" t="s">
        <v>12807</v>
      </c>
    </row>
    <row r="3249" spans="1:2" x14ac:dyDescent="0.25">
      <c r="A3249" s="28">
        <v>8513224</v>
      </c>
      <c r="B3249" s="26" t="s">
        <v>11830</v>
      </c>
    </row>
    <row r="3250" spans="1:2" x14ac:dyDescent="0.25">
      <c r="A3250" s="28">
        <v>8513243</v>
      </c>
      <c r="B3250" s="26" t="s">
        <v>11831</v>
      </c>
    </row>
    <row r="3251" spans="1:2" x14ac:dyDescent="0.25">
      <c r="A3251" s="28">
        <v>8513244</v>
      </c>
      <c r="B3251" s="26" t="s">
        <v>9098</v>
      </c>
    </row>
    <row r="3252" spans="1:2" x14ac:dyDescent="0.25">
      <c r="A3252" s="28">
        <v>8513245</v>
      </c>
      <c r="B3252" s="26" t="s">
        <v>11832</v>
      </c>
    </row>
    <row r="3253" spans="1:2" x14ac:dyDescent="0.25">
      <c r="A3253" s="28">
        <v>8513303</v>
      </c>
      <c r="B3253" s="26" t="s">
        <v>10339</v>
      </c>
    </row>
    <row r="3254" spans="1:2" x14ac:dyDescent="0.25">
      <c r="A3254" s="28">
        <v>8513405</v>
      </c>
      <c r="B3254" s="26" t="s">
        <v>9957</v>
      </c>
    </row>
    <row r="3255" spans="1:2" x14ac:dyDescent="0.25">
      <c r="A3255" s="28">
        <v>8513505</v>
      </c>
      <c r="B3255" s="26" t="s">
        <v>13220</v>
      </c>
    </row>
    <row r="3256" spans="1:2" x14ac:dyDescent="0.25">
      <c r="A3256" s="28">
        <v>8515001</v>
      </c>
      <c r="B3256" s="26" t="s">
        <v>11833</v>
      </c>
    </row>
    <row r="3257" spans="1:2" x14ac:dyDescent="0.25">
      <c r="A3257" s="28">
        <v>8515004</v>
      </c>
      <c r="B3257" s="26" t="s">
        <v>11834</v>
      </c>
    </row>
    <row r="3258" spans="1:2" x14ac:dyDescent="0.25">
      <c r="A3258" s="28">
        <v>8515180</v>
      </c>
      <c r="B3258" s="26" t="s">
        <v>10012</v>
      </c>
    </row>
    <row r="3259" spans="1:2" x14ac:dyDescent="0.25">
      <c r="A3259" s="28">
        <v>8515181</v>
      </c>
      <c r="B3259" s="26" t="s">
        <v>10799</v>
      </c>
    </row>
    <row r="3260" spans="1:2" x14ac:dyDescent="0.25">
      <c r="A3260" s="28">
        <v>8515740</v>
      </c>
      <c r="B3260" s="26" t="s">
        <v>9334</v>
      </c>
    </row>
    <row r="3261" spans="1:2" x14ac:dyDescent="0.25">
      <c r="A3261" s="28">
        <v>8515746</v>
      </c>
      <c r="B3261" s="26" t="s">
        <v>9330</v>
      </c>
    </row>
    <row r="3262" spans="1:2" x14ac:dyDescent="0.25">
      <c r="A3262" s="28">
        <v>8515747</v>
      </c>
      <c r="B3262" s="26" t="s">
        <v>9329</v>
      </c>
    </row>
    <row r="3263" spans="1:2" x14ac:dyDescent="0.25">
      <c r="A3263" s="28">
        <v>8515748</v>
      </c>
      <c r="B3263" s="26" t="s">
        <v>9333</v>
      </c>
    </row>
    <row r="3264" spans="1:2" x14ac:dyDescent="0.25">
      <c r="A3264" s="28">
        <v>8515749</v>
      </c>
      <c r="B3264" s="26" t="s">
        <v>9332</v>
      </c>
    </row>
    <row r="3265" spans="1:2" x14ac:dyDescent="0.25">
      <c r="A3265" s="28">
        <v>8515750</v>
      </c>
      <c r="B3265" s="26" t="s">
        <v>12252</v>
      </c>
    </row>
    <row r="3266" spans="1:2" x14ac:dyDescent="0.25">
      <c r="A3266" s="28">
        <v>8515751</v>
      </c>
      <c r="B3266" s="26" t="s">
        <v>12361</v>
      </c>
    </row>
    <row r="3267" spans="1:2" x14ac:dyDescent="0.25">
      <c r="A3267" s="28">
        <v>8515760</v>
      </c>
      <c r="B3267" s="26" t="s">
        <v>9331</v>
      </c>
    </row>
    <row r="3268" spans="1:2" x14ac:dyDescent="0.25">
      <c r="A3268" s="28">
        <v>8515770</v>
      </c>
      <c r="B3268" s="26" t="s">
        <v>11835</v>
      </c>
    </row>
    <row r="3269" spans="1:2" x14ac:dyDescent="0.25">
      <c r="A3269" s="28">
        <v>8516000</v>
      </c>
      <c r="B3269" s="26" t="s">
        <v>10595</v>
      </c>
    </row>
    <row r="3270" spans="1:2" x14ac:dyDescent="0.25">
      <c r="A3270" s="28">
        <v>8517000</v>
      </c>
      <c r="B3270" s="26" t="s">
        <v>9751</v>
      </c>
    </row>
    <row r="3271" spans="1:2" x14ac:dyDescent="0.25">
      <c r="A3271" s="28">
        <v>8517001</v>
      </c>
      <c r="B3271" s="26" t="s">
        <v>11836</v>
      </c>
    </row>
    <row r="3272" spans="1:2" x14ac:dyDescent="0.25">
      <c r="A3272" s="28">
        <v>8517004</v>
      </c>
      <c r="B3272" s="26" t="s">
        <v>9740</v>
      </c>
    </row>
    <row r="3273" spans="1:2" x14ac:dyDescent="0.25">
      <c r="A3273" s="28">
        <v>8517035</v>
      </c>
      <c r="B3273" s="26" t="s">
        <v>11837</v>
      </c>
    </row>
    <row r="3274" spans="1:2" x14ac:dyDescent="0.25">
      <c r="A3274" s="28">
        <v>8517050</v>
      </c>
      <c r="B3274" s="26" t="s">
        <v>9743</v>
      </c>
    </row>
    <row r="3275" spans="1:2" x14ac:dyDescent="0.25">
      <c r="A3275" s="28">
        <v>8517051</v>
      </c>
      <c r="B3275" s="26" t="s">
        <v>9734</v>
      </c>
    </row>
    <row r="3276" spans="1:2" x14ac:dyDescent="0.25">
      <c r="A3276" s="28">
        <v>8517103</v>
      </c>
      <c r="B3276" s="26" t="s">
        <v>9737</v>
      </c>
    </row>
    <row r="3277" spans="1:2" x14ac:dyDescent="0.25">
      <c r="A3277" s="28">
        <v>851710307</v>
      </c>
      <c r="B3277" s="26" t="s">
        <v>11838</v>
      </c>
    </row>
    <row r="3278" spans="1:2" x14ac:dyDescent="0.25">
      <c r="A3278" s="28">
        <v>851710308</v>
      </c>
      <c r="B3278" s="26" t="s">
        <v>11839</v>
      </c>
    </row>
    <row r="3279" spans="1:2" x14ac:dyDescent="0.25">
      <c r="A3279" s="28">
        <v>851710309</v>
      </c>
      <c r="B3279" s="26" t="s">
        <v>11840</v>
      </c>
    </row>
    <row r="3280" spans="1:2" x14ac:dyDescent="0.25">
      <c r="A3280" s="28">
        <v>851710310</v>
      </c>
      <c r="B3280" s="26" t="s">
        <v>11841</v>
      </c>
    </row>
    <row r="3281" spans="1:2" x14ac:dyDescent="0.25">
      <c r="A3281" s="28">
        <v>851710375</v>
      </c>
      <c r="B3281" s="26" t="s">
        <v>11842</v>
      </c>
    </row>
    <row r="3282" spans="1:2" x14ac:dyDescent="0.25">
      <c r="A3282" s="28">
        <v>851710385</v>
      </c>
      <c r="B3282" s="26" t="s">
        <v>11843</v>
      </c>
    </row>
    <row r="3283" spans="1:2" x14ac:dyDescent="0.25">
      <c r="A3283" s="28">
        <v>851710395</v>
      </c>
      <c r="B3283" s="26" t="s">
        <v>11844</v>
      </c>
    </row>
    <row r="3284" spans="1:2" x14ac:dyDescent="0.25">
      <c r="A3284" s="28">
        <v>8517104</v>
      </c>
      <c r="B3284" s="26" t="s">
        <v>11845</v>
      </c>
    </row>
    <row r="3285" spans="1:2" x14ac:dyDescent="0.25">
      <c r="A3285" s="28">
        <v>8517110</v>
      </c>
      <c r="B3285" s="26" t="s">
        <v>9739</v>
      </c>
    </row>
    <row r="3286" spans="1:2" x14ac:dyDescent="0.25">
      <c r="A3286" s="28">
        <v>8517235</v>
      </c>
      <c r="B3286" s="26" t="s">
        <v>9736</v>
      </c>
    </row>
    <row r="3287" spans="1:2" x14ac:dyDescent="0.25">
      <c r="A3287" s="28">
        <v>8517300</v>
      </c>
      <c r="B3287" s="26" t="s">
        <v>9741</v>
      </c>
    </row>
    <row r="3288" spans="1:2" x14ac:dyDescent="0.25">
      <c r="A3288" s="28">
        <v>8517408</v>
      </c>
      <c r="B3288" s="26" t="s">
        <v>9738</v>
      </c>
    </row>
    <row r="3289" spans="1:2" x14ac:dyDescent="0.25">
      <c r="A3289" s="28">
        <v>8517900</v>
      </c>
      <c r="B3289" s="26" t="s">
        <v>9748</v>
      </c>
    </row>
    <row r="3290" spans="1:2" x14ac:dyDescent="0.25">
      <c r="A3290" s="28">
        <v>8517901</v>
      </c>
      <c r="B3290" s="26" t="s">
        <v>9745</v>
      </c>
    </row>
    <row r="3291" spans="1:2" x14ac:dyDescent="0.25">
      <c r="A3291" s="28">
        <v>8517902</v>
      </c>
      <c r="B3291" s="26" t="s">
        <v>9750</v>
      </c>
    </row>
    <row r="3292" spans="1:2" x14ac:dyDescent="0.25">
      <c r="A3292" s="28">
        <v>8517903</v>
      </c>
      <c r="B3292" s="26" t="s">
        <v>9746</v>
      </c>
    </row>
    <row r="3293" spans="1:2" x14ac:dyDescent="0.25">
      <c r="A3293" s="28">
        <v>8517904</v>
      </c>
      <c r="B3293" s="26" t="s">
        <v>9749</v>
      </c>
    </row>
    <row r="3294" spans="1:2" x14ac:dyDescent="0.25">
      <c r="A3294" s="28">
        <v>8517905</v>
      </c>
      <c r="B3294" s="26" t="s">
        <v>9747</v>
      </c>
    </row>
    <row r="3295" spans="1:2" x14ac:dyDescent="0.25">
      <c r="A3295" s="28">
        <v>8517906</v>
      </c>
      <c r="B3295" s="26" t="s">
        <v>9744</v>
      </c>
    </row>
    <row r="3296" spans="1:2" x14ac:dyDescent="0.25">
      <c r="A3296" s="28">
        <v>8517907</v>
      </c>
      <c r="B3296" s="26" t="s">
        <v>9735</v>
      </c>
    </row>
    <row r="3297" spans="1:2" x14ac:dyDescent="0.25">
      <c r="A3297" s="28">
        <v>8518000</v>
      </c>
      <c r="B3297" s="26" t="s">
        <v>11846</v>
      </c>
    </row>
    <row r="3298" spans="1:2" x14ac:dyDescent="0.25">
      <c r="A3298" s="28">
        <v>8518011</v>
      </c>
      <c r="B3298" s="26" t="s">
        <v>10024</v>
      </c>
    </row>
    <row r="3299" spans="1:2" x14ac:dyDescent="0.25">
      <c r="A3299" s="28">
        <v>8518012</v>
      </c>
      <c r="B3299" s="26" t="s">
        <v>11847</v>
      </c>
    </row>
    <row r="3300" spans="1:2" x14ac:dyDescent="0.25">
      <c r="A3300" s="28">
        <v>8518013</v>
      </c>
      <c r="B3300" s="26" t="s">
        <v>10023</v>
      </c>
    </row>
    <row r="3301" spans="1:2" x14ac:dyDescent="0.25">
      <c r="A3301" s="28">
        <v>8518014</v>
      </c>
      <c r="B3301" s="26" t="s">
        <v>10021</v>
      </c>
    </row>
    <row r="3302" spans="1:2" x14ac:dyDescent="0.25">
      <c r="A3302" s="28">
        <v>8518015</v>
      </c>
      <c r="B3302" s="26" t="s">
        <v>11848</v>
      </c>
    </row>
    <row r="3303" spans="1:2" x14ac:dyDescent="0.25">
      <c r="A3303" s="28">
        <v>8518016</v>
      </c>
      <c r="B3303" s="26" t="s">
        <v>11849</v>
      </c>
    </row>
    <row r="3304" spans="1:2" x14ac:dyDescent="0.25">
      <c r="A3304" s="28">
        <v>8518017</v>
      </c>
      <c r="B3304" s="26" t="s">
        <v>11850</v>
      </c>
    </row>
    <row r="3305" spans="1:2" x14ac:dyDescent="0.25">
      <c r="A3305" s="28">
        <v>8518018</v>
      </c>
      <c r="B3305" s="26" t="s">
        <v>11851</v>
      </c>
    </row>
    <row r="3306" spans="1:2" x14ac:dyDescent="0.25">
      <c r="A3306" s="28">
        <v>8518019</v>
      </c>
      <c r="B3306" s="26" t="s">
        <v>11852</v>
      </c>
    </row>
    <row r="3307" spans="1:2" x14ac:dyDescent="0.25">
      <c r="A3307" s="28">
        <v>8518159</v>
      </c>
      <c r="B3307" s="26" t="s">
        <v>9375</v>
      </c>
    </row>
    <row r="3308" spans="1:2" x14ac:dyDescent="0.25">
      <c r="A3308" s="28">
        <v>8518300</v>
      </c>
      <c r="B3308" s="26" t="s">
        <v>10025</v>
      </c>
    </row>
    <row r="3309" spans="1:2" x14ac:dyDescent="0.25">
      <c r="A3309" s="28">
        <v>8518500</v>
      </c>
      <c r="B3309" s="26" t="s">
        <v>13221</v>
      </c>
    </row>
    <row r="3310" spans="1:2" x14ac:dyDescent="0.25">
      <c r="A3310" s="28">
        <v>8518753</v>
      </c>
      <c r="B3310" s="26" t="s">
        <v>9324</v>
      </c>
    </row>
    <row r="3311" spans="1:2" x14ac:dyDescent="0.25">
      <c r="A3311" s="28">
        <v>8518789</v>
      </c>
      <c r="B3311" s="26" t="s">
        <v>9374</v>
      </c>
    </row>
    <row r="3312" spans="1:2" x14ac:dyDescent="0.25">
      <c r="A3312" s="28">
        <v>8519021</v>
      </c>
      <c r="B3312" s="26" t="s">
        <v>11853</v>
      </c>
    </row>
    <row r="3313" spans="1:2" x14ac:dyDescent="0.25">
      <c r="A3313" s="28">
        <v>8519040</v>
      </c>
      <c r="B3313" s="26" t="s">
        <v>11854</v>
      </c>
    </row>
    <row r="3314" spans="1:2" x14ac:dyDescent="0.25">
      <c r="A3314" s="28">
        <v>8519041</v>
      </c>
      <c r="B3314" s="26" t="s">
        <v>8386</v>
      </c>
    </row>
    <row r="3315" spans="1:2" x14ac:dyDescent="0.25">
      <c r="A3315" s="28">
        <v>8519042</v>
      </c>
      <c r="B3315" s="26" t="s">
        <v>12808</v>
      </c>
    </row>
    <row r="3316" spans="1:2" x14ac:dyDescent="0.25">
      <c r="A3316" s="28">
        <v>8519043</v>
      </c>
      <c r="B3316" s="26" t="s">
        <v>11855</v>
      </c>
    </row>
    <row r="3317" spans="1:2" x14ac:dyDescent="0.25">
      <c r="A3317" s="28">
        <v>8519044</v>
      </c>
      <c r="B3317" s="26" t="s">
        <v>8385</v>
      </c>
    </row>
    <row r="3318" spans="1:2" x14ac:dyDescent="0.25">
      <c r="A3318" s="28">
        <v>851949714</v>
      </c>
      <c r="B3318" s="26" t="s">
        <v>11856</v>
      </c>
    </row>
    <row r="3319" spans="1:2" x14ac:dyDescent="0.25">
      <c r="A3319" s="28">
        <v>851949822</v>
      </c>
      <c r="B3319" s="26" t="s">
        <v>11857</v>
      </c>
    </row>
    <row r="3320" spans="1:2" x14ac:dyDescent="0.25">
      <c r="A3320" s="28">
        <v>8519500</v>
      </c>
      <c r="B3320" s="26" t="s">
        <v>8387</v>
      </c>
    </row>
    <row r="3321" spans="1:2" x14ac:dyDescent="0.25">
      <c r="A3321" s="28">
        <v>851950099</v>
      </c>
      <c r="B3321" s="26" t="s">
        <v>11858</v>
      </c>
    </row>
    <row r="3322" spans="1:2" x14ac:dyDescent="0.25">
      <c r="A3322" s="28">
        <v>8519502</v>
      </c>
      <c r="B3322" s="26" t="s">
        <v>8388</v>
      </c>
    </row>
    <row r="3323" spans="1:2" x14ac:dyDescent="0.25">
      <c r="A3323" s="28">
        <v>8520000</v>
      </c>
      <c r="B3323" s="26" t="s">
        <v>9985</v>
      </c>
    </row>
    <row r="3324" spans="1:2" x14ac:dyDescent="0.25">
      <c r="A3324" s="28">
        <v>8520001</v>
      </c>
      <c r="B3324" s="26" t="s">
        <v>11859</v>
      </c>
    </row>
    <row r="3325" spans="1:2" x14ac:dyDescent="0.25">
      <c r="A3325" s="28">
        <v>8520003</v>
      </c>
      <c r="B3325" s="26" t="s">
        <v>10001</v>
      </c>
    </row>
    <row r="3326" spans="1:2" x14ac:dyDescent="0.25">
      <c r="A3326" s="28">
        <v>85200038</v>
      </c>
      <c r="B3326" s="26" t="s">
        <v>11860</v>
      </c>
    </row>
    <row r="3327" spans="1:2" x14ac:dyDescent="0.25">
      <c r="A3327" s="28">
        <v>8520004</v>
      </c>
      <c r="B3327" s="26" t="s">
        <v>10712</v>
      </c>
    </row>
    <row r="3328" spans="1:2" x14ac:dyDescent="0.25">
      <c r="A3328" s="28">
        <v>8520005</v>
      </c>
      <c r="B3328" s="26" t="s">
        <v>10007</v>
      </c>
    </row>
    <row r="3329" spans="1:2" x14ac:dyDescent="0.25">
      <c r="A3329" s="28">
        <v>8520006</v>
      </c>
      <c r="B3329" s="26" t="s">
        <v>11861</v>
      </c>
    </row>
    <row r="3330" spans="1:2" x14ac:dyDescent="0.25">
      <c r="A3330" s="28">
        <v>8520007</v>
      </c>
      <c r="B3330" s="26" t="s">
        <v>9961</v>
      </c>
    </row>
    <row r="3331" spans="1:2" x14ac:dyDescent="0.25">
      <c r="A3331" s="28">
        <v>8520008</v>
      </c>
      <c r="B3331" s="26" t="s">
        <v>11862</v>
      </c>
    </row>
    <row r="3332" spans="1:2" x14ac:dyDescent="0.25">
      <c r="A3332" s="28">
        <v>8520009</v>
      </c>
      <c r="B3332" s="26" t="s">
        <v>9089</v>
      </c>
    </row>
    <row r="3333" spans="1:2" x14ac:dyDescent="0.25">
      <c r="A3333" s="28">
        <v>8520010</v>
      </c>
      <c r="B3333" s="26" t="s">
        <v>9090</v>
      </c>
    </row>
    <row r="3334" spans="1:2" x14ac:dyDescent="0.25">
      <c r="A3334" s="28">
        <v>8520011</v>
      </c>
      <c r="B3334" s="26" t="s">
        <v>11863</v>
      </c>
    </row>
    <row r="3335" spans="1:2" x14ac:dyDescent="0.25">
      <c r="A3335" s="28">
        <v>8520012</v>
      </c>
      <c r="B3335" s="26" t="s">
        <v>11864</v>
      </c>
    </row>
    <row r="3336" spans="1:2" x14ac:dyDescent="0.25">
      <c r="A3336" s="28">
        <v>8520013</v>
      </c>
      <c r="B3336" s="26" t="s">
        <v>11865</v>
      </c>
    </row>
    <row r="3337" spans="1:2" x14ac:dyDescent="0.25">
      <c r="A3337" s="28">
        <v>8520014</v>
      </c>
      <c r="B3337" s="26" t="s">
        <v>9993</v>
      </c>
    </row>
    <row r="3338" spans="1:2" x14ac:dyDescent="0.25">
      <c r="A3338" s="28">
        <v>8520015</v>
      </c>
      <c r="B3338" s="26" t="s">
        <v>11866</v>
      </c>
    </row>
    <row r="3339" spans="1:2" x14ac:dyDescent="0.25">
      <c r="A3339" s="28">
        <v>8520016</v>
      </c>
      <c r="B3339" s="26" t="s">
        <v>10006</v>
      </c>
    </row>
    <row r="3340" spans="1:2" x14ac:dyDescent="0.25">
      <c r="A3340" s="28">
        <v>8520017</v>
      </c>
      <c r="B3340" s="26" t="s">
        <v>10168</v>
      </c>
    </row>
    <row r="3341" spans="1:2" x14ac:dyDescent="0.25">
      <c r="A3341" s="28">
        <v>8520018</v>
      </c>
      <c r="B3341" s="26" t="s">
        <v>11867</v>
      </c>
    </row>
    <row r="3342" spans="1:2" x14ac:dyDescent="0.25">
      <c r="A3342" s="28">
        <v>8520019</v>
      </c>
      <c r="B3342" s="26" t="s">
        <v>11868</v>
      </c>
    </row>
    <row r="3343" spans="1:2" x14ac:dyDescent="0.25">
      <c r="A3343" s="28">
        <v>8520020</v>
      </c>
      <c r="B3343" s="26" t="s">
        <v>11869</v>
      </c>
    </row>
    <row r="3344" spans="1:2" x14ac:dyDescent="0.25">
      <c r="A3344" s="28">
        <v>8520021</v>
      </c>
      <c r="B3344" s="26" t="s">
        <v>11869</v>
      </c>
    </row>
    <row r="3345" spans="1:2" x14ac:dyDescent="0.25">
      <c r="A3345" s="28">
        <v>8520022</v>
      </c>
      <c r="B3345" s="26" t="s">
        <v>11870</v>
      </c>
    </row>
    <row r="3346" spans="1:2" x14ac:dyDescent="0.25">
      <c r="A3346" s="28">
        <v>8520023</v>
      </c>
      <c r="B3346" s="26" t="s">
        <v>11871</v>
      </c>
    </row>
    <row r="3347" spans="1:2" x14ac:dyDescent="0.25">
      <c r="A3347" s="28">
        <v>8520024</v>
      </c>
      <c r="B3347" s="26" t="s">
        <v>11872</v>
      </c>
    </row>
    <row r="3348" spans="1:2" x14ac:dyDescent="0.25">
      <c r="A3348" s="28">
        <v>8520025</v>
      </c>
      <c r="B3348" s="26" t="s">
        <v>9994</v>
      </c>
    </row>
    <row r="3349" spans="1:2" x14ac:dyDescent="0.25">
      <c r="A3349" s="28">
        <v>8520026</v>
      </c>
      <c r="B3349" s="26" t="s">
        <v>9983</v>
      </c>
    </row>
    <row r="3350" spans="1:2" x14ac:dyDescent="0.25">
      <c r="A3350" s="28">
        <v>8520027</v>
      </c>
      <c r="B3350" s="26" t="s">
        <v>11873</v>
      </c>
    </row>
    <row r="3351" spans="1:2" x14ac:dyDescent="0.25">
      <c r="A3351" s="28">
        <v>8520028</v>
      </c>
      <c r="B3351" s="26" t="s">
        <v>11874</v>
      </c>
    </row>
    <row r="3352" spans="1:2" x14ac:dyDescent="0.25">
      <c r="A3352" s="28">
        <v>8520029</v>
      </c>
      <c r="B3352" s="26" t="s">
        <v>11875</v>
      </c>
    </row>
    <row r="3353" spans="1:2" x14ac:dyDescent="0.25">
      <c r="A3353" s="28">
        <v>8520030</v>
      </c>
      <c r="B3353" s="26" t="s">
        <v>10005</v>
      </c>
    </row>
    <row r="3354" spans="1:2" x14ac:dyDescent="0.25">
      <c r="A3354" s="28">
        <v>8520031</v>
      </c>
      <c r="B3354" s="26" t="s">
        <v>11876</v>
      </c>
    </row>
    <row r="3355" spans="1:2" x14ac:dyDescent="0.25">
      <c r="A3355" s="28">
        <v>8520032</v>
      </c>
      <c r="B3355" s="26" t="s">
        <v>11877</v>
      </c>
    </row>
    <row r="3356" spans="1:2" x14ac:dyDescent="0.25">
      <c r="A3356" s="28">
        <v>8520033</v>
      </c>
      <c r="B3356" s="26" t="s">
        <v>11878</v>
      </c>
    </row>
    <row r="3357" spans="1:2" x14ac:dyDescent="0.25">
      <c r="A3357" s="28">
        <v>8520034</v>
      </c>
      <c r="B3357" s="26" t="s">
        <v>11879</v>
      </c>
    </row>
    <row r="3358" spans="1:2" x14ac:dyDescent="0.25">
      <c r="A3358" s="28">
        <v>8520035</v>
      </c>
      <c r="B3358" s="26" t="s">
        <v>11880</v>
      </c>
    </row>
    <row r="3359" spans="1:2" x14ac:dyDescent="0.25">
      <c r="A3359" s="28">
        <v>8520036</v>
      </c>
      <c r="B3359" s="26" t="s">
        <v>11881</v>
      </c>
    </row>
    <row r="3360" spans="1:2" x14ac:dyDescent="0.25">
      <c r="A3360" s="28">
        <v>8520037</v>
      </c>
      <c r="B3360" s="26" t="s">
        <v>11882</v>
      </c>
    </row>
    <row r="3361" spans="1:2" x14ac:dyDescent="0.25">
      <c r="A3361" s="28">
        <v>8520040</v>
      </c>
      <c r="B3361" s="26" t="s">
        <v>8462</v>
      </c>
    </row>
    <row r="3362" spans="1:2" x14ac:dyDescent="0.25">
      <c r="A3362" s="28">
        <v>8520042</v>
      </c>
      <c r="B3362" s="26" t="s">
        <v>12362</v>
      </c>
    </row>
    <row r="3363" spans="1:2" x14ac:dyDescent="0.25">
      <c r="A3363" s="26" t="s">
        <v>12809</v>
      </c>
      <c r="B3363" s="27"/>
    </row>
    <row r="3364" spans="1:2" x14ac:dyDescent="0.25">
      <c r="A3364" s="28">
        <v>8520045</v>
      </c>
      <c r="B3364" s="26" t="s">
        <v>9992</v>
      </c>
    </row>
    <row r="3365" spans="1:2" x14ac:dyDescent="0.25">
      <c r="A3365" s="28">
        <v>8520050</v>
      </c>
      <c r="B3365" s="26" t="s">
        <v>9984</v>
      </c>
    </row>
    <row r="3366" spans="1:2" x14ac:dyDescent="0.25">
      <c r="A3366" s="28">
        <v>8520051</v>
      </c>
      <c r="B3366" s="26" t="s">
        <v>9971</v>
      </c>
    </row>
    <row r="3367" spans="1:2" x14ac:dyDescent="0.25">
      <c r="A3367" s="28">
        <v>8520052</v>
      </c>
      <c r="B3367" s="26" t="s">
        <v>9973</v>
      </c>
    </row>
    <row r="3368" spans="1:2" x14ac:dyDescent="0.25">
      <c r="A3368" s="28">
        <v>8520059</v>
      </c>
      <c r="B3368" s="26" t="s">
        <v>10004</v>
      </c>
    </row>
    <row r="3369" spans="1:2" x14ac:dyDescent="0.25">
      <c r="A3369" s="28">
        <v>8520060</v>
      </c>
      <c r="B3369" s="26" t="s">
        <v>10003</v>
      </c>
    </row>
    <row r="3370" spans="1:2" x14ac:dyDescent="0.25">
      <c r="A3370" s="28">
        <v>8520064</v>
      </c>
      <c r="B3370" s="26" t="s">
        <v>9965</v>
      </c>
    </row>
    <row r="3371" spans="1:2" x14ac:dyDescent="0.25">
      <c r="A3371" s="28">
        <v>8520065</v>
      </c>
      <c r="B3371" s="26" t="s">
        <v>11883</v>
      </c>
    </row>
    <row r="3372" spans="1:2" x14ac:dyDescent="0.25">
      <c r="A3372" s="28">
        <v>8520066</v>
      </c>
      <c r="B3372" s="26" t="s">
        <v>11884</v>
      </c>
    </row>
    <row r="3373" spans="1:2" x14ac:dyDescent="0.25">
      <c r="A3373" s="28">
        <v>8520067</v>
      </c>
      <c r="B3373" s="26" t="s">
        <v>9972</v>
      </c>
    </row>
    <row r="3374" spans="1:2" x14ac:dyDescent="0.25">
      <c r="A3374" s="28">
        <v>8520068</v>
      </c>
      <c r="B3374" s="26" t="s">
        <v>9975</v>
      </c>
    </row>
    <row r="3375" spans="1:2" x14ac:dyDescent="0.25">
      <c r="A3375" s="28">
        <v>8520070</v>
      </c>
      <c r="B3375" s="26" t="s">
        <v>11885</v>
      </c>
    </row>
    <row r="3376" spans="1:2" x14ac:dyDescent="0.25">
      <c r="A3376" s="28">
        <v>8520100</v>
      </c>
      <c r="B3376" s="26" t="s">
        <v>9100</v>
      </c>
    </row>
    <row r="3377" spans="1:2" x14ac:dyDescent="0.25">
      <c r="A3377" s="28">
        <v>8520101</v>
      </c>
      <c r="B3377" s="26" t="s">
        <v>10298</v>
      </c>
    </row>
    <row r="3378" spans="1:2" x14ac:dyDescent="0.25">
      <c r="A3378" s="28">
        <v>8520102</v>
      </c>
      <c r="B3378" s="26" t="s">
        <v>10287</v>
      </c>
    </row>
    <row r="3379" spans="1:2" x14ac:dyDescent="0.25">
      <c r="A3379" s="28">
        <v>8520103</v>
      </c>
      <c r="B3379" s="26" t="s">
        <v>11886</v>
      </c>
    </row>
    <row r="3380" spans="1:2" x14ac:dyDescent="0.25">
      <c r="A3380" s="28">
        <v>8520104</v>
      </c>
      <c r="B3380" s="26" t="s">
        <v>10292</v>
      </c>
    </row>
    <row r="3381" spans="1:2" x14ac:dyDescent="0.25">
      <c r="A3381" s="28">
        <v>8520105</v>
      </c>
      <c r="B3381" s="26" t="s">
        <v>11887</v>
      </c>
    </row>
    <row r="3382" spans="1:2" x14ac:dyDescent="0.25">
      <c r="A3382" s="28">
        <v>8520106</v>
      </c>
      <c r="B3382" s="26" t="s">
        <v>11888</v>
      </c>
    </row>
    <row r="3383" spans="1:2" x14ac:dyDescent="0.25">
      <c r="A3383" s="28">
        <v>8520110</v>
      </c>
      <c r="B3383" s="26" t="s">
        <v>10285</v>
      </c>
    </row>
    <row r="3384" spans="1:2" x14ac:dyDescent="0.25">
      <c r="A3384" s="28">
        <v>85201100</v>
      </c>
      <c r="B3384" s="26" t="s">
        <v>11889</v>
      </c>
    </row>
    <row r="3385" spans="1:2" x14ac:dyDescent="0.25">
      <c r="A3385" s="28">
        <v>8520111</v>
      </c>
      <c r="B3385" s="26" t="s">
        <v>10290</v>
      </c>
    </row>
    <row r="3386" spans="1:2" x14ac:dyDescent="0.25">
      <c r="A3386" s="28">
        <v>8520116</v>
      </c>
      <c r="B3386" s="26" t="s">
        <v>9092</v>
      </c>
    </row>
    <row r="3387" spans="1:2" x14ac:dyDescent="0.25">
      <c r="A3387" s="28">
        <v>8520118</v>
      </c>
      <c r="B3387" s="26" t="s">
        <v>9979</v>
      </c>
    </row>
    <row r="3388" spans="1:2" x14ac:dyDescent="0.25">
      <c r="A3388" s="28">
        <v>8520119</v>
      </c>
      <c r="B3388" s="26" t="s">
        <v>11890</v>
      </c>
    </row>
    <row r="3389" spans="1:2" x14ac:dyDescent="0.25">
      <c r="A3389" s="28">
        <v>8520120</v>
      </c>
      <c r="B3389" s="26" t="s">
        <v>9986</v>
      </c>
    </row>
    <row r="3390" spans="1:2" x14ac:dyDescent="0.25">
      <c r="A3390" s="28">
        <v>8520121</v>
      </c>
      <c r="B3390" s="26" t="s">
        <v>8817</v>
      </c>
    </row>
    <row r="3391" spans="1:2" x14ac:dyDescent="0.25">
      <c r="A3391" s="28">
        <v>8520122</v>
      </c>
      <c r="B3391" s="26" t="s">
        <v>11891</v>
      </c>
    </row>
    <row r="3392" spans="1:2" x14ac:dyDescent="0.25">
      <c r="A3392" s="28">
        <v>8520123</v>
      </c>
      <c r="B3392" s="26" t="s">
        <v>11892</v>
      </c>
    </row>
    <row r="3393" spans="1:2" x14ac:dyDescent="0.25">
      <c r="A3393" s="28">
        <v>8520124</v>
      </c>
      <c r="B3393" s="26" t="s">
        <v>11893</v>
      </c>
    </row>
    <row r="3394" spans="1:2" x14ac:dyDescent="0.25">
      <c r="A3394" s="28">
        <v>8520125</v>
      </c>
      <c r="B3394" s="26" t="s">
        <v>10479</v>
      </c>
    </row>
    <row r="3395" spans="1:2" x14ac:dyDescent="0.25">
      <c r="A3395" s="28">
        <v>8520126</v>
      </c>
      <c r="B3395" s="26" t="s">
        <v>11894</v>
      </c>
    </row>
    <row r="3396" spans="1:2" x14ac:dyDescent="0.25">
      <c r="A3396" s="28">
        <v>8520127</v>
      </c>
      <c r="B3396" s="26" t="s">
        <v>11895</v>
      </c>
    </row>
    <row r="3397" spans="1:2" x14ac:dyDescent="0.25">
      <c r="A3397" s="28">
        <v>8520130</v>
      </c>
      <c r="B3397" s="26" t="s">
        <v>11896</v>
      </c>
    </row>
    <row r="3398" spans="1:2" x14ac:dyDescent="0.25">
      <c r="A3398" s="28">
        <v>8520141</v>
      </c>
      <c r="B3398" s="26" t="s">
        <v>9974</v>
      </c>
    </row>
    <row r="3399" spans="1:2" x14ac:dyDescent="0.25">
      <c r="A3399" s="28">
        <v>8520142</v>
      </c>
      <c r="B3399" s="26" t="s">
        <v>11897</v>
      </c>
    </row>
    <row r="3400" spans="1:2" x14ac:dyDescent="0.25">
      <c r="A3400" s="28">
        <v>8520143</v>
      </c>
      <c r="B3400" s="26" t="s">
        <v>11898</v>
      </c>
    </row>
    <row r="3401" spans="1:2" x14ac:dyDescent="0.25">
      <c r="A3401" s="28">
        <v>8520144</v>
      </c>
      <c r="B3401" s="26" t="s">
        <v>11899</v>
      </c>
    </row>
    <row r="3402" spans="1:2" x14ac:dyDescent="0.25">
      <c r="A3402" s="28">
        <v>8520155</v>
      </c>
      <c r="B3402" s="26" t="s">
        <v>11900</v>
      </c>
    </row>
    <row r="3403" spans="1:2" x14ac:dyDescent="0.25">
      <c r="A3403" s="28">
        <v>8520162</v>
      </c>
      <c r="B3403" s="26" t="s">
        <v>10286</v>
      </c>
    </row>
    <row r="3404" spans="1:2" x14ac:dyDescent="0.25">
      <c r="A3404" s="28">
        <v>8520165</v>
      </c>
      <c r="B3404" s="26" t="s">
        <v>9980</v>
      </c>
    </row>
    <row r="3405" spans="1:2" x14ac:dyDescent="0.25">
      <c r="A3405" s="28">
        <v>8520166</v>
      </c>
      <c r="B3405" s="26" t="s">
        <v>9982</v>
      </c>
    </row>
    <row r="3406" spans="1:2" x14ac:dyDescent="0.25">
      <c r="A3406" s="28">
        <v>8520175</v>
      </c>
      <c r="B3406" s="26" t="s">
        <v>11901</v>
      </c>
    </row>
    <row r="3407" spans="1:2" x14ac:dyDescent="0.25">
      <c r="A3407" s="28">
        <v>8520190</v>
      </c>
      <c r="B3407" s="26" t="s">
        <v>10289</v>
      </c>
    </row>
    <row r="3408" spans="1:2" x14ac:dyDescent="0.25">
      <c r="A3408" s="28">
        <v>8520209</v>
      </c>
      <c r="B3408" s="26" t="s">
        <v>9347</v>
      </c>
    </row>
    <row r="3409" spans="1:2" x14ac:dyDescent="0.25">
      <c r="A3409" s="28">
        <v>8520220</v>
      </c>
      <c r="B3409" s="26" t="s">
        <v>10282</v>
      </c>
    </row>
    <row r="3410" spans="1:2" x14ac:dyDescent="0.25">
      <c r="A3410" s="28">
        <v>8520222</v>
      </c>
      <c r="B3410" s="26" t="s">
        <v>11902</v>
      </c>
    </row>
    <row r="3411" spans="1:2" x14ac:dyDescent="0.25">
      <c r="A3411" s="28">
        <v>8520230</v>
      </c>
      <c r="B3411" s="26" t="s">
        <v>10300</v>
      </c>
    </row>
    <row r="3412" spans="1:2" x14ac:dyDescent="0.25">
      <c r="A3412" s="28">
        <v>8520235</v>
      </c>
      <c r="B3412" s="26" t="s">
        <v>12363</v>
      </c>
    </row>
    <row r="3413" spans="1:2" x14ac:dyDescent="0.25">
      <c r="A3413" s="28">
        <v>8520264</v>
      </c>
      <c r="B3413" s="26" t="s">
        <v>11903</v>
      </c>
    </row>
    <row r="3414" spans="1:2" x14ac:dyDescent="0.25">
      <c r="A3414" s="28">
        <v>8520265</v>
      </c>
      <c r="B3414" s="26" t="s">
        <v>9978</v>
      </c>
    </row>
    <row r="3415" spans="1:2" x14ac:dyDescent="0.25">
      <c r="A3415" s="28">
        <v>8520271</v>
      </c>
      <c r="B3415" s="26" t="s">
        <v>11904</v>
      </c>
    </row>
    <row r="3416" spans="1:2" x14ac:dyDescent="0.25">
      <c r="A3416" s="28">
        <v>8520282</v>
      </c>
      <c r="B3416" s="26" t="s">
        <v>11905</v>
      </c>
    </row>
    <row r="3417" spans="1:2" x14ac:dyDescent="0.25">
      <c r="A3417" s="28">
        <v>8520283</v>
      </c>
      <c r="B3417" s="26" t="s">
        <v>12364</v>
      </c>
    </row>
    <row r="3418" spans="1:2" x14ac:dyDescent="0.25">
      <c r="A3418" s="28">
        <v>8520290</v>
      </c>
      <c r="B3418" s="26" t="s">
        <v>9998</v>
      </c>
    </row>
    <row r="3419" spans="1:2" x14ac:dyDescent="0.25">
      <c r="A3419" s="28">
        <v>8520306</v>
      </c>
      <c r="B3419" s="26" t="s">
        <v>10000</v>
      </c>
    </row>
    <row r="3420" spans="1:2" x14ac:dyDescent="0.25">
      <c r="A3420" s="28">
        <v>8520372</v>
      </c>
      <c r="B3420" s="26" t="s">
        <v>10288</v>
      </c>
    </row>
    <row r="3421" spans="1:2" x14ac:dyDescent="0.25">
      <c r="A3421" s="28">
        <v>8520398</v>
      </c>
      <c r="B3421" s="26" t="s">
        <v>9990</v>
      </c>
    </row>
    <row r="3422" spans="1:2" x14ac:dyDescent="0.25">
      <c r="A3422" s="28">
        <v>8520407</v>
      </c>
      <c r="B3422" s="26" t="s">
        <v>9981</v>
      </c>
    </row>
    <row r="3423" spans="1:2" x14ac:dyDescent="0.25">
      <c r="A3423" s="28">
        <v>8520458</v>
      </c>
      <c r="B3423" s="26" t="s">
        <v>10296</v>
      </c>
    </row>
    <row r="3424" spans="1:2" x14ac:dyDescent="0.25">
      <c r="A3424" s="28">
        <v>8520506</v>
      </c>
      <c r="B3424" s="26" t="s">
        <v>9599</v>
      </c>
    </row>
    <row r="3425" spans="1:2" x14ac:dyDescent="0.25">
      <c r="A3425" s="28">
        <v>8520507</v>
      </c>
      <c r="B3425" s="26" t="s">
        <v>9600</v>
      </c>
    </row>
    <row r="3426" spans="1:2" x14ac:dyDescent="0.25">
      <c r="A3426" s="28">
        <v>8520508</v>
      </c>
      <c r="B3426" s="26" t="s">
        <v>11906</v>
      </c>
    </row>
    <row r="3427" spans="1:2" x14ac:dyDescent="0.25">
      <c r="A3427" s="28">
        <v>8520509</v>
      </c>
      <c r="B3427" s="26" t="s">
        <v>11907</v>
      </c>
    </row>
    <row r="3428" spans="1:2" x14ac:dyDescent="0.25">
      <c r="A3428" s="28">
        <v>8520510</v>
      </c>
      <c r="B3428" s="26" t="s">
        <v>11908</v>
      </c>
    </row>
    <row r="3429" spans="1:2" x14ac:dyDescent="0.25">
      <c r="A3429" s="28">
        <v>8520511</v>
      </c>
      <c r="B3429" s="26" t="s">
        <v>10241</v>
      </c>
    </row>
    <row r="3430" spans="1:2" x14ac:dyDescent="0.25">
      <c r="A3430" s="28">
        <v>8520512</v>
      </c>
      <c r="B3430" s="26" t="s">
        <v>11909</v>
      </c>
    </row>
    <row r="3431" spans="1:2" x14ac:dyDescent="0.25">
      <c r="A3431" s="28">
        <v>8520513</v>
      </c>
      <c r="B3431" s="26" t="s">
        <v>10240</v>
      </c>
    </row>
    <row r="3432" spans="1:2" x14ac:dyDescent="0.25">
      <c r="A3432" s="28">
        <v>8520517</v>
      </c>
      <c r="B3432" s="26" t="s">
        <v>10299</v>
      </c>
    </row>
    <row r="3433" spans="1:2" x14ac:dyDescent="0.25">
      <c r="A3433" s="28">
        <v>8520546</v>
      </c>
      <c r="B3433" s="26" t="s">
        <v>9997</v>
      </c>
    </row>
    <row r="3434" spans="1:2" x14ac:dyDescent="0.25">
      <c r="A3434" s="28">
        <v>8520556</v>
      </c>
      <c r="B3434" s="26" t="s">
        <v>11910</v>
      </c>
    </row>
    <row r="3435" spans="1:2" x14ac:dyDescent="0.25">
      <c r="A3435" s="28">
        <v>8520620</v>
      </c>
      <c r="B3435" s="26" t="s">
        <v>10481</v>
      </c>
    </row>
    <row r="3436" spans="1:2" x14ac:dyDescent="0.25">
      <c r="A3436" s="28">
        <v>8520623</v>
      </c>
      <c r="B3436" s="26" t="s">
        <v>10482</v>
      </c>
    </row>
    <row r="3437" spans="1:2" x14ac:dyDescent="0.25">
      <c r="A3437" s="28">
        <v>8520624</v>
      </c>
      <c r="B3437" s="26" t="s">
        <v>11911</v>
      </c>
    </row>
    <row r="3438" spans="1:2" x14ac:dyDescent="0.25">
      <c r="A3438" s="28">
        <v>8520625</v>
      </c>
      <c r="B3438" s="26" t="s">
        <v>11912</v>
      </c>
    </row>
    <row r="3439" spans="1:2" x14ac:dyDescent="0.25">
      <c r="A3439" s="28">
        <v>8520626</v>
      </c>
      <c r="B3439" s="26" t="s">
        <v>11913</v>
      </c>
    </row>
    <row r="3440" spans="1:2" x14ac:dyDescent="0.25">
      <c r="A3440" s="28">
        <v>8520629</v>
      </c>
      <c r="B3440" s="26" t="s">
        <v>10480</v>
      </c>
    </row>
    <row r="3441" spans="1:2" x14ac:dyDescent="0.25">
      <c r="A3441" s="28">
        <v>8520690</v>
      </c>
      <c r="B3441" s="26" t="s">
        <v>8459</v>
      </c>
    </row>
    <row r="3442" spans="1:2" x14ac:dyDescent="0.25">
      <c r="A3442" s="28">
        <v>8520691</v>
      </c>
      <c r="B3442" s="26" t="s">
        <v>8461</v>
      </c>
    </row>
    <row r="3443" spans="1:2" x14ac:dyDescent="0.25">
      <c r="A3443" s="28">
        <v>8520710</v>
      </c>
      <c r="B3443" s="26" t="s">
        <v>10297</v>
      </c>
    </row>
    <row r="3444" spans="1:2" x14ac:dyDescent="0.25">
      <c r="A3444" s="28">
        <v>8520726</v>
      </c>
      <c r="B3444" s="26" t="s">
        <v>9988</v>
      </c>
    </row>
    <row r="3445" spans="1:2" x14ac:dyDescent="0.25">
      <c r="A3445" s="28">
        <v>8520728</v>
      </c>
      <c r="B3445" s="26" t="s">
        <v>11914</v>
      </c>
    </row>
    <row r="3446" spans="1:2" x14ac:dyDescent="0.25">
      <c r="A3446" s="28">
        <v>8520729</v>
      </c>
      <c r="B3446" s="26" t="s">
        <v>9977</v>
      </c>
    </row>
    <row r="3447" spans="1:2" x14ac:dyDescent="0.25">
      <c r="A3447" s="28">
        <v>8520733</v>
      </c>
      <c r="B3447" s="26" t="s">
        <v>9999</v>
      </c>
    </row>
    <row r="3448" spans="1:2" x14ac:dyDescent="0.25">
      <c r="A3448" s="28">
        <v>8520738</v>
      </c>
      <c r="B3448" s="26" t="s">
        <v>10008</v>
      </c>
    </row>
    <row r="3449" spans="1:2" x14ac:dyDescent="0.25">
      <c r="A3449" s="28">
        <v>8520745</v>
      </c>
      <c r="B3449" s="26" t="s">
        <v>9989</v>
      </c>
    </row>
    <row r="3450" spans="1:2" x14ac:dyDescent="0.25">
      <c r="A3450" s="28">
        <v>8520746</v>
      </c>
      <c r="B3450" s="26" t="s">
        <v>11915</v>
      </c>
    </row>
    <row r="3451" spans="1:2" x14ac:dyDescent="0.25">
      <c r="A3451" s="28">
        <v>8520750</v>
      </c>
      <c r="B3451" s="26" t="s">
        <v>9964</v>
      </c>
    </row>
    <row r="3452" spans="1:2" x14ac:dyDescent="0.25">
      <c r="A3452" s="28">
        <v>8520751</v>
      </c>
      <c r="B3452" s="26" t="s">
        <v>11916</v>
      </c>
    </row>
    <row r="3453" spans="1:2" x14ac:dyDescent="0.25">
      <c r="A3453" s="28">
        <v>8520776</v>
      </c>
      <c r="B3453" s="26" t="s">
        <v>11880</v>
      </c>
    </row>
    <row r="3454" spans="1:2" x14ac:dyDescent="0.25">
      <c r="A3454" s="28">
        <v>8520779</v>
      </c>
      <c r="B3454" s="26" t="s">
        <v>11917</v>
      </c>
    </row>
    <row r="3455" spans="1:2" x14ac:dyDescent="0.25">
      <c r="A3455" s="28">
        <v>8520781</v>
      </c>
      <c r="B3455" s="26" t="s">
        <v>9976</v>
      </c>
    </row>
    <row r="3456" spans="1:2" x14ac:dyDescent="0.25">
      <c r="A3456" s="28">
        <v>8520802</v>
      </c>
      <c r="B3456" s="26" t="s">
        <v>10284</v>
      </c>
    </row>
    <row r="3457" spans="1:2" x14ac:dyDescent="0.25">
      <c r="A3457" s="28">
        <v>8520804</v>
      </c>
      <c r="B3457" s="26" t="s">
        <v>10283</v>
      </c>
    </row>
    <row r="3458" spans="1:2" x14ac:dyDescent="0.25">
      <c r="A3458" s="28">
        <v>8520813</v>
      </c>
      <c r="B3458" s="26" t="s">
        <v>10293</v>
      </c>
    </row>
    <row r="3459" spans="1:2" x14ac:dyDescent="0.25">
      <c r="A3459" s="28">
        <v>8520814</v>
      </c>
      <c r="B3459" s="26" t="s">
        <v>10303</v>
      </c>
    </row>
    <row r="3460" spans="1:2" x14ac:dyDescent="0.25">
      <c r="A3460" s="28">
        <v>8520817</v>
      </c>
      <c r="B3460" s="26" t="s">
        <v>9995</v>
      </c>
    </row>
    <row r="3461" spans="1:2" x14ac:dyDescent="0.25">
      <c r="A3461" s="28">
        <v>8520821</v>
      </c>
      <c r="B3461" s="26" t="s">
        <v>11918</v>
      </c>
    </row>
    <row r="3462" spans="1:2" x14ac:dyDescent="0.25">
      <c r="A3462" s="28">
        <v>8520824</v>
      </c>
      <c r="B3462" s="26" t="s">
        <v>11919</v>
      </c>
    </row>
    <row r="3463" spans="1:2" x14ac:dyDescent="0.25">
      <c r="A3463" s="28">
        <v>8520866</v>
      </c>
      <c r="B3463" s="26" t="s">
        <v>10301</v>
      </c>
    </row>
    <row r="3464" spans="1:2" x14ac:dyDescent="0.25">
      <c r="A3464" s="28">
        <v>8520925</v>
      </c>
      <c r="B3464" s="26" t="s">
        <v>11920</v>
      </c>
    </row>
    <row r="3465" spans="1:2" x14ac:dyDescent="0.25">
      <c r="A3465" s="28">
        <v>8520932</v>
      </c>
      <c r="B3465" s="26" t="s">
        <v>9967</v>
      </c>
    </row>
    <row r="3466" spans="1:2" x14ac:dyDescent="0.25">
      <c r="A3466" s="28">
        <v>8520936</v>
      </c>
      <c r="B3466" s="26" t="s">
        <v>9966</v>
      </c>
    </row>
    <row r="3467" spans="1:2" x14ac:dyDescent="0.25">
      <c r="A3467" s="28">
        <v>8520941</v>
      </c>
      <c r="B3467" s="26" t="s">
        <v>9968</v>
      </c>
    </row>
    <row r="3468" spans="1:2" x14ac:dyDescent="0.25">
      <c r="A3468" s="28">
        <v>8520942</v>
      </c>
      <c r="B3468" s="26" t="s">
        <v>11921</v>
      </c>
    </row>
    <row r="3469" spans="1:2" x14ac:dyDescent="0.25">
      <c r="A3469" s="28">
        <v>8520945</v>
      </c>
      <c r="B3469" s="26" t="s">
        <v>11922</v>
      </c>
    </row>
    <row r="3470" spans="1:2" x14ac:dyDescent="0.25">
      <c r="A3470" s="28">
        <v>8520946</v>
      </c>
      <c r="B3470" s="26" t="s">
        <v>9969</v>
      </c>
    </row>
    <row r="3471" spans="1:2" x14ac:dyDescent="0.25">
      <c r="A3471" s="28">
        <v>8520947</v>
      </c>
      <c r="B3471" s="26" t="s">
        <v>9970</v>
      </c>
    </row>
    <row r="3472" spans="1:2" x14ac:dyDescent="0.25">
      <c r="A3472" s="28">
        <v>8520948</v>
      </c>
      <c r="B3472" s="26" t="s">
        <v>11923</v>
      </c>
    </row>
    <row r="3473" spans="1:2" x14ac:dyDescent="0.25">
      <c r="A3473" s="28">
        <v>8520953</v>
      </c>
      <c r="B3473" s="26" t="s">
        <v>11924</v>
      </c>
    </row>
    <row r="3474" spans="1:2" x14ac:dyDescent="0.25">
      <c r="A3474" s="28">
        <v>8520986</v>
      </c>
      <c r="B3474" s="26" t="s">
        <v>9962</v>
      </c>
    </row>
    <row r="3475" spans="1:2" x14ac:dyDescent="0.25">
      <c r="A3475" s="28">
        <v>8520994</v>
      </c>
      <c r="B3475" s="26" t="s">
        <v>11925</v>
      </c>
    </row>
    <row r="3476" spans="1:2" x14ac:dyDescent="0.25">
      <c r="A3476" s="28">
        <v>8520999</v>
      </c>
      <c r="B3476" s="26" t="s">
        <v>9350</v>
      </c>
    </row>
    <row r="3477" spans="1:2" x14ac:dyDescent="0.25">
      <c r="A3477" s="28">
        <v>8521001</v>
      </c>
      <c r="B3477" s="26" t="s">
        <v>11926</v>
      </c>
    </row>
    <row r="3478" spans="1:2" x14ac:dyDescent="0.25">
      <c r="A3478" s="28">
        <v>8521002</v>
      </c>
      <c r="B3478" s="26" t="s">
        <v>9368</v>
      </c>
    </row>
    <row r="3479" spans="1:2" x14ac:dyDescent="0.25">
      <c r="A3479" s="28">
        <v>8521013</v>
      </c>
      <c r="B3479" s="26" t="s">
        <v>9360</v>
      </c>
    </row>
    <row r="3480" spans="1:2" x14ac:dyDescent="0.25">
      <c r="A3480" s="28">
        <v>8521014</v>
      </c>
      <c r="B3480" s="26" t="s">
        <v>9362</v>
      </c>
    </row>
    <row r="3481" spans="1:2" x14ac:dyDescent="0.25">
      <c r="A3481" s="28">
        <v>8521015</v>
      </c>
      <c r="B3481" s="26" t="s">
        <v>9367</v>
      </c>
    </row>
    <row r="3482" spans="1:2" x14ac:dyDescent="0.25">
      <c r="A3482" s="28">
        <v>8521021</v>
      </c>
      <c r="B3482" s="26" t="s">
        <v>11927</v>
      </c>
    </row>
    <row r="3483" spans="1:2" x14ac:dyDescent="0.25">
      <c r="A3483" s="28">
        <v>8521024</v>
      </c>
      <c r="B3483" s="26" t="s">
        <v>9352</v>
      </c>
    </row>
    <row r="3484" spans="1:2" x14ac:dyDescent="0.25">
      <c r="A3484" s="28">
        <v>8521029</v>
      </c>
      <c r="B3484" s="26" t="s">
        <v>11928</v>
      </c>
    </row>
    <row r="3485" spans="1:2" x14ac:dyDescent="0.25">
      <c r="A3485" s="28">
        <v>8521030</v>
      </c>
      <c r="B3485" s="26" t="s">
        <v>11929</v>
      </c>
    </row>
    <row r="3486" spans="1:2" x14ac:dyDescent="0.25">
      <c r="A3486" s="28">
        <v>8521031</v>
      </c>
      <c r="B3486" s="26" t="s">
        <v>11930</v>
      </c>
    </row>
    <row r="3487" spans="1:2" x14ac:dyDescent="0.25">
      <c r="A3487" s="28">
        <v>8521032</v>
      </c>
      <c r="B3487" s="26" t="s">
        <v>11931</v>
      </c>
    </row>
    <row r="3488" spans="1:2" x14ac:dyDescent="0.25">
      <c r="A3488" s="28">
        <v>8521033</v>
      </c>
      <c r="B3488" s="26" t="s">
        <v>11932</v>
      </c>
    </row>
    <row r="3489" spans="1:2" x14ac:dyDescent="0.25">
      <c r="A3489" s="28">
        <v>8521034</v>
      </c>
      <c r="B3489" s="26" t="s">
        <v>9363</v>
      </c>
    </row>
    <row r="3490" spans="1:2" x14ac:dyDescent="0.25">
      <c r="A3490" s="28">
        <v>8521036</v>
      </c>
      <c r="B3490" s="26" t="s">
        <v>9358</v>
      </c>
    </row>
    <row r="3491" spans="1:2" x14ac:dyDescent="0.25">
      <c r="A3491" s="28">
        <v>8521040</v>
      </c>
      <c r="B3491" s="26" t="s">
        <v>9366</v>
      </c>
    </row>
    <row r="3492" spans="1:2" x14ac:dyDescent="0.25">
      <c r="A3492" s="28">
        <v>8521042</v>
      </c>
      <c r="B3492" s="26" t="s">
        <v>11933</v>
      </c>
    </row>
    <row r="3493" spans="1:2" x14ac:dyDescent="0.25">
      <c r="A3493" s="28">
        <v>8521043</v>
      </c>
      <c r="B3493" s="26" t="s">
        <v>11934</v>
      </c>
    </row>
    <row r="3494" spans="1:2" x14ac:dyDescent="0.25">
      <c r="A3494" s="28">
        <v>8521045</v>
      </c>
      <c r="B3494" s="26" t="s">
        <v>11935</v>
      </c>
    </row>
    <row r="3495" spans="1:2" x14ac:dyDescent="0.25">
      <c r="A3495" s="28">
        <v>8521046</v>
      </c>
      <c r="B3495" s="26" t="s">
        <v>11936</v>
      </c>
    </row>
    <row r="3496" spans="1:2" x14ac:dyDescent="0.25">
      <c r="A3496" s="28">
        <v>8521050</v>
      </c>
      <c r="B3496" s="26" t="s">
        <v>10800</v>
      </c>
    </row>
    <row r="3497" spans="1:2" x14ac:dyDescent="0.25">
      <c r="A3497" s="28">
        <v>8521060</v>
      </c>
      <c r="B3497" s="26" t="s">
        <v>9365</v>
      </c>
    </row>
    <row r="3498" spans="1:2" x14ac:dyDescent="0.25">
      <c r="A3498" s="28">
        <v>8521061</v>
      </c>
      <c r="B3498" s="26" t="s">
        <v>11937</v>
      </c>
    </row>
    <row r="3499" spans="1:2" x14ac:dyDescent="0.25">
      <c r="A3499" s="28">
        <v>8521062</v>
      </c>
      <c r="B3499" s="26" t="s">
        <v>11938</v>
      </c>
    </row>
    <row r="3500" spans="1:2" x14ac:dyDescent="0.25">
      <c r="A3500" s="28">
        <v>8521063</v>
      </c>
      <c r="B3500" s="26" t="s">
        <v>9351</v>
      </c>
    </row>
    <row r="3501" spans="1:2" x14ac:dyDescent="0.25">
      <c r="A3501" s="28">
        <v>8521064</v>
      </c>
      <c r="B3501" s="26" t="s">
        <v>9364</v>
      </c>
    </row>
    <row r="3502" spans="1:2" x14ac:dyDescent="0.25">
      <c r="A3502" s="28">
        <v>8521100</v>
      </c>
      <c r="B3502" s="26" t="s">
        <v>9361</v>
      </c>
    </row>
    <row r="3503" spans="1:2" x14ac:dyDescent="0.25">
      <c r="A3503" s="28">
        <v>8521101</v>
      </c>
      <c r="B3503" s="26" t="s">
        <v>11939</v>
      </c>
    </row>
    <row r="3504" spans="1:2" x14ac:dyDescent="0.25">
      <c r="A3504" s="28">
        <v>8521102</v>
      </c>
      <c r="B3504" s="26" t="s">
        <v>12253</v>
      </c>
    </row>
    <row r="3505" spans="1:2" x14ac:dyDescent="0.25">
      <c r="A3505" s="28">
        <v>8521120</v>
      </c>
      <c r="B3505" s="26" t="s">
        <v>9355</v>
      </c>
    </row>
    <row r="3506" spans="1:2" x14ac:dyDescent="0.25">
      <c r="A3506" s="28">
        <v>8521129</v>
      </c>
      <c r="B3506" s="26" t="s">
        <v>11940</v>
      </c>
    </row>
    <row r="3507" spans="1:2" x14ac:dyDescent="0.25">
      <c r="A3507" s="28">
        <v>8521160</v>
      </c>
      <c r="B3507" s="26" t="s">
        <v>11941</v>
      </c>
    </row>
    <row r="3508" spans="1:2" x14ac:dyDescent="0.25">
      <c r="A3508" s="28">
        <v>8521290</v>
      </c>
      <c r="B3508" s="26" t="s">
        <v>11942</v>
      </c>
    </row>
    <row r="3509" spans="1:2" x14ac:dyDescent="0.25">
      <c r="A3509" s="28">
        <v>8521300</v>
      </c>
      <c r="B3509" s="26" t="s">
        <v>9372</v>
      </c>
    </row>
    <row r="3510" spans="1:2" x14ac:dyDescent="0.25">
      <c r="A3510" s="28">
        <v>8521301</v>
      </c>
      <c r="B3510" s="26" t="s">
        <v>10294</v>
      </c>
    </row>
    <row r="3511" spans="1:2" x14ac:dyDescent="0.25">
      <c r="A3511" s="28">
        <v>8521302</v>
      </c>
      <c r="B3511" s="26" t="s">
        <v>10295</v>
      </c>
    </row>
    <row r="3512" spans="1:2" x14ac:dyDescent="0.25">
      <c r="A3512" s="28">
        <v>8521303</v>
      </c>
      <c r="B3512" s="26" t="s">
        <v>10291</v>
      </c>
    </row>
    <row r="3513" spans="1:2" x14ac:dyDescent="0.25">
      <c r="A3513" s="28">
        <v>8521304</v>
      </c>
      <c r="B3513" s="26" t="s">
        <v>10304</v>
      </c>
    </row>
    <row r="3514" spans="1:2" x14ac:dyDescent="0.25">
      <c r="A3514" s="28">
        <v>8521305</v>
      </c>
      <c r="B3514" s="26" t="s">
        <v>10302</v>
      </c>
    </row>
    <row r="3515" spans="1:2" x14ac:dyDescent="0.25">
      <c r="A3515" s="28">
        <v>8521306</v>
      </c>
      <c r="B3515" s="26" t="s">
        <v>10305</v>
      </c>
    </row>
    <row r="3516" spans="1:2" x14ac:dyDescent="0.25">
      <c r="A3516" s="28">
        <v>8521307</v>
      </c>
      <c r="B3516" s="26" t="s">
        <v>11943</v>
      </c>
    </row>
    <row r="3517" spans="1:2" x14ac:dyDescent="0.25">
      <c r="A3517" s="28">
        <v>8521374</v>
      </c>
      <c r="B3517" s="26" t="s">
        <v>12365</v>
      </c>
    </row>
    <row r="3518" spans="1:2" x14ac:dyDescent="0.25">
      <c r="A3518" s="28">
        <v>8521443</v>
      </c>
      <c r="B3518" s="26" t="s">
        <v>9353</v>
      </c>
    </row>
    <row r="3519" spans="1:2" x14ac:dyDescent="0.25">
      <c r="A3519" s="28">
        <v>8521455</v>
      </c>
      <c r="B3519" s="26" t="s">
        <v>9369</v>
      </c>
    </row>
    <row r="3520" spans="1:2" x14ac:dyDescent="0.25">
      <c r="A3520" s="28">
        <v>8521458</v>
      </c>
      <c r="B3520" s="26" t="s">
        <v>9370</v>
      </c>
    </row>
    <row r="3521" spans="1:2" x14ac:dyDescent="0.25">
      <c r="A3521" s="28">
        <v>8521467</v>
      </c>
      <c r="B3521" s="26" t="s">
        <v>11944</v>
      </c>
    </row>
    <row r="3522" spans="1:2" x14ac:dyDescent="0.25">
      <c r="A3522" s="28">
        <v>8521472</v>
      </c>
      <c r="B3522" s="26" t="s">
        <v>9357</v>
      </c>
    </row>
    <row r="3523" spans="1:2" x14ac:dyDescent="0.25">
      <c r="A3523" s="28">
        <v>8521498</v>
      </c>
      <c r="B3523" s="26" t="s">
        <v>10485</v>
      </c>
    </row>
    <row r="3524" spans="1:2" x14ac:dyDescent="0.25">
      <c r="A3524" s="28">
        <v>8521499</v>
      </c>
      <c r="B3524" s="26" t="s">
        <v>12366</v>
      </c>
    </row>
    <row r="3525" spans="1:2" x14ac:dyDescent="0.25">
      <c r="A3525" s="28">
        <v>8521551</v>
      </c>
      <c r="B3525" s="26" t="s">
        <v>9356</v>
      </c>
    </row>
    <row r="3526" spans="1:2" x14ac:dyDescent="0.25">
      <c r="A3526" s="28">
        <v>8521572</v>
      </c>
      <c r="B3526" s="26" t="s">
        <v>11945</v>
      </c>
    </row>
    <row r="3527" spans="1:2" x14ac:dyDescent="0.25">
      <c r="A3527" s="28">
        <v>8521580</v>
      </c>
      <c r="B3527" s="26" t="s">
        <v>9359</v>
      </c>
    </row>
    <row r="3528" spans="1:2" x14ac:dyDescent="0.25">
      <c r="A3528" s="28">
        <v>8521593</v>
      </c>
      <c r="B3528" s="26" t="s">
        <v>11946</v>
      </c>
    </row>
    <row r="3529" spans="1:2" x14ac:dyDescent="0.25">
      <c r="A3529" s="26" t="s">
        <v>12810</v>
      </c>
      <c r="B3529" s="27"/>
    </row>
    <row r="3530" spans="1:2" x14ac:dyDescent="0.25">
      <c r="A3530" s="28">
        <v>8521660</v>
      </c>
      <c r="B3530" s="26" t="s">
        <v>9354</v>
      </c>
    </row>
    <row r="3531" spans="1:2" x14ac:dyDescent="0.25">
      <c r="A3531" s="28">
        <v>8521674</v>
      </c>
      <c r="B3531" s="26" t="s">
        <v>9373</v>
      </c>
    </row>
    <row r="3532" spans="1:2" x14ac:dyDescent="0.25">
      <c r="A3532" s="28">
        <v>8521903</v>
      </c>
      <c r="B3532" s="26" t="s">
        <v>11947</v>
      </c>
    </row>
    <row r="3533" spans="1:2" x14ac:dyDescent="0.25">
      <c r="A3533" s="28">
        <v>8522001</v>
      </c>
      <c r="B3533" s="26" t="s">
        <v>11948</v>
      </c>
    </row>
    <row r="3534" spans="1:2" x14ac:dyDescent="0.25">
      <c r="A3534" s="28">
        <v>8522011</v>
      </c>
      <c r="B3534" s="26" t="s">
        <v>12367</v>
      </c>
    </row>
    <row r="3535" spans="1:2" x14ac:dyDescent="0.25">
      <c r="A3535" s="28">
        <v>8522012</v>
      </c>
      <c r="B3535" s="26" t="s">
        <v>9343</v>
      </c>
    </row>
    <row r="3536" spans="1:2" x14ac:dyDescent="0.25">
      <c r="A3536" s="28">
        <v>8522030</v>
      </c>
      <c r="B3536" s="26" t="s">
        <v>10715</v>
      </c>
    </row>
    <row r="3537" spans="1:2" x14ac:dyDescent="0.25">
      <c r="A3537" s="28">
        <v>8522101</v>
      </c>
      <c r="B3537" s="26" t="s">
        <v>10714</v>
      </c>
    </row>
    <row r="3538" spans="1:2" x14ac:dyDescent="0.25">
      <c r="A3538" s="28">
        <v>8522102</v>
      </c>
      <c r="B3538" s="26" t="s">
        <v>13222</v>
      </c>
    </row>
    <row r="3539" spans="1:2" x14ac:dyDescent="0.25">
      <c r="A3539" s="28">
        <v>8522999</v>
      </c>
      <c r="B3539" s="26" t="s">
        <v>10713</v>
      </c>
    </row>
    <row r="3540" spans="1:2" x14ac:dyDescent="0.25">
      <c r="A3540" s="28">
        <v>8523071</v>
      </c>
      <c r="B3540" s="26" t="s">
        <v>9348</v>
      </c>
    </row>
    <row r="3541" spans="1:2" x14ac:dyDescent="0.25">
      <c r="A3541" s="28">
        <v>8523072</v>
      </c>
      <c r="B3541" s="26" t="s">
        <v>11949</v>
      </c>
    </row>
    <row r="3542" spans="1:2" x14ac:dyDescent="0.25">
      <c r="A3542" s="28">
        <v>8523073</v>
      </c>
      <c r="B3542" s="26" t="s">
        <v>11950</v>
      </c>
    </row>
    <row r="3543" spans="1:2" x14ac:dyDescent="0.25">
      <c r="A3543" s="28">
        <v>8525001</v>
      </c>
      <c r="B3543" s="26" t="s">
        <v>10804</v>
      </c>
    </row>
    <row r="3544" spans="1:2" x14ac:dyDescent="0.25">
      <c r="A3544" s="28">
        <v>8525576</v>
      </c>
      <c r="B3544" s="26" t="s">
        <v>10805</v>
      </c>
    </row>
    <row r="3545" spans="1:2" x14ac:dyDescent="0.25">
      <c r="A3545" s="28">
        <v>8525999</v>
      </c>
      <c r="B3545" s="26" t="s">
        <v>10803</v>
      </c>
    </row>
    <row r="3546" spans="1:2" x14ac:dyDescent="0.25">
      <c r="A3546" s="28">
        <v>8601008</v>
      </c>
      <c r="B3546" s="26" t="s">
        <v>9087</v>
      </c>
    </row>
    <row r="3547" spans="1:2" x14ac:dyDescent="0.25">
      <c r="A3547" s="28">
        <v>8601050</v>
      </c>
      <c r="B3547" s="26" t="s">
        <v>9232</v>
      </c>
    </row>
    <row r="3548" spans="1:2" x14ac:dyDescent="0.25">
      <c r="A3548" s="28">
        <v>8612002</v>
      </c>
      <c r="B3548" s="26" t="s">
        <v>8482</v>
      </c>
    </row>
    <row r="3549" spans="1:2" x14ac:dyDescent="0.25">
      <c r="A3549" s="28">
        <v>8612006</v>
      </c>
      <c r="B3549" s="26" t="s">
        <v>9955</v>
      </c>
    </row>
    <row r="3550" spans="1:2" x14ac:dyDescent="0.25">
      <c r="A3550" s="28">
        <v>8612009</v>
      </c>
      <c r="B3550" s="26" t="s">
        <v>9087</v>
      </c>
    </row>
    <row r="3551" spans="1:2" x14ac:dyDescent="0.25">
      <c r="A3551" s="28">
        <v>8612052</v>
      </c>
      <c r="B3551" s="26" t="s">
        <v>9110</v>
      </c>
    </row>
    <row r="3552" spans="1:2" x14ac:dyDescent="0.25">
      <c r="A3552" s="28">
        <v>8612055</v>
      </c>
      <c r="B3552" s="26" t="s">
        <v>9111</v>
      </c>
    </row>
    <row r="3553" spans="1:2" x14ac:dyDescent="0.25">
      <c r="A3553" s="28">
        <v>8612056</v>
      </c>
      <c r="B3553" s="26" t="s">
        <v>9102</v>
      </c>
    </row>
    <row r="3554" spans="1:2" x14ac:dyDescent="0.25">
      <c r="A3554" s="28">
        <v>8612057</v>
      </c>
      <c r="B3554" s="26" t="s">
        <v>9101</v>
      </c>
    </row>
    <row r="3555" spans="1:2" x14ac:dyDescent="0.25">
      <c r="A3555" s="28">
        <v>8612058</v>
      </c>
      <c r="B3555" s="26" t="s">
        <v>9106</v>
      </c>
    </row>
    <row r="3556" spans="1:2" x14ac:dyDescent="0.25">
      <c r="A3556" s="28">
        <v>8612059</v>
      </c>
      <c r="B3556" s="26" t="s">
        <v>11951</v>
      </c>
    </row>
    <row r="3557" spans="1:2" x14ac:dyDescent="0.25">
      <c r="A3557" s="28">
        <v>8612080</v>
      </c>
      <c r="B3557" s="26" t="s">
        <v>8478</v>
      </c>
    </row>
    <row r="3558" spans="1:2" x14ac:dyDescent="0.25">
      <c r="A3558" s="28">
        <v>8612093</v>
      </c>
      <c r="B3558" s="26" t="s">
        <v>8479</v>
      </c>
    </row>
    <row r="3559" spans="1:2" x14ac:dyDescent="0.25">
      <c r="A3559" s="28">
        <v>8612101</v>
      </c>
      <c r="B3559" s="26" t="s">
        <v>9328</v>
      </c>
    </row>
    <row r="3560" spans="1:2" x14ac:dyDescent="0.25">
      <c r="A3560" s="28">
        <v>8612102</v>
      </c>
      <c r="B3560" s="26" t="s">
        <v>11952</v>
      </c>
    </row>
    <row r="3561" spans="1:2" x14ac:dyDescent="0.25">
      <c r="A3561" s="28">
        <v>8612112</v>
      </c>
      <c r="B3561" s="26" t="s">
        <v>9272</v>
      </c>
    </row>
    <row r="3562" spans="1:2" x14ac:dyDescent="0.25">
      <c r="A3562" s="28">
        <v>8612122</v>
      </c>
      <c r="B3562" s="26" t="s">
        <v>9654</v>
      </c>
    </row>
    <row r="3563" spans="1:2" x14ac:dyDescent="0.25">
      <c r="A3563" s="28">
        <v>8612151</v>
      </c>
      <c r="B3563" s="26" t="s">
        <v>10806</v>
      </c>
    </row>
    <row r="3564" spans="1:2" x14ac:dyDescent="0.25">
      <c r="A3564" s="28">
        <v>8612200</v>
      </c>
      <c r="B3564" s="26" t="s">
        <v>8481</v>
      </c>
    </row>
    <row r="3565" spans="1:2" x14ac:dyDescent="0.25">
      <c r="A3565" s="28">
        <v>8612201</v>
      </c>
      <c r="B3565" s="26" t="s">
        <v>10053</v>
      </c>
    </row>
    <row r="3566" spans="1:2" x14ac:dyDescent="0.25">
      <c r="A3566" s="28">
        <v>8612203</v>
      </c>
      <c r="B3566" s="26" t="s">
        <v>9273</v>
      </c>
    </row>
    <row r="3567" spans="1:2" x14ac:dyDescent="0.25">
      <c r="A3567" s="28">
        <v>8612300</v>
      </c>
      <c r="B3567" s="26" t="s">
        <v>10717</v>
      </c>
    </row>
    <row r="3568" spans="1:2" x14ac:dyDescent="0.25">
      <c r="A3568" s="28">
        <v>8612416</v>
      </c>
      <c r="B3568" s="26" t="s">
        <v>10331</v>
      </c>
    </row>
    <row r="3569" spans="1:2" x14ac:dyDescent="0.25">
      <c r="A3569" s="28">
        <v>8612417</v>
      </c>
      <c r="B3569" s="26" t="s">
        <v>13223</v>
      </c>
    </row>
    <row r="3570" spans="1:2" x14ac:dyDescent="0.25">
      <c r="A3570" s="28">
        <v>8612418</v>
      </c>
      <c r="B3570" s="26" t="s">
        <v>10824</v>
      </c>
    </row>
    <row r="3571" spans="1:2" x14ac:dyDescent="0.25">
      <c r="A3571" s="28">
        <v>8612420</v>
      </c>
      <c r="B3571" s="26" t="s">
        <v>11953</v>
      </c>
    </row>
    <row r="3572" spans="1:2" x14ac:dyDescent="0.25">
      <c r="A3572" s="28">
        <v>8612468</v>
      </c>
      <c r="B3572" s="26" t="s">
        <v>9105</v>
      </c>
    </row>
    <row r="3573" spans="1:2" x14ac:dyDescent="0.25">
      <c r="A3573" s="28">
        <v>8612500</v>
      </c>
      <c r="B3573" s="26" t="s">
        <v>10801</v>
      </c>
    </row>
    <row r="3574" spans="1:2" x14ac:dyDescent="0.25">
      <c r="A3574" s="28">
        <v>8612523</v>
      </c>
      <c r="B3574" s="26" t="s">
        <v>9104</v>
      </c>
    </row>
    <row r="3575" spans="1:2" x14ac:dyDescent="0.25">
      <c r="A3575" s="28">
        <v>8612600</v>
      </c>
      <c r="B3575" s="26" t="s">
        <v>9103</v>
      </c>
    </row>
    <row r="3576" spans="1:2" x14ac:dyDescent="0.25">
      <c r="A3576" s="28">
        <v>8612601</v>
      </c>
      <c r="B3576" s="26" t="s">
        <v>11954</v>
      </c>
    </row>
    <row r="3577" spans="1:2" x14ac:dyDescent="0.25">
      <c r="A3577" s="28">
        <v>8612697</v>
      </c>
      <c r="B3577" s="26" t="s">
        <v>11955</v>
      </c>
    </row>
    <row r="3578" spans="1:2" x14ac:dyDescent="0.25">
      <c r="A3578" s="28">
        <v>8614014</v>
      </c>
      <c r="B3578" s="26" t="s">
        <v>9871</v>
      </c>
    </row>
    <row r="3579" spans="1:2" x14ac:dyDescent="0.25">
      <c r="A3579" s="28">
        <v>8614015</v>
      </c>
      <c r="B3579" s="26" t="s">
        <v>9274</v>
      </c>
    </row>
    <row r="3580" spans="1:2" x14ac:dyDescent="0.25">
      <c r="A3580" s="28">
        <v>8614016</v>
      </c>
      <c r="B3580" s="26" t="s">
        <v>9275</v>
      </c>
    </row>
    <row r="3581" spans="1:2" x14ac:dyDescent="0.25">
      <c r="A3581" s="28">
        <v>8660019</v>
      </c>
      <c r="B3581" s="26" t="s">
        <v>11956</v>
      </c>
    </row>
    <row r="3582" spans="1:2" x14ac:dyDescent="0.25">
      <c r="A3582" s="28">
        <v>8676004</v>
      </c>
      <c r="B3582" s="26" t="s">
        <v>8826</v>
      </c>
    </row>
    <row r="3583" spans="1:2" x14ac:dyDescent="0.25">
      <c r="A3583" s="28">
        <v>8686003</v>
      </c>
      <c r="B3583" s="26" t="s">
        <v>8824</v>
      </c>
    </row>
    <row r="3584" spans="1:2" x14ac:dyDescent="0.25">
      <c r="A3584" s="28">
        <v>8686004</v>
      </c>
      <c r="B3584" s="26" t="s">
        <v>11957</v>
      </c>
    </row>
    <row r="3585" spans="1:2" x14ac:dyDescent="0.25">
      <c r="A3585" s="28">
        <v>8686010</v>
      </c>
      <c r="B3585" s="26" t="s">
        <v>10719</v>
      </c>
    </row>
    <row r="3586" spans="1:2" x14ac:dyDescent="0.25">
      <c r="A3586" s="28">
        <v>8686070</v>
      </c>
      <c r="B3586" s="26" t="s">
        <v>8825</v>
      </c>
    </row>
    <row r="3587" spans="1:2" x14ac:dyDescent="0.25">
      <c r="A3587" s="28">
        <v>8687002</v>
      </c>
      <c r="B3587" s="26" t="s">
        <v>8827</v>
      </c>
    </row>
    <row r="3588" spans="1:2" x14ac:dyDescent="0.25">
      <c r="A3588" s="28">
        <v>8691016</v>
      </c>
      <c r="B3588" s="26" t="s">
        <v>11958</v>
      </c>
    </row>
    <row r="3589" spans="1:2" x14ac:dyDescent="0.25">
      <c r="A3589" s="28">
        <v>8691508</v>
      </c>
      <c r="B3589" s="26" t="s">
        <v>11959</v>
      </c>
    </row>
    <row r="3590" spans="1:2" x14ac:dyDescent="0.25">
      <c r="A3590" s="28">
        <v>8692010</v>
      </c>
      <c r="B3590" s="26" t="s">
        <v>9088</v>
      </c>
    </row>
    <row r="3591" spans="1:2" x14ac:dyDescent="0.25">
      <c r="A3591" s="28">
        <v>8692011</v>
      </c>
      <c r="B3591" s="26" t="s">
        <v>9091</v>
      </c>
    </row>
    <row r="3592" spans="1:2" x14ac:dyDescent="0.25">
      <c r="A3592" s="28">
        <v>8692150</v>
      </c>
      <c r="B3592" s="26" t="s">
        <v>9107</v>
      </c>
    </row>
    <row r="3593" spans="1:2" x14ac:dyDescent="0.25">
      <c r="A3593" s="28">
        <v>8692210</v>
      </c>
      <c r="B3593" s="26" t="s">
        <v>9108</v>
      </c>
    </row>
    <row r="3594" spans="1:2" x14ac:dyDescent="0.25">
      <c r="A3594" s="28">
        <v>8692230</v>
      </c>
      <c r="B3594" s="26" t="s">
        <v>8480</v>
      </c>
    </row>
    <row r="3595" spans="1:2" x14ac:dyDescent="0.25">
      <c r="A3595" s="28">
        <v>8692231</v>
      </c>
      <c r="B3595" s="26" t="s">
        <v>8476</v>
      </c>
    </row>
    <row r="3596" spans="1:2" x14ac:dyDescent="0.25">
      <c r="A3596" s="28">
        <v>8692232</v>
      </c>
      <c r="B3596" s="26" t="s">
        <v>8475</v>
      </c>
    </row>
    <row r="3597" spans="1:2" x14ac:dyDescent="0.25">
      <c r="A3597" s="28">
        <v>8692233</v>
      </c>
      <c r="B3597" s="26" t="s">
        <v>8477</v>
      </c>
    </row>
    <row r="3598" spans="1:2" x14ac:dyDescent="0.25">
      <c r="A3598" s="28">
        <v>8692240</v>
      </c>
      <c r="B3598" s="26" t="s">
        <v>9109</v>
      </c>
    </row>
    <row r="3599" spans="1:2" x14ac:dyDescent="0.25">
      <c r="A3599" s="28">
        <v>8692502</v>
      </c>
      <c r="B3599" s="26" t="s">
        <v>11960</v>
      </c>
    </row>
    <row r="3600" spans="1:2" x14ac:dyDescent="0.25">
      <c r="A3600" s="28">
        <v>8692503</v>
      </c>
      <c r="B3600" s="26" t="s">
        <v>11961</v>
      </c>
    </row>
    <row r="3601" spans="1:2" x14ac:dyDescent="0.25">
      <c r="A3601" s="28">
        <v>8692504</v>
      </c>
      <c r="B3601" s="26" t="s">
        <v>9270</v>
      </c>
    </row>
    <row r="3602" spans="1:2" x14ac:dyDescent="0.25">
      <c r="A3602" s="28">
        <v>8692505</v>
      </c>
      <c r="B3602" s="26" t="s">
        <v>9271</v>
      </c>
    </row>
    <row r="3603" spans="1:2" x14ac:dyDescent="0.25">
      <c r="A3603" s="28">
        <v>8692507</v>
      </c>
      <c r="B3603" s="26" t="s">
        <v>11962</v>
      </c>
    </row>
    <row r="3604" spans="1:2" x14ac:dyDescent="0.25">
      <c r="A3604" s="28">
        <v>8692508</v>
      </c>
      <c r="B3604" s="26" t="s">
        <v>11959</v>
      </c>
    </row>
    <row r="3605" spans="1:2" x14ac:dyDescent="0.25">
      <c r="A3605" s="28">
        <v>8692851</v>
      </c>
      <c r="B3605" s="26" t="s">
        <v>11963</v>
      </c>
    </row>
    <row r="3606" spans="1:2" x14ac:dyDescent="0.25">
      <c r="A3606" s="28">
        <v>8693012</v>
      </c>
      <c r="B3606" s="26" t="s">
        <v>11964</v>
      </c>
    </row>
    <row r="3607" spans="1:2" x14ac:dyDescent="0.25">
      <c r="A3607" s="28">
        <v>8694014</v>
      </c>
      <c r="B3607" s="26" t="s">
        <v>11964</v>
      </c>
    </row>
    <row r="3608" spans="1:2" x14ac:dyDescent="0.25">
      <c r="A3608" s="28">
        <v>8695001</v>
      </c>
      <c r="B3608" s="26" t="s">
        <v>11965</v>
      </c>
    </row>
    <row r="3609" spans="1:2" x14ac:dyDescent="0.25">
      <c r="A3609" s="28">
        <v>8697004</v>
      </c>
      <c r="B3609" s="26" t="s">
        <v>9087</v>
      </c>
    </row>
    <row r="3610" spans="1:2" x14ac:dyDescent="0.25">
      <c r="A3610" s="28">
        <v>8701000</v>
      </c>
      <c r="B3610" s="26" t="s">
        <v>9256</v>
      </c>
    </row>
    <row r="3611" spans="1:2" x14ac:dyDescent="0.25">
      <c r="A3611" s="28">
        <v>8701001</v>
      </c>
      <c r="B3611" s="26" t="s">
        <v>9570</v>
      </c>
    </row>
    <row r="3612" spans="1:2" x14ac:dyDescent="0.25">
      <c r="A3612" s="28">
        <v>8701002</v>
      </c>
      <c r="B3612" s="26" t="s">
        <v>9254</v>
      </c>
    </row>
    <row r="3613" spans="1:2" x14ac:dyDescent="0.25">
      <c r="A3613" s="28">
        <v>8701003</v>
      </c>
      <c r="B3613" s="26" t="s">
        <v>9255</v>
      </c>
    </row>
    <row r="3614" spans="1:2" x14ac:dyDescent="0.25">
      <c r="A3614" s="28">
        <v>8701005</v>
      </c>
      <c r="B3614" s="26" t="s">
        <v>9257</v>
      </c>
    </row>
    <row r="3615" spans="1:2" x14ac:dyDescent="0.25">
      <c r="A3615" s="28">
        <v>8701010</v>
      </c>
      <c r="B3615" s="26" t="s">
        <v>12254</v>
      </c>
    </row>
    <row r="3616" spans="1:2" x14ac:dyDescent="0.25">
      <c r="A3616" s="28">
        <v>8701015</v>
      </c>
      <c r="B3616" s="26" t="s">
        <v>12255</v>
      </c>
    </row>
    <row r="3617" spans="1:2" x14ac:dyDescent="0.25">
      <c r="A3617" s="28">
        <v>8701020</v>
      </c>
      <c r="B3617" s="26" t="s">
        <v>9258</v>
      </c>
    </row>
    <row r="3618" spans="1:2" x14ac:dyDescent="0.25">
      <c r="A3618" s="28">
        <v>8701032</v>
      </c>
      <c r="B3618" s="26" t="s">
        <v>9248</v>
      </c>
    </row>
    <row r="3619" spans="1:2" x14ac:dyDescent="0.25">
      <c r="A3619" s="28">
        <v>8701033</v>
      </c>
      <c r="B3619" s="26" t="s">
        <v>9247</v>
      </c>
    </row>
    <row r="3620" spans="1:2" x14ac:dyDescent="0.25">
      <c r="A3620" s="28">
        <v>8701038</v>
      </c>
      <c r="B3620" s="26" t="s">
        <v>9266</v>
      </c>
    </row>
    <row r="3621" spans="1:2" x14ac:dyDescent="0.25">
      <c r="A3621" s="28">
        <v>8701060</v>
      </c>
      <c r="B3621" s="26" t="s">
        <v>11966</v>
      </c>
    </row>
    <row r="3622" spans="1:2" x14ac:dyDescent="0.25">
      <c r="A3622" s="28">
        <v>8701090</v>
      </c>
      <c r="B3622" s="26" t="s">
        <v>9236</v>
      </c>
    </row>
    <row r="3623" spans="1:2" x14ac:dyDescent="0.25">
      <c r="A3623" s="28">
        <v>8701092</v>
      </c>
      <c r="B3623" s="26" t="s">
        <v>9237</v>
      </c>
    </row>
    <row r="3624" spans="1:2" x14ac:dyDescent="0.25">
      <c r="A3624" s="28">
        <v>8701093</v>
      </c>
      <c r="B3624" s="26" t="s">
        <v>9235</v>
      </c>
    </row>
    <row r="3625" spans="1:2" x14ac:dyDescent="0.25">
      <c r="A3625" s="28">
        <v>8701100</v>
      </c>
      <c r="B3625" s="26" t="s">
        <v>11967</v>
      </c>
    </row>
    <row r="3626" spans="1:2" x14ac:dyDescent="0.25">
      <c r="A3626" s="28">
        <v>8701120</v>
      </c>
      <c r="B3626" s="26" t="s">
        <v>9249</v>
      </c>
    </row>
    <row r="3627" spans="1:2" x14ac:dyDescent="0.25">
      <c r="A3627" s="28">
        <v>8701158</v>
      </c>
      <c r="B3627" s="26" t="s">
        <v>11968</v>
      </c>
    </row>
    <row r="3628" spans="1:2" x14ac:dyDescent="0.25">
      <c r="A3628" s="28">
        <v>8701162</v>
      </c>
      <c r="B3628" s="26" t="s">
        <v>9253</v>
      </c>
    </row>
    <row r="3629" spans="1:2" x14ac:dyDescent="0.25">
      <c r="A3629" s="28">
        <v>8701200</v>
      </c>
      <c r="B3629" s="26" t="s">
        <v>9250</v>
      </c>
    </row>
    <row r="3630" spans="1:2" x14ac:dyDescent="0.25">
      <c r="A3630" s="28">
        <v>8701214</v>
      </c>
      <c r="B3630" s="26" t="s">
        <v>9240</v>
      </c>
    </row>
    <row r="3631" spans="1:2" x14ac:dyDescent="0.25">
      <c r="A3631" s="28">
        <v>8701215</v>
      </c>
      <c r="B3631" s="26" t="s">
        <v>9244</v>
      </c>
    </row>
    <row r="3632" spans="1:2" x14ac:dyDescent="0.25">
      <c r="A3632" s="28">
        <v>8701216</v>
      </c>
      <c r="B3632" s="26" t="s">
        <v>9239</v>
      </c>
    </row>
    <row r="3633" spans="1:2" x14ac:dyDescent="0.25">
      <c r="A3633" s="28">
        <v>8701253</v>
      </c>
      <c r="B3633" s="26" t="s">
        <v>9261</v>
      </c>
    </row>
    <row r="3634" spans="1:2" x14ac:dyDescent="0.25">
      <c r="A3634" s="28">
        <v>8701255</v>
      </c>
      <c r="B3634" s="26" t="s">
        <v>9263</v>
      </c>
    </row>
    <row r="3635" spans="1:2" x14ac:dyDescent="0.25">
      <c r="A3635" s="28">
        <v>8701325</v>
      </c>
      <c r="B3635" s="26" t="s">
        <v>9262</v>
      </c>
    </row>
    <row r="3636" spans="1:2" x14ac:dyDescent="0.25">
      <c r="A3636" s="28">
        <v>8701326</v>
      </c>
      <c r="B3636" s="26" t="s">
        <v>11969</v>
      </c>
    </row>
    <row r="3637" spans="1:2" x14ac:dyDescent="0.25">
      <c r="A3637" s="28">
        <v>8701350</v>
      </c>
      <c r="B3637" s="26" t="s">
        <v>9265</v>
      </c>
    </row>
    <row r="3638" spans="1:2" x14ac:dyDescent="0.25">
      <c r="A3638" s="28">
        <v>8701351</v>
      </c>
      <c r="B3638" s="26" t="s">
        <v>11970</v>
      </c>
    </row>
    <row r="3639" spans="1:2" x14ac:dyDescent="0.25">
      <c r="A3639" s="28">
        <v>8701458</v>
      </c>
      <c r="B3639" s="26" t="s">
        <v>9243</v>
      </c>
    </row>
    <row r="3640" spans="1:2" x14ac:dyDescent="0.25">
      <c r="A3640" s="28">
        <v>8701494</v>
      </c>
      <c r="B3640" s="26" t="s">
        <v>9268</v>
      </c>
    </row>
    <row r="3641" spans="1:2" x14ac:dyDescent="0.25">
      <c r="A3641" s="28">
        <v>8701495</v>
      </c>
      <c r="B3641" s="26" t="s">
        <v>9267</v>
      </c>
    </row>
    <row r="3642" spans="1:2" x14ac:dyDescent="0.25">
      <c r="A3642" s="28">
        <v>8701500</v>
      </c>
      <c r="B3642" s="26" t="s">
        <v>9269</v>
      </c>
    </row>
    <row r="3643" spans="1:2" x14ac:dyDescent="0.25">
      <c r="A3643" s="28">
        <v>8701541</v>
      </c>
      <c r="B3643" s="26" t="s">
        <v>9241</v>
      </c>
    </row>
    <row r="3644" spans="1:2" x14ac:dyDescent="0.25">
      <c r="A3644" s="28">
        <v>8701542</v>
      </c>
      <c r="B3644" s="26" t="s">
        <v>9242</v>
      </c>
    </row>
    <row r="3645" spans="1:2" x14ac:dyDescent="0.25">
      <c r="A3645" s="28">
        <v>8701552</v>
      </c>
      <c r="B3645" s="26" t="s">
        <v>11971</v>
      </c>
    </row>
    <row r="3646" spans="1:2" x14ac:dyDescent="0.25">
      <c r="A3646" s="28">
        <v>8701575</v>
      </c>
      <c r="B3646" s="26" t="s">
        <v>9264</v>
      </c>
    </row>
    <row r="3647" spans="1:2" x14ac:dyDescent="0.25">
      <c r="A3647" s="28">
        <v>8701576</v>
      </c>
      <c r="B3647" s="26" t="s">
        <v>12256</v>
      </c>
    </row>
    <row r="3648" spans="1:2" x14ac:dyDescent="0.25">
      <c r="A3648" s="28">
        <v>8701651</v>
      </c>
      <c r="B3648" s="26" t="s">
        <v>13224</v>
      </c>
    </row>
    <row r="3649" spans="1:2" x14ac:dyDescent="0.25">
      <c r="A3649" s="28">
        <v>8701652</v>
      </c>
      <c r="B3649" s="26" t="s">
        <v>10797</v>
      </c>
    </row>
    <row r="3650" spans="1:2" x14ac:dyDescent="0.25">
      <c r="A3650" s="28">
        <v>8701653</v>
      </c>
      <c r="B3650" s="26" t="s">
        <v>10796</v>
      </c>
    </row>
    <row r="3651" spans="1:2" x14ac:dyDescent="0.25">
      <c r="A3651" s="28">
        <v>8701654</v>
      </c>
      <c r="B3651" s="26" t="s">
        <v>10795</v>
      </c>
    </row>
    <row r="3652" spans="1:2" x14ac:dyDescent="0.25">
      <c r="A3652" s="28">
        <v>8701655</v>
      </c>
      <c r="B3652" s="26" t="s">
        <v>9251</v>
      </c>
    </row>
    <row r="3653" spans="1:2" x14ac:dyDescent="0.25">
      <c r="A3653" s="28">
        <v>8701656</v>
      </c>
      <c r="B3653" s="26" t="s">
        <v>9252</v>
      </c>
    </row>
    <row r="3654" spans="1:2" x14ac:dyDescent="0.25">
      <c r="A3654" s="28">
        <v>8701657</v>
      </c>
      <c r="B3654" s="26" t="s">
        <v>10798</v>
      </c>
    </row>
    <row r="3655" spans="1:2" x14ac:dyDescent="0.25">
      <c r="A3655" s="28">
        <v>8701658</v>
      </c>
      <c r="B3655" s="26" t="s">
        <v>11972</v>
      </c>
    </row>
    <row r="3656" spans="1:2" x14ac:dyDescent="0.25">
      <c r="A3656" s="28">
        <v>8701735</v>
      </c>
      <c r="B3656" s="26" t="s">
        <v>9246</v>
      </c>
    </row>
    <row r="3657" spans="1:2" x14ac:dyDescent="0.25">
      <c r="A3657" s="28">
        <v>8701736</v>
      </c>
      <c r="B3657" s="26" t="s">
        <v>11973</v>
      </c>
    </row>
    <row r="3658" spans="1:2" x14ac:dyDescent="0.25">
      <c r="A3658" s="28">
        <v>8701741</v>
      </c>
      <c r="B3658" s="26" t="s">
        <v>12257</v>
      </c>
    </row>
    <row r="3659" spans="1:2" x14ac:dyDescent="0.25">
      <c r="A3659" s="28">
        <v>8701742</v>
      </c>
      <c r="B3659" s="26" t="s">
        <v>12258</v>
      </c>
    </row>
    <row r="3660" spans="1:2" x14ac:dyDescent="0.25">
      <c r="A3660" s="28">
        <v>8701745</v>
      </c>
      <c r="B3660" s="26" t="s">
        <v>11974</v>
      </c>
    </row>
    <row r="3661" spans="1:2" x14ac:dyDescent="0.25">
      <c r="A3661" s="28">
        <v>8701750</v>
      </c>
      <c r="B3661" s="26" t="s">
        <v>9238</v>
      </c>
    </row>
    <row r="3662" spans="1:2" x14ac:dyDescent="0.25">
      <c r="A3662" s="28">
        <v>8701800</v>
      </c>
      <c r="B3662" s="26" t="s">
        <v>9259</v>
      </c>
    </row>
    <row r="3663" spans="1:2" x14ac:dyDescent="0.25">
      <c r="A3663" s="28">
        <v>8701856</v>
      </c>
      <c r="B3663" s="26" t="s">
        <v>9260</v>
      </c>
    </row>
    <row r="3664" spans="1:2" x14ac:dyDescent="0.25">
      <c r="A3664" s="28">
        <v>8701900</v>
      </c>
      <c r="B3664" s="26" t="s">
        <v>12259</v>
      </c>
    </row>
    <row r="3665" spans="1:2" x14ac:dyDescent="0.25">
      <c r="A3665" s="28">
        <v>8701999</v>
      </c>
      <c r="B3665" s="26" t="s">
        <v>9245</v>
      </c>
    </row>
    <row r="3666" spans="1:2" x14ac:dyDescent="0.25">
      <c r="A3666" s="28">
        <v>870199985</v>
      </c>
      <c r="B3666" s="26" t="s">
        <v>13225</v>
      </c>
    </row>
    <row r="3667" spans="1:2" x14ac:dyDescent="0.25">
      <c r="A3667" s="28">
        <v>8702073</v>
      </c>
      <c r="B3667" s="26" t="s">
        <v>11975</v>
      </c>
    </row>
    <row r="3668" spans="1:2" x14ac:dyDescent="0.25">
      <c r="A3668" s="28">
        <v>8702228</v>
      </c>
      <c r="B3668" s="26" t="s">
        <v>11976</v>
      </c>
    </row>
    <row r="3669" spans="1:2" x14ac:dyDescent="0.25">
      <c r="A3669" s="28">
        <v>8702557</v>
      </c>
      <c r="B3669" s="26" t="s">
        <v>10639</v>
      </c>
    </row>
    <row r="3670" spans="1:2" x14ac:dyDescent="0.25">
      <c r="A3670" s="28">
        <v>8702660</v>
      </c>
      <c r="B3670" s="26" t="s">
        <v>9093</v>
      </c>
    </row>
    <row r="3671" spans="1:2" x14ac:dyDescent="0.25">
      <c r="A3671" s="28">
        <v>8702661</v>
      </c>
      <c r="B3671" s="26" t="s">
        <v>9094</v>
      </c>
    </row>
    <row r="3672" spans="1:2" x14ac:dyDescent="0.25">
      <c r="A3672" s="28">
        <v>8702668</v>
      </c>
      <c r="B3672" s="26" t="s">
        <v>10640</v>
      </c>
    </row>
    <row r="3673" spans="1:2" x14ac:dyDescent="0.25">
      <c r="A3673" s="28">
        <v>8703000</v>
      </c>
      <c r="B3673" s="26" t="s">
        <v>11977</v>
      </c>
    </row>
    <row r="3674" spans="1:2" x14ac:dyDescent="0.25">
      <c r="A3674" s="28">
        <v>8703001</v>
      </c>
      <c r="B3674" s="26" t="s">
        <v>10493</v>
      </c>
    </row>
    <row r="3675" spans="1:2" x14ac:dyDescent="0.25">
      <c r="A3675" s="28">
        <v>8703002</v>
      </c>
      <c r="B3675" s="26" t="s">
        <v>11978</v>
      </c>
    </row>
    <row r="3676" spans="1:2" x14ac:dyDescent="0.25">
      <c r="A3676" s="28">
        <v>8703004</v>
      </c>
      <c r="B3676" s="26" t="s">
        <v>9597</v>
      </c>
    </row>
    <row r="3677" spans="1:2" x14ac:dyDescent="0.25">
      <c r="A3677" s="28">
        <v>8703005</v>
      </c>
      <c r="B3677" s="26" t="s">
        <v>11979</v>
      </c>
    </row>
    <row r="3678" spans="1:2" x14ac:dyDescent="0.25">
      <c r="A3678" s="28">
        <v>8703011</v>
      </c>
      <c r="B3678" s="26" t="s">
        <v>11980</v>
      </c>
    </row>
    <row r="3679" spans="1:2" x14ac:dyDescent="0.25">
      <c r="A3679" s="28">
        <v>8703012</v>
      </c>
      <c r="B3679" s="26" t="s">
        <v>11981</v>
      </c>
    </row>
    <row r="3680" spans="1:2" x14ac:dyDescent="0.25">
      <c r="A3680" s="28">
        <v>8703017</v>
      </c>
      <c r="B3680" s="26" t="s">
        <v>10263</v>
      </c>
    </row>
    <row r="3681" spans="1:2" x14ac:dyDescent="0.25">
      <c r="A3681" s="28">
        <v>8703018</v>
      </c>
      <c r="B3681" s="26" t="s">
        <v>10273</v>
      </c>
    </row>
    <row r="3682" spans="1:2" x14ac:dyDescent="0.25">
      <c r="A3682" s="28">
        <v>8703020</v>
      </c>
      <c r="B3682" s="26" t="s">
        <v>10498</v>
      </c>
    </row>
    <row r="3683" spans="1:2" x14ac:dyDescent="0.25">
      <c r="A3683" s="28">
        <v>8703021</v>
      </c>
      <c r="B3683" s="26" t="s">
        <v>11982</v>
      </c>
    </row>
    <row r="3684" spans="1:2" x14ac:dyDescent="0.25">
      <c r="A3684" s="28">
        <v>8703028</v>
      </c>
      <c r="B3684" s="26" t="s">
        <v>12260</v>
      </c>
    </row>
    <row r="3685" spans="1:2" x14ac:dyDescent="0.25">
      <c r="A3685" s="28">
        <v>8703030</v>
      </c>
      <c r="B3685" s="26" t="s">
        <v>10492</v>
      </c>
    </row>
    <row r="3686" spans="1:2" x14ac:dyDescent="0.25">
      <c r="A3686" s="28">
        <v>8703034</v>
      </c>
      <c r="B3686" s="26" t="s">
        <v>10488</v>
      </c>
    </row>
    <row r="3687" spans="1:2" x14ac:dyDescent="0.25">
      <c r="A3687" s="28">
        <v>8703035</v>
      </c>
      <c r="B3687" s="26" t="s">
        <v>10490</v>
      </c>
    </row>
    <row r="3688" spans="1:2" x14ac:dyDescent="0.25">
      <c r="A3688" s="28">
        <v>8703036</v>
      </c>
      <c r="B3688" s="26" t="s">
        <v>10489</v>
      </c>
    </row>
    <row r="3689" spans="1:2" x14ac:dyDescent="0.25">
      <c r="A3689" s="28">
        <v>870303601</v>
      </c>
      <c r="B3689" s="26" t="s">
        <v>11983</v>
      </c>
    </row>
    <row r="3690" spans="1:2" x14ac:dyDescent="0.25">
      <c r="A3690" s="28">
        <v>870303602</v>
      </c>
      <c r="B3690" s="26" t="s">
        <v>11984</v>
      </c>
    </row>
    <row r="3691" spans="1:2" x14ac:dyDescent="0.25">
      <c r="A3691" s="28">
        <v>8703037</v>
      </c>
      <c r="B3691" s="26" t="s">
        <v>10503</v>
      </c>
    </row>
    <row r="3692" spans="1:2" x14ac:dyDescent="0.25">
      <c r="A3692" s="28">
        <v>8703038</v>
      </c>
      <c r="B3692" s="26" t="s">
        <v>10502</v>
      </c>
    </row>
    <row r="3693" spans="1:2" x14ac:dyDescent="0.25">
      <c r="A3693" s="28">
        <v>870303800</v>
      </c>
      <c r="B3693" s="26" t="s">
        <v>11985</v>
      </c>
    </row>
    <row r="3694" spans="1:2" x14ac:dyDescent="0.25">
      <c r="A3694" s="28">
        <v>870303801</v>
      </c>
      <c r="B3694" s="26" t="s">
        <v>10507</v>
      </c>
    </row>
    <row r="3695" spans="1:2" x14ac:dyDescent="0.25">
      <c r="A3695" s="28">
        <v>870303802</v>
      </c>
      <c r="B3695" s="26" t="s">
        <v>11986</v>
      </c>
    </row>
    <row r="3696" spans="1:2" x14ac:dyDescent="0.25">
      <c r="A3696" s="28">
        <v>870303803</v>
      </c>
      <c r="B3696" s="26" t="s">
        <v>11987</v>
      </c>
    </row>
    <row r="3697" spans="1:2" x14ac:dyDescent="0.25">
      <c r="A3697" s="28">
        <v>8703039</v>
      </c>
      <c r="B3697" s="26" t="s">
        <v>11988</v>
      </c>
    </row>
    <row r="3698" spans="1:2" x14ac:dyDescent="0.25">
      <c r="A3698" s="28">
        <v>8703040</v>
      </c>
      <c r="B3698" s="26" t="s">
        <v>10506</v>
      </c>
    </row>
    <row r="3699" spans="1:2" x14ac:dyDescent="0.25">
      <c r="A3699" s="28">
        <v>8703041</v>
      </c>
      <c r="B3699" s="26" t="s">
        <v>10505</v>
      </c>
    </row>
    <row r="3700" spans="1:2" x14ac:dyDescent="0.25">
      <c r="A3700" s="28">
        <v>870304101</v>
      </c>
      <c r="B3700" s="26" t="s">
        <v>11989</v>
      </c>
    </row>
    <row r="3701" spans="1:2" x14ac:dyDescent="0.25">
      <c r="A3701" s="28">
        <v>870304102</v>
      </c>
      <c r="B3701" s="26" t="s">
        <v>11990</v>
      </c>
    </row>
    <row r="3702" spans="1:2" x14ac:dyDescent="0.25">
      <c r="A3702" s="28">
        <v>8703042</v>
      </c>
      <c r="B3702" s="26" t="s">
        <v>10509</v>
      </c>
    </row>
    <row r="3703" spans="1:2" x14ac:dyDescent="0.25">
      <c r="A3703" s="28">
        <v>8703045</v>
      </c>
      <c r="B3703" s="26" t="s">
        <v>10514</v>
      </c>
    </row>
    <row r="3704" spans="1:2" x14ac:dyDescent="0.25">
      <c r="A3704" s="28">
        <v>8703046</v>
      </c>
      <c r="B3704" s="26" t="s">
        <v>10585</v>
      </c>
    </row>
    <row r="3705" spans="1:2" x14ac:dyDescent="0.25">
      <c r="A3705" s="28">
        <v>8703047</v>
      </c>
      <c r="B3705" s="26" t="s">
        <v>10784</v>
      </c>
    </row>
    <row r="3706" spans="1:2" x14ac:dyDescent="0.25">
      <c r="A3706" s="28">
        <v>8703051</v>
      </c>
      <c r="B3706" s="26" t="s">
        <v>10508</v>
      </c>
    </row>
    <row r="3707" spans="1:2" x14ac:dyDescent="0.25">
      <c r="A3707" s="28">
        <v>8703052</v>
      </c>
      <c r="B3707" s="26" t="s">
        <v>10586</v>
      </c>
    </row>
    <row r="3708" spans="1:2" x14ac:dyDescent="0.25">
      <c r="A3708" s="28">
        <v>8703053</v>
      </c>
      <c r="B3708" s="26" t="s">
        <v>10587</v>
      </c>
    </row>
    <row r="3709" spans="1:2" x14ac:dyDescent="0.25">
      <c r="A3709" s="28">
        <v>8703062</v>
      </c>
      <c r="B3709" s="26" t="s">
        <v>11991</v>
      </c>
    </row>
    <row r="3710" spans="1:2" x14ac:dyDescent="0.25">
      <c r="A3710" s="28">
        <v>8703090</v>
      </c>
      <c r="B3710" s="26" t="s">
        <v>11992</v>
      </c>
    </row>
    <row r="3711" spans="1:2" x14ac:dyDescent="0.25">
      <c r="A3711" s="28">
        <v>8703094</v>
      </c>
      <c r="B3711" s="26" t="s">
        <v>11993</v>
      </c>
    </row>
    <row r="3712" spans="1:2" x14ac:dyDescent="0.25">
      <c r="A3712" s="28">
        <v>8703097</v>
      </c>
      <c r="B3712" s="26" t="s">
        <v>10486</v>
      </c>
    </row>
    <row r="3713" spans="1:2" x14ac:dyDescent="0.25">
      <c r="A3713" s="28">
        <v>8703099</v>
      </c>
      <c r="B3713" s="26" t="s">
        <v>10185</v>
      </c>
    </row>
    <row r="3714" spans="1:2" x14ac:dyDescent="0.25">
      <c r="A3714" s="28">
        <v>8703100</v>
      </c>
      <c r="B3714" s="26" t="s">
        <v>11994</v>
      </c>
    </row>
    <row r="3715" spans="1:2" x14ac:dyDescent="0.25">
      <c r="A3715" s="28">
        <v>8703101</v>
      </c>
      <c r="B3715" s="26" t="s">
        <v>10277</v>
      </c>
    </row>
    <row r="3716" spans="1:2" x14ac:dyDescent="0.25">
      <c r="A3716" s="28">
        <v>8703102</v>
      </c>
      <c r="B3716" s="26" t="s">
        <v>10790</v>
      </c>
    </row>
    <row r="3717" spans="1:2" x14ac:dyDescent="0.25">
      <c r="A3717" s="28">
        <v>8703103</v>
      </c>
      <c r="B3717" s="26" t="s">
        <v>9588</v>
      </c>
    </row>
    <row r="3718" spans="1:2" x14ac:dyDescent="0.25">
      <c r="A3718" s="28">
        <v>8703104</v>
      </c>
      <c r="B3718" s="26" t="s">
        <v>10630</v>
      </c>
    </row>
    <row r="3719" spans="1:2" x14ac:dyDescent="0.25">
      <c r="A3719" s="28">
        <v>8703105</v>
      </c>
      <c r="B3719" s="26" t="s">
        <v>9592</v>
      </c>
    </row>
    <row r="3720" spans="1:2" x14ac:dyDescent="0.25">
      <c r="A3720" s="28">
        <v>8703106</v>
      </c>
      <c r="B3720" s="26" t="s">
        <v>9594</v>
      </c>
    </row>
    <row r="3721" spans="1:2" x14ac:dyDescent="0.25">
      <c r="A3721" s="28">
        <v>8703107</v>
      </c>
      <c r="B3721" s="26" t="s">
        <v>9595</v>
      </c>
    </row>
    <row r="3722" spans="1:2" x14ac:dyDescent="0.25">
      <c r="A3722" s="28">
        <v>8703108</v>
      </c>
      <c r="B3722" s="26" t="s">
        <v>10635</v>
      </c>
    </row>
    <row r="3723" spans="1:2" x14ac:dyDescent="0.25">
      <c r="A3723" s="28">
        <v>8703109</v>
      </c>
      <c r="B3723" s="26" t="s">
        <v>9583</v>
      </c>
    </row>
    <row r="3724" spans="1:2" x14ac:dyDescent="0.25">
      <c r="A3724" s="28">
        <v>8703110</v>
      </c>
      <c r="B3724" s="26" t="s">
        <v>10259</v>
      </c>
    </row>
    <row r="3725" spans="1:2" x14ac:dyDescent="0.25">
      <c r="A3725" s="28">
        <v>8703111</v>
      </c>
      <c r="B3725" s="26" t="s">
        <v>10169</v>
      </c>
    </row>
    <row r="3726" spans="1:2" x14ac:dyDescent="0.25">
      <c r="A3726" s="28">
        <v>8703112</v>
      </c>
      <c r="B3726" s="26" t="s">
        <v>10170</v>
      </c>
    </row>
    <row r="3727" spans="1:2" x14ac:dyDescent="0.25">
      <c r="A3727" s="28">
        <v>8703113</v>
      </c>
      <c r="B3727" s="26" t="s">
        <v>10171</v>
      </c>
    </row>
    <row r="3728" spans="1:2" x14ac:dyDescent="0.25">
      <c r="A3728" s="28">
        <v>8703114</v>
      </c>
      <c r="B3728" s="26" t="s">
        <v>11995</v>
      </c>
    </row>
    <row r="3729" spans="1:2" x14ac:dyDescent="0.25">
      <c r="A3729" s="28">
        <v>8703115</v>
      </c>
      <c r="B3729" s="26" t="s">
        <v>9584</v>
      </c>
    </row>
    <row r="3730" spans="1:2" x14ac:dyDescent="0.25">
      <c r="A3730" s="28">
        <v>8703116</v>
      </c>
      <c r="B3730" s="26" t="s">
        <v>9585</v>
      </c>
    </row>
    <row r="3731" spans="1:2" x14ac:dyDescent="0.25">
      <c r="A3731" s="28">
        <v>8703117</v>
      </c>
      <c r="B3731" s="26" t="s">
        <v>9586</v>
      </c>
    </row>
    <row r="3732" spans="1:2" x14ac:dyDescent="0.25">
      <c r="A3732" s="28">
        <v>8703118</v>
      </c>
      <c r="B3732" s="26" t="s">
        <v>9587</v>
      </c>
    </row>
    <row r="3733" spans="1:2" x14ac:dyDescent="0.25">
      <c r="A3733" s="28">
        <v>8703119</v>
      </c>
      <c r="B3733" s="26" t="s">
        <v>9590</v>
      </c>
    </row>
    <row r="3734" spans="1:2" x14ac:dyDescent="0.25">
      <c r="A3734" s="28">
        <v>8703120</v>
      </c>
      <c r="B3734" s="26" t="s">
        <v>11996</v>
      </c>
    </row>
    <row r="3735" spans="1:2" x14ac:dyDescent="0.25">
      <c r="A3735" s="28">
        <v>8703122</v>
      </c>
      <c r="B3735" s="26" t="s">
        <v>9589</v>
      </c>
    </row>
    <row r="3736" spans="1:2" x14ac:dyDescent="0.25">
      <c r="A3736" s="28">
        <v>8703128</v>
      </c>
      <c r="B3736" s="26" t="s">
        <v>9596</v>
      </c>
    </row>
    <row r="3737" spans="1:2" x14ac:dyDescent="0.25">
      <c r="A3737" s="28">
        <v>8703135</v>
      </c>
      <c r="B3737" s="26" t="s">
        <v>11997</v>
      </c>
    </row>
    <row r="3738" spans="1:2" x14ac:dyDescent="0.25">
      <c r="A3738" s="28">
        <v>8703138</v>
      </c>
      <c r="B3738" s="26" t="s">
        <v>11998</v>
      </c>
    </row>
    <row r="3739" spans="1:2" x14ac:dyDescent="0.25">
      <c r="A3739" s="28">
        <v>8703150</v>
      </c>
      <c r="B3739" s="26" t="s">
        <v>10788</v>
      </c>
    </row>
    <row r="3740" spans="1:2" x14ac:dyDescent="0.25">
      <c r="A3740" s="28">
        <v>8703151</v>
      </c>
      <c r="B3740" s="26" t="s">
        <v>12261</v>
      </c>
    </row>
    <row r="3741" spans="1:2" x14ac:dyDescent="0.25">
      <c r="A3741" s="28">
        <v>8703152</v>
      </c>
      <c r="B3741" s="26" t="s">
        <v>12262</v>
      </c>
    </row>
    <row r="3742" spans="1:2" x14ac:dyDescent="0.25">
      <c r="A3742" s="28">
        <v>8703153</v>
      </c>
      <c r="B3742" s="26" t="s">
        <v>10789</v>
      </c>
    </row>
    <row r="3743" spans="1:2" x14ac:dyDescent="0.25">
      <c r="A3743" s="28">
        <v>8703155</v>
      </c>
      <c r="B3743" s="26" t="s">
        <v>9593</v>
      </c>
    </row>
    <row r="3744" spans="1:2" x14ac:dyDescent="0.25">
      <c r="A3744" s="28">
        <v>8703157</v>
      </c>
      <c r="B3744" s="26" t="s">
        <v>9591</v>
      </c>
    </row>
    <row r="3745" spans="1:2" x14ac:dyDescent="0.25">
      <c r="A3745" s="28">
        <v>8703158</v>
      </c>
      <c r="B3745" s="26" t="s">
        <v>11999</v>
      </c>
    </row>
    <row r="3746" spans="1:2" x14ac:dyDescent="0.25">
      <c r="A3746" s="28">
        <v>8703162</v>
      </c>
      <c r="B3746" s="26" t="s">
        <v>10264</v>
      </c>
    </row>
    <row r="3747" spans="1:2" x14ac:dyDescent="0.25">
      <c r="A3747" s="28">
        <v>8703163</v>
      </c>
      <c r="B3747" s="26" t="s">
        <v>10249</v>
      </c>
    </row>
    <row r="3748" spans="1:2" x14ac:dyDescent="0.25">
      <c r="A3748" s="28">
        <v>8703197</v>
      </c>
      <c r="B3748" s="26" t="s">
        <v>10252</v>
      </c>
    </row>
    <row r="3749" spans="1:2" x14ac:dyDescent="0.25">
      <c r="A3749" s="28">
        <v>8703200</v>
      </c>
      <c r="B3749" s="26" t="s">
        <v>10278</v>
      </c>
    </row>
    <row r="3750" spans="1:2" x14ac:dyDescent="0.25">
      <c r="A3750" s="28">
        <v>8703201</v>
      </c>
      <c r="B3750" s="26" t="s">
        <v>12000</v>
      </c>
    </row>
    <row r="3751" spans="1:2" x14ac:dyDescent="0.25">
      <c r="A3751" s="28">
        <v>8703203</v>
      </c>
      <c r="B3751" s="26" t="s">
        <v>9581</v>
      </c>
    </row>
    <row r="3752" spans="1:2" x14ac:dyDescent="0.25">
      <c r="A3752" s="28">
        <v>8703205</v>
      </c>
      <c r="B3752" s="26" t="s">
        <v>10525</v>
      </c>
    </row>
    <row r="3753" spans="1:2" x14ac:dyDescent="0.25">
      <c r="A3753" s="28">
        <v>8703206</v>
      </c>
      <c r="B3753" s="26" t="s">
        <v>10526</v>
      </c>
    </row>
    <row r="3754" spans="1:2" x14ac:dyDescent="0.25">
      <c r="A3754" s="28">
        <v>8703207</v>
      </c>
      <c r="B3754" s="26" t="s">
        <v>10527</v>
      </c>
    </row>
    <row r="3755" spans="1:2" x14ac:dyDescent="0.25">
      <c r="A3755" s="28">
        <v>8703208</v>
      </c>
      <c r="B3755" s="26" t="s">
        <v>10524</v>
      </c>
    </row>
    <row r="3756" spans="1:2" x14ac:dyDescent="0.25">
      <c r="A3756" s="28">
        <v>8703237</v>
      </c>
      <c r="B3756" s="26" t="s">
        <v>12001</v>
      </c>
    </row>
    <row r="3757" spans="1:2" x14ac:dyDescent="0.25">
      <c r="A3757" s="28">
        <v>8703238</v>
      </c>
      <c r="B3757" s="26" t="s">
        <v>10542</v>
      </c>
    </row>
    <row r="3758" spans="1:2" x14ac:dyDescent="0.25">
      <c r="A3758" s="28">
        <v>8703239</v>
      </c>
      <c r="B3758" s="26" t="s">
        <v>12263</v>
      </c>
    </row>
    <row r="3759" spans="1:2" x14ac:dyDescent="0.25">
      <c r="A3759" s="28">
        <v>8703240</v>
      </c>
      <c r="B3759" s="26" t="s">
        <v>10543</v>
      </c>
    </row>
    <row r="3760" spans="1:2" x14ac:dyDescent="0.25">
      <c r="A3760" s="28">
        <v>8703241</v>
      </c>
      <c r="B3760" s="26" t="s">
        <v>10547</v>
      </c>
    </row>
    <row r="3761" spans="1:2" x14ac:dyDescent="0.25">
      <c r="A3761" s="28">
        <v>8703242</v>
      </c>
      <c r="B3761" s="26" t="s">
        <v>12264</v>
      </c>
    </row>
    <row r="3762" spans="1:2" x14ac:dyDescent="0.25">
      <c r="A3762" s="28">
        <v>8703243</v>
      </c>
      <c r="B3762" s="26" t="s">
        <v>12265</v>
      </c>
    </row>
    <row r="3763" spans="1:2" x14ac:dyDescent="0.25">
      <c r="A3763" s="28">
        <v>8703244</v>
      </c>
      <c r="B3763" s="26" t="s">
        <v>10495</v>
      </c>
    </row>
    <row r="3764" spans="1:2" x14ac:dyDescent="0.25">
      <c r="A3764" s="28">
        <v>8703245</v>
      </c>
      <c r="B3764" s="26" t="s">
        <v>10546</v>
      </c>
    </row>
    <row r="3765" spans="1:2" x14ac:dyDescent="0.25">
      <c r="A3765" s="28">
        <v>8703246</v>
      </c>
      <c r="B3765" s="26" t="s">
        <v>12266</v>
      </c>
    </row>
    <row r="3766" spans="1:2" x14ac:dyDescent="0.25">
      <c r="A3766" s="28">
        <v>8703247</v>
      </c>
      <c r="B3766" s="26" t="s">
        <v>10544</v>
      </c>
    </row>
    <row r="3767" spans="1:2" x14ac:dyDescent="0.25">
      <c r="A3767" s="28">
        <v>8703248</v>
      </c>
      <c r="B3767" s="26" t="s">
        <v>12267</v>
      </c>
    </row>
    <row r="3768" spans="1:2" x14ac:dyDescent="0.25">
      <c r="A3768" s="28">
        <v>8703249</v>
      </c>
      <c r="B3768" s="26" t="s">
        <v>10496</v>
      </c>
    </row>
    <row r="3769" spans="1:2" x14ac:dyDescent="0.25">
      <c r="A3769" s="28">
        <v>8703250</v>
      </c>
      <c r="B3769" s="26" t="s">
        <v>10276</v>
      </c>
    </row>
    <row r="3770" spans="1:2" x14ac:dyDescent="0.25">
      <c r="A3770" s="28">
        <v>8703251</v>
      </c>
      <c r="B3770" s="26" t="s">
        <v>12002</v>
      </c>
    </row>
    <row r="3771" spans="1:2" x14ac:dyDescent="0.25">
      <c r="A3771" s="28">
        <v>8703252</v>
      </c>
      <c r="B3771" s="26" t="s">
        <v>10590</v>
      </c>
    </row>
    <row r="3772" spans="1:2" x14ac:dyDescent="0.25">
      <c r="A3772" s="28">
        <v>8703253</v>
      </c>
      <c r="B3772" s="26" t="s">
        <v>12268</v>
      </c>
    </row>
    <row r="3773" spans="1:2" x14ac:dyDescent="0.25">
      <c r="A3773" s="28">
        <v>8703254</v>
      </c>
      <c r="B3773" s="26" t="s">
        <v>12368</v>
      </c>
    </row>
    <row r="3774" spans="1:2" x14ac:dyDescent="0.25">
      <c r="A3774" s="28">
        <v>8703257</v>
      </c>
      <c r="B3774" s="26" t="s">
        <v>10785</v>
      </c>
    </row>
    <row r="3775" spans="1:2" x14ac:dyDescent="0.25">
      <c r="A3775" s="28">
        <v>8703291</v>
      </c>
      <c r="B3775" s="26" t="s">
        <v>12003</v>
      </c>
    </row>
    <row r="3776" spans="1:2" x14ac:dyDescent="0.25">
      <c r="A3776" s="28">
        <v>8703300</v>
      </c>
      <c r="B3776" s="26" t="s">
        <v>10571</v>
      </c>
    </row>
    <row r="3777" spans="1:2" x14ac:dyDescent="0.25">
      <c r="A3777" s="28">
        <v>8703325</v>
      </c>
      <c r="B3777" s="26" t="s">
        <v>10787</v>
      </c>
    </row>
    <row r="3778" spans="1:2" x14ac:dyDescent="0.25">
      <c r="A3778" s="28">
        <v>8703338</v>
      </c>
      <c r="B3778" s="26" t="s">
        <v>10510</v>
      </c>
    </row>
    <row r="3779" spans="1:2" x14ac:dyDescent="0.25">
      <c r="A3779" s="28">
        <v>8703349</v>
      </c>
      <c r="B3779" s="26" t="s">
        <v>12004</v>
      </c>
    </row>
    <row r="3780" spans="1:2" x14ac:dyDescent="0.25">
      <c r="A3780" s="26" t="s">
        <v>12811</v>
      </c>
      <c r="B3780" s="27"/>
    </row>
    <row r="3781" spans="1:2" x14ac:dyDescent="0.25">
      <c r="A3781" s="28">
        <v>8703350</v>
      </c>
      <c r="B3781" s="26" t="s">
        <v>10534</v>
      </c>
    </row>
    <row r="3782" spans="1:2" x14ac:dyDescent="0.25">
      <c r="A3782" s="28">
        <v>8703351</v>
      </c>
      <c r="B3782" s="26" t="s">
        <v>10541</v>
      </c>
    </row>
    <row r="3783" spans="1:2" x14ac:dyDescent="0.25">
      <c r="A3783" s="28">
        <v>8703352</v>
      </c>
      <c r="B3783" s="26" t="s">
        <v>10537</v>
      </c>
    </row>
    <row r="3784" spans="1:2" x14ac:dyDescent="0.25">
      <c r="A3784" s="28">
        <v>8703376</v>
      </c>
      <c r="B3784" s="26" t="s">
        <v>10258</v>
      </c>
    </row>
    <row r="3785" spans="1:2" x14ac:dyDescent="0.25">
      <c r="A3785" s="28">
        <v>8703391</v>
      </c>
      <c r="B3785" s="26" t="s">
        <v>10491</v>
      </c>
    </row>
    <row r="3786" spans="1:2" x14ac:dyDescent="0.25">
      <c r="A3786" s="28">
        <v>8703400</v>
      </c>
      <c r="B3786" s="26" t="s">
        <v>10511</v>
      </c>
    </row>
    <row r="3787" spans="1:2" x14ac:dyDescent="0.25">
      <c r="A3787" s="28">
        <v>8703405</v>
      </c>
      <c r="B3787" s="26" t="s">
        <v>10512</v>
      </c>
    </row>
    <row r="3788" spans="1:2" x14ac:dyDescent="0.25">
      <c r="A3788" s="28">
        <v>8703500</v>
      </c>
      <c r="B3788" s="26" t="s">
        <v>10564</v>
      </c>
    </row>
    <row r="3789" spans="1:2" x14ac:dyDescent="0.25">
      <c r="A3789" s="28">
        <v>8703501</v>
      </c>
      <c r="B3789" s="26" t="s">
        <v>10583</v>
      </c>
    </row>
    <row r="3790" spans="1:2" x14ac:dyDescent="0.25">
      <c r="A3790" s="28">
        <v>8703502</v>
      </c>
      <c r="B3790" s="26" t="s">
        <v>10582</v>
      </c>
    </row>
    <row r="3791" spans="1:2" x14ac:dyDescent="0.25">
      <c r="A3791" s="28">
        <v>8703503</v>
      </c>
      <c r="B3791" s="26" t="s">
        <v>10579</v>
      </c>
    </row>
    <row r="3792" spans="1:2" x14ac:dyDescent="0.25">
      <c r="A3792" s="28">
        <v>8703504</v>
      </c>
      <c r="B3792" s="26" t="s">
        <v>10578</v>
      </c>
    </row>
    <row r="3793" spans="1:2" x14ac:dyDescent="0.25">
      <c r="A3793" s="28">
        <v>8703505</v>
      </c>
      <c r="B3793" s="26" t="s">
        <v>10584</v>
      </c>
    </row>
    <row r="3794" spans="1:2" x14ac:dyDescent="0.25">
      <c r="A3794" s="28">
        <v>8703506</v>
      </c>
      <c r="B3794" s="26" t="s">
        <v>10580</v>
      </c>
    </row>
    <row r="3795" spans="1:2" x14ac:dyDescent="0.25">
      <c r="A3795" s="28">
        <v>8703507</v>
      </c>
      <c r="B3795" s="26" t="s">
        <v>12005</v>
      </c>
    </row>
    <row r="3796" spans="1:2" x14ac:dyDescent="0.25">
      <c r="A3796" s="28">
        <v>8703508</v>
      </c>
      <c r="B3796" s="26" t="s">
        <v>10570</v>
      </c>
    </row>
    <row r="3797" spans="1:2" x14ac:dyDescent="0.25">
      <c r="A3797" s="28">
        <v>8703509</v>
      </c>
      <c r="B3797" s="26" t="s">
        <v>10574</v>
      </c>
    </row>
    <row r="3798" spans="1:2" x14ac:dyDescent="0.25">
      <c r="A3798" s="28">
        <v>8703510</v>
      </c>
      <c r="B3798" s="26" t="s">
        <v>10523</v>
      </c>
    </row>
    <row r="3799" spans="1:2" x14ac:dyDescent="0.25">
      <c r="A3799" s="28">
        <v>8703513</v>
      </c>
      <c r="B3799" s="26" t="s">
        <v>10581</v>
      </c>
    </row>
    <row r="3800" spans="1:2" x14ac:dyDescent="0.25">
      <c r="A3800" s="28">
        <v>8703517</v>
      </c>
      <c r="B3800" s="26" t="s">
        <v>12006</v>
      </c>
    </row>
    <row r="3801" spans="1:2" x14ac:dyDescent="0.25">
      <c r="A3801" s="28">
        <v>8703531</v>
      </c>
      <c r="B3801" s="26" t="s">
        <v>12369</v>
      </c>
    </row>
    <row r="3802" spans="1:2" x14ac:dyDescent="0.25">
      <c r="A3802" s="28">
        <v>8703550</v>
      </c>
      <c r="B3802" s="26" t="s">
        <v>10557</v>
      </c>
    </row>
    <row r="3803" spans="1:2" x14ac:dyDescent="0.25">
      <c r="A3803" s="28">
        <v>8703551</v>
      </c>
      <c r="B3803" s="26" t="s">
        <v>10501</v>
      </c>
    </row>
    <row r="3804" spans="1:2" x14ac:dyDescent="0.25">
      <c r="A3804" s="28">
        <v>8703552</v>
      </c>
      <c r="B3804" s="26" t="s">
        <v>12007</v>
      </c>
    </row>
    <row r="3805" spans="1:2" x14ac:dyDescent="0.25">
      <c r="A3805" s="28">
        <v>8703553</v>
      </c>
      <c r="B3805" s="26" t="s">
        <v>10247</v>
      </c>
    </row>
    <row r="3806" spans="1:2" x14ac:dyDescent="0.25">
      <c r="A3806" s="28">
        <v>8703555</v>
      </c>
      <c r="B3806" s="26" t="s">
        <v>10569</v>
      </c>
    </row>
    <row r="3807" spans="1:2" x14ac:dyDescent="0.25">
      <c r="A3807" s="28">
        <v>8703557</v>
      </c>
      <c r="B3807" s="26" t="s">
        <v>10487</v>
      </c>
    </row>
    <row r="3808" spans="1:2" x14ac:dyDescent="0.25">
      <c r="A3808" s="28">
        <v>8703570</v>
      </c>
      <c r="B3808" s="26" t="s">
        <v>10494</v>
      </c>
    </row>
    <row r="3809" spans="1:2" x14ac:dyDescent="0.25">
      <c r="A3809" s="28">
        <v>8703573</v>
      </c>
      <c r="B3809" s="26" t="s">
        <v>10521</v>
      </c>
    </row>
    <row r="3810" spans="1:2" x14ac:dyDescent="0.25">
      <c r="A3810" s="28">
        <v>8703599</v>
      </c>
      <c r="B3810" s="26" t="s">
        <v>10576</v>
      </c>
    </row>
    <row r="3811" spans="1:2" x14ac:dyDescent="0.25">
      <c r="A3811" s="28">
        <v>8703600</v>
      </c>
      <c r="B3811" s="26" t="s">
        <v>10499</v>
      </c>
    </row>
    <row r="3812" spans="1:2" x14ac:dyDescent="0.25">
      <c r="A3812" s="28">
        <v>8703601</v>
      </c>
      <c r="B3812" s="26" t="s">
        <v>10558</v>
      </c>
    </row>
    <row r="3813" spans="1:2" x14ac:dyDescent="0.25">
      <c r="A3813" s="28">
        <v>8703604</v>
      </c>
      <c r="B3813" s="26" t="s">
        <v>10577</v>
      </c>
    </row>
    <row r="3814" spans="1:2" x14ac:dyDescent="0.25">
      <c r="A3814" s="28">
        <v>8703607</v>
      </c>
      <c r="B3814" s="26" t="s">
        <v>10572</v>
      </c>
    </row>
    <row r="3815" spans="1:2" x14ac:dyDescent="0.25">
      <c r="A3815" s="28">
        <v>8703608</v>
      </c>
      <c r="B3815" s="26" t="s">
        <v>10245</v>
      </c>
    </row>
    <row r="3816" spans="1:2" x14ac:dyDescent="0.25">
      <c r="A3816" s="28">
        <v>8703611</v>
      </c>
      <c r="B3816" s="26" t="s">
        <v>10513</v>
      </c>
    </row>
    <row r="3817" spans="1:2" x14ac:dyDescent="0.25">
      <c r="A3817" s="28">
        <v>8703612</v>
      </c>
      <c r="B3817" s="26" t="s">
        <v>10555</v>
      </c>
    </row>
    <row r="3818" spans="1:2" x14ac:dyDescent="0.25">
      <c r="A3818" s="28">
        <v>8703613</v>
      </c>
      <c r="B3818" s="26" t="s">
        <v>9598</v>
      </c>
    </row>
    <row r="3819" spans="1:2" x14ac:dyDescent="0.25">
      <c r="A3819" s="28">
        <v>8703615</v>
      </c>
      <c r="B3819" s="26" t="s">
        <v>10565</v>
      </c>
    </row>
    <row r="3820" spans="1:2" x14ac:dyDescent="0.25">
      <c r="A3820" s="28">
        <v>8703616</v>
      </c>
      <c r="B3820" s="26" t="s">
        <v>10265</v>
      </c>
    </row>
    <row r="3821" spans="1:2" x14ac:dyDescent="0.25">
      <c r="A3821" s="28">
        <v>8703617</v>
      </c>
      <c r="B3821" s="26" t="s">
        <v>10272</v>
      </c>
    </row>
    <row r="3822" spans="1:2" x14ac:dyDescent="0.25">
      <c r="A3822" s="28">
        <v>8703619</v>
      </c>
      <c r="B3822" s="26" t="s">
        <v>10568</v>
      </c>
    </row>
    <row r="3823" spans="1:2" x14ac:dyDescent="0.25">
      <c r="A3823" s="28">
        <v>8703620</v>
      </c>
      <c r="B3823" s="26" t="s">
        <v>10280</v>
      </c>
    </row>
    <row r="3824" spans="1:2" x14ac:dyDescent="0.25">
      <c r="A3824" s="28">
        <v>8703621</v>
      </c>
      <c r="B3824" s="26" t="s">
        <v>10279</v>
      </c>
    </row>
    <row r="3825" spans="1:2" x14ac:dyDescent="0.25">
      <c r="A3825" s="28">
        <v>8703630</v>
      </c>
      <c r="B3825" s="26" t="s">
        <v>10500</v>
      </c>
    </row>
    <row r="3826" spans="1:2" x14ac:dyDescent="0.25">
      <c r="A3826" s="28">
        <v>8703641</v>
      </c>
      <c r="B3826" s="26" t="s">
        <v>10248</v>
      </c>
    </row>
    <row r="3827" spans="1:2" x14ac:dyDescent="0.25">
      <c r="A3827" s="28">
        <v>8703656</v>
      </c>
      <c r="B3827" s="26" t="s">
        <v>10533</v>
      </c>
    </row>
    <row r="3828" spans="1:2" x14ac:dyDescent="0.25">
      <c r="A3828" s="28">
        <v>8703658</v>
      </c>
      <c r="B3828" s="26" t="s">
        <v>10531</v>
      </c>
    </row>
    <row r="3829" spans="1:2" x14ac:dyDescent="0.25">
      <c r="A3829" s="28">
        <v>8703660</v>
      </c>
      <c r="B3829" s="26" t="s">
        <v>10549</v>
      </c>
    </row>
    <row r="3830" spans="1:2" x14ac:dyDescent="0.25">
      <c r="A3830" s="28">
        <v>8703662</v>
      </c>
      <c r="B3830" s="26" t="s">
        <v>10532</v>
      </c>
    </row>
    <row r="3831" spans="1:2" x14ac:dyDescent="0.25">
      <c r="A3831" s="28">
        <v>8703665</v>
      </c>
      <c r="B3831" s="26" t="s">
        <v>10552</v>
      </c>
    </row>
    <row r="3832" spans="1:2" x14ac:dyDescent="0.25">
      <c r="A3832" s="28">
        <v>8703667</v>
      </c>
      <c r="B3832" s="26" t="s">
        <v>10530</v>
      </c>
    </row>
    <row r="3833" spans="1:2" x14ac:dyDescent="0.25">
      <c r="A3833" s="28">
        <v>8703669</v>
      </c>
      <c r="B3833" s="26" t="s">
        <v>10548</v>
      </c>
    </row>
    <row r="3834" spans="1:2" x14ac:dyDescent="0.25">
      <c r="A3834" s="28">
        <v>8703670</v>
      </c>
      <c r="B3834" s="26" t="s">
        <v>10275</v>
      </c>
    </row>
    <row r="3835" spans="1:2" x14ac:dyDescent="0.25">
      <c r="A3835" s="28">
        <v>8703671</v>
      </c>
      <c r="B3835" s="26" t="s">
        <v>10553</v>
      </c>
    </row>
    <row r="3836" spans="1:2" x14ac:dyDescent="0.25">
      <c r="A3836" s="28">
        <v>8703674</v>
      </c>
      <c r="B3836" s="26" t="s">
        <v>12008</v>
      </c>
    </row>
    <row r="3837" spans="1:2" x14ac:dyDescent="0.25">
      <c r="A3837" s="28">
        <v>8703677</v>
      </c>
      <c r="B3837" s="26" t="s">
        <v>12009</v>
      </c>
    </row>
    <row r="3838" spans="1:2" x14ac:dyDescent="0.25">
      <c r="A3838" s="28">
        <v>8703679</v>
      </c>
      <c r="B3838" s="26" t="s">
        <v>10540</v>
      </c>
    </row>
    <row r="3839" spans="1:2" x14ac:dyDescent="0.25">
      <c r="A3839" s="28">
        <v>8703699</v>
      </c>
      <c r="B3839" s="26" t="s">
        <v>10244</v>
      </c>
    </row>
    <row r="3840" spans="1:2" x14ac:dyDescent="0.25">
      <c r="A3840" s="28">
        <v>8703700</v>
      </c>
      <c r="B3840" s="26" t="s">
        <v>10504</v>
      </c>
    </row>
    <row r="3841" spans="1:2" x14ac:dyDescent="0.25">
      <c r="A3841" s="28">
        <v>8703702</v>
      </c>
      <c r="B3841" s="26" t="s">
        <v>10563</v>
      </c>
    </row>
    <row r="3842" spans="1:2" x14ac:dyDescent="0.25">
      <c r="A3842" s="28">
        <v>8703703</v>
      </c>
      <c r="B3842" s="26" t="s">
        <v>9582</v>
      </c>
    </row>
    <row r="3843" spans="1:2" x14ac:dyDescent="0.25">
      <c r="A3843" s="28">
        <v>8703704</v>
      </c>
      <c r="B3843" s="26" t="s">
        <v>12010</v>
      </c>
    </row>
    <row r="3844" spans="1:2" x14ac:dyDescent="0.25">
      <c r="A3844" s="28">
        <v>8703705</v>
      </c>
      <c r="B3844" s="26" t="s">
        <v>12011</v>
      </c>
    </row>
    <row r="3845" spans="1:2" x14ac:dyDescent="0.25">
      <c r="A3845" s="28">
        <v>8703706</v>
      </c>
      <c r="B3845" s="26" t="s">
        <v>12012</v>
      </c>
    </row>
    <row r="3846" spans="1:2" x14ac:dyDescent="0.25">
      <c r="A3846" s="28">
        <v>8703707</v>
      </c>
      <c r="B3846" s="26" t="s">
        <v>12013</v>
      </c>
    </row>
    <row r="3847" spans="1:2" x14ac:dyDescent="0.25">
      <c r="A3847" s="28">
        <v>8703741</v>
      </c>
      <c r="B3847" s="26" t="s">
        <v>10515</v>
      </c>
    </row>
    <row r="3848" spans="1:2" x14ac:dyDescent="0.25">
      <c r="A3848" s="28">
        <v>8703742</v>
      </c>
      <c r="B3848" s="26" t="s">
        <v>10516</v>
      </c>
    </row>
    <row r="3849" spans="1:2" x14ac:dyDescent="0.25">
      <c r="A3849" s="28">
        <v>8703743</v>
      </c>
      <c r="B3849" s="26" t="s">
        <v>10517</v>
      </c>
    </row>
    <row r="3850" spans="1:2" x14ac:dyDescent="0.25">
      <c r="A3850" s="28">
        <v>8703744</v>
      </c>
      <c r="B3850" s="26" t="s">
        <v>12269</v>
      </c>
    </row>
    <row r="3851" spans="1:2" x14ac:dyDescent="0.25">
      <c r="A3851" s="28">
        <v>8703750</v>
      </c>
      <c r="B3851" s="26" t="s">
        <v>12014</v>
      </c>
    </row>
    <row r="3852" spans="1:2" x14ac:dyDescent="0.25">
      <c r="A3852" s="28">
        <v>8703779</v>
      </c>
      <c r="B3852" s="26" t="s">
        <v>10246</v>
      </c>
    </row>
    <row r="3853" spans="1:2" x14ac:dyDescent="0.25">
      <c r="A3853" s="28">
        <v>8703800</v>
      </c>
      <c r="B3853" s="26" t="s">
        <v>10545</v>
      </c>
    </row>
    <row r="3854" spans="1:2" x14ac:dyDescent="0.25">
      <c r="A3854" s="28">
        <v>8703803</v>
      </c>
      <c r="B3854" s="26" t="s">
        <v>10554</v>
      </c>
    </row>
    <row r="3855" spans="1:2" x14ac:dyDescent="0.25">
      <c r="A3855" s="28">
        <v>8703810</v>
      </c>
      <c r="B3855" s="26" t="s">
        <v>10560</v>
      </c>
    </row>
    <row r="3856" spans="1:2" x14ac:dyDescent="0.25">
      <c r="A3856" s="28">
        <v>8703811</v>
      </c>
      <c r="B3856" s="26" t="s">
        <v>10559</v>
      </c>
    </row>
    <row r="3857" spans="1:2" x14ac:dyDescent="0.25">
      <c r="A3857" s="28">
        <v>8703812</v>
      </c>
      <c r="B3857" s="26" t="s">
        <v>10556</v>
      </c>
    </row>
    <row r="3858" spans="1:2" x14ac:dyDescent="0.25">
      <c r="A3858" s="28">
        <v>8703841</v>
      </c>
      <c r="B3858" s="26" t="s">
        <v>10518</v>
      </c>
    </row>
    <row r="3859" spans="1:2" x14ac:dyDescent="0.25">
      <c r="A3859" s="28">
        <v>8703842</v>
      </c>
      <c r="B3859" s="26" t="s">
        <v>10520</v>
      </c>
    </row>
    <row r="3860" spans="1:2" x14ac:dyDescent="0.25">
      <c r="A3860" s="28">
        <v>8703843</v>
      </c>
      <c r="B3860" s="26" t="s">
        <v>10519</v>
      </c>
    </row>
    <row r="3861" spans="1:2" x14ac:dyDescent="0.25">
      <c r="A3861" s="28">
        <v>8703861</v>
      </c>
      <c r="B3861" s="26" t="s">
        <v>12015</v>
      </c>
    </row>
    <row r="3862" spans="1:2" x14ac:dyDescent="0.25">
      <c r="A3862" s="28">
        <v>8703900</v>
      </c>
      <c r="B3862" s="26" t="s">
        <v>10566</v>
      </c>
    </row>
    <row r="3863" spans="1:2" x14ac:dyDescent="0.25">
      <c r="A3863" s="28">
        <v>8703901</v>
      </c>
      <c r="B3863" s="26" t="s">
        <v>10561</v>
      </c>
    </row>
    <row r="3864" spans="1:2" x14ac:dyDescent="0.25">
      <c r="A3864" s="28">
        <v>8703902</v>
      </c>
      <c r="B3864" s="26" t="s">
        <v>10562</v>
      </c>
    </row>
    <row r="3865" spans="1:2" x14ac:dyDescent="0.25">
      <c r="A3865" s="28">
        <v>8703905</v>
      </c>
      <c r="B3865" s="26" t="s">
        <v>12016</v>
      </c>
    </row>
    <row r="3866" spans="1:2" x14ac:dyDescent="0.25">
      <c r="A3866" s="28">
        <v>8703925</v>
      </c>
      <c r="B3866" s="26" t="s">
        <v>10575</v>
      </c>
    </row>
    <row r="3867" spans="1:2" x14ac:dyDescent="0.25">
      <c r="A3867" s="28">
        <v>8703926</v>
      </c>
      <c r="B3867" s="26" t="s">
        <v>10573</v>
      </c>
    </row>
    <row r="3868" spans="1:2" x14ac:dyDescent="0.25">
      <c r="A3868" s="28">
        <v>8703950</v>
      </c>
      <c r="B3868" s="26" t="s">
        <v>10529</v>
      </c>
    </row>
    <row r="3869" spans="1:2" x14ac:dyDescent="0.25">
      <c r="A3869" s="28">
        <v>8703952</v>
      </c>
      <c r="B3869" s="26" t="s">
        <v>10536</v>
      </c>
    </row>
    <row r="3870" spans="1:2" x14ac:dyDescent="0.25">
      <c r="A3870" s="28">
        <v>8703954</v>
      </c>
      <c r="B3870" s="26" t="s">
        <v>10535</v>
      </c>
    </row>
    <row r="3871" spans="1:2" x14ac:dyDescent="0.25">
      <c r="A3871" s="28">
        <v>8703955</v>
      </c>
      <c r="B3871" s="26" t="s">
        <v>10497</v>
      </c>
    </row>
    <row r="3872" spans="1:2" x14ac:dyDescent="0.25">
      <c r="A3872" s="28">
        <v>8703956</v>
      </c>
      <c r="B3872" s="26" t="s">
        <v>10551</v>
      </c>
    </row>
    <row r="3873" spans="1:2" x14ac:dyDescent="0.25">
      <c r="A3873" s="28">
        <v>8703958</v>
      </c>
      <c r="B3873" s="26" t="s">
        <v>10550</v>
      </c>
    </row>
    <row r="3874" spans="1:2" x14ac:dyDescent="0.25">
      <c r="A3874" s="28">
        <v>8703959</v>
      </c>
      <c r="B3874" s="26" t="s">
        <v>10539</v>
      </c>
    </row>
    <row r="3875" spans="1:2" x14ac:dyDescent="0.25">
      <c r="A3875" s="28">
        <v>8703960</v>
      </c>
      <c r="B3875" s="26" t="s">
        <v>10538</v>
      </c>
    </row>
    <row r="3876" spans="1:2" x14ac:dyDescent="0.25">
      <c r="A3876" s="28">
        <v>8703961</v>
      </c>
      <c r="B3876" s="26" t="s">
        <v>10528</v>
      </c>
    </row>
    <row r="3877" spans="1:2" x14ac:dyDescent="0.25">
      <c r="A3877" s="28">
        <v>8703962</v>
      </c>
      <c r="B3877" s="26" t="s">
        <v>10567</v>
      </c>
    </row>
    <row r="3878" spans="1:2" x14ac:dyDescent="0.25">
      <c r="A3878" s="28">
        <v>8703987</v>
      </c>
      <c r="B3878" s="26" t="s">
        <v>10009</v>
      </c>
    </row>
    <row r="3879" spans="1:2" x14ac:dyDescent="0.25">
      <c r="A3879" s="28">
        <v>8705001</v>
      </c>
      <c r="B3879" s="26" t="s">
        <v>10622</v>
      </c>
    </row>
    <row r="3880" spans="1:2" x14ac:dyDescent="0.25">
      <c r="A3880" s="28">
        <v>8705002</v>
      </c>
      <c r="B3880" s="26" t="s">
        <v>10624</v>
      </c>
    </row>
    <row r="3881" spans="1:2" x14ac:dyDescent="0.25">
      <c r="A3881" s="28">
        <v>8705003</v>
      </c>
      <c r="B3881" s="26" t="s">
        <v>10675</v>
      </c>
    </row>
    <row r="3882" spans="1:2" x14ac:dyDescent="0.25">
      <c r="A3882" s="28">
        <v>8705004</v>
      </c>
      <c r="B3882" s="26" t="s">
        <v>10673</v>
      </c>
    </row>
    <row r="3883" spans="1:2" x14ac:dyDescent="0.25">
      <c r="A3883" s="28">
        <v>8705005</v>
      </c>
      <c r="B3883" s="26" t="s">
        <v>10674</v>
      </c>
    </row>
    <row r="3884" spans="1:2" x14ac:dyDescent="0.25">
      <c r="A3884" s="28">
        <v>8705006</v>
      </c>
      <c r="B3884" s="26" t="s">
        <v>10683</v>
      </c>
    </row>
    <row r="3885" spans="1:2" x14ac:dyDescent="0.25">
      <c r="A3885" s="28">
        <v>8705007</v>
      </c>
      <c r="B3885" s="26" t="s">
        <v>10685</v>
      </c>
    </row>
    <row r="3886" spans="1:2" x14ac:dyDescent="0.25">
      <c r="A3886" s="28">
        <v>8705008</v>
      </c>
      <c r="B3886" s="26" t="s">
        <v>10655</v>
      </c>
    </row>
    <row r="3887" spans="1:2" x14ac:dyDescent="0.25">
      <c r="A3887" s="28">
        <v>8705009</v>
      </c>
      <c r="B3887" s="26" t="s">
        <v>10695</v>
      </c>
    </row>
    <row r="3888" spans="1:2" x14ac:dyDescent="0.25">
      <c r="A3888" s="28">
        <v>8705010</v>
      </c>
      <c r="B3888" s="26" t="s">
        <v>12017</v>
      </c>
    </row>
    <row r="3889" spans="1:2" x14ac:dyDescent="0.25">
      <c r="A3889" s="28">
        <v>8705011</v>
      </c>
      <c r="B3889" s="26" t="s">
        <v>10684</v>
      </c>
    </row>
    <row r="3890" spans="1:2" x14ac:dyDescent="0.25">
      <c r="A3890" s="28">
        <v>8705012</v>
      </c>
      <c r="B3890" s="26" t="s">
        <v>12018</v>
      </c>
    </row>
    <row r="3891" spans="1:2" x14ac:dyDescent="0.25">
      <c r="A3891" s="28">
        <v>8705013</v>
      </c>
      <c r="B3891" s="26" t="s">
        <v>10690</v>
      </c>
    </row>
    <row r="3892" spans="1:2" x14ac:dyDescent="0.25">
      <c r="A3892" s="28">
        <v>8705016</v>
      </c>
      <c r="B3892" s="26" t="s">
        <v>10688</v>
      </c>
    </row>
    <row r="3893" spans="1:2" x14ac:dyDescent="0.25">
      <c r="A3893" s="28">
        <v>8705018</v>
      </c>
      <c r="B3893" s="26" t="s">
        <v>10611</v>
      </c>
    </row>
    <row r="3894" spans="1:2" x14ac:dyDescent="0.25">
      <c r="A3894" s="28">
        <v>8705019</v>
      </c>
      <c r="B3894" s="26" t="s">
        <v>10612</v>
      </c>
    </row>
    <row r="3895" spans="1:2" x14ac:dyDescent="0.25">
      <c r="A3895" s="28">
        <v>8705020</v>
      </c>
      <c r="B3895" s="26" t="s">
        <v>10617</v>
      </c>
    </row>
    <row r="3896" spans="1:2" x14ac:dyDescent="0.25">
      <c r="A3896" s="28">
        <v>8705021</v>
      </c>
      <c r="B3896" s="26" t="s">
        <v>10618</v>
      </c>
    </row>
    <row r="3897" spans="1:2" x14ac:dyDescent="0.25">
      <c r="A3897" s="28">
        <v>8705022</v>
      </c>
      <c r="B3897" s="26" t="s">
        <v>12019</v>
      </c>
    </row>
    <row r="3898" spans="1:2" x14ac:dyDescent="0.25">
      <c r="A3898" s="28">
        <v>8705023</v>
      </c>
      <c r="B3898" s="26" t="s">
        <v>10614</v>
      </c>
    </row>
    <row r="3899" spans="1:2" x14ac:dyDescent="0.25">
      <c r="A3899" s="28">
        <v>8705036</v>
      </c>
      <c r="B3899" s="26" t="s">
        <v>10609</v>
      </c>
    </row>
    <row r="3900" spans="1:2" x14ac:dyDescent="0.25">
      <c r="A3900" s="28">
        <v>8705037</v>
      </c>
      <c r="B3900" s="26" t="s">
        <v>10676</v>
      </c>
    </row>
    <row r="3901" spans="1:2" x14ac:dyDescent="0.25">
      <c r="A3901" s="28">
        <v>8705038</v>
      </c>
      <c r="B3901" s="26" t="s">
        <v>10681</v>
      </c>
    </row>
    <row r="3902" spans="1:2" x14ac:dyDescent="0.25">
      <c r="A3902" s="28">
        <v>8705039</v>
      </c>
      <c r="B3902" s="26" t="s">
        <v>10682</v>
      </c>
    </row>
    <row r="3903" spans="1:2" x14ac:dyDescent="0.25">
      <c r="A3903" s="28">
        <v>8705072</v>
      </c>
      <c r="B3903" s="26" t="s">
        <v>10636</v>
      </c>
    </row>
    <row r="3904" spans="1:2" x14ac:dyDescent="0.25">
      <c r="A3904" s="28">
        <v>8705075</v>
      </c>
      <c r="B3904" s="26" t="s">
        <v>10632</v>
      </c>
    </row>
    <row r="3905" spans="1:2" x14ac:dyDescent="0.25">
      <c r="A3905" s="28">
        <v>8705088</v>
      </c>
      <c r="B3905" s="26" t="s">
        <v>12270</v>
      </c>
    </row>
    <row r="3906" spans="1:2" x14ac:dyDescent="0.25">
      <c r="A3906" s="28">
        <v>8705089</v>
      </c>
      <c r="B3906" s="26" t="s">
        <v>12271</v>
      </c>
    </row>
    <row r="3907" spans="1:2" x14ac:dyDescent="0.25">
      <c r="A3907" s="28">
        <v>8705100</v>
      </c>
      <c r="B3907" s="26" t="s">
        <v>10634</v>
      </c>
    </row>
    <row r="3908" spans="1:2" x14ac:dyDescent="0.25">
      <c r="A3908" s="28">
        <v>8705113</v>
      </c>
      <c r="B3908" s="26" t="s">
        <v>10631</v>
      </c>
    </row>
    <row r="3909" spans="1:2" x14ac:dyDescent="0.25">
      <c r="A3909" s="28">
        <v>8705114</v>
      </c>
      <c r="B3909" s="26" t="s">
        <v>12272</v>
      </c>
    </row>
    <row r="3910" spans="1:2" x14ac:dyDescent="0.25">
      <c r="A3910" s="28">
        <v>8705115</v>
      </c>
      <c r="B3910" s="26" t="s">
        <v>12370</v>
      </c>
    </row>
    <row r="3911" spans="1:2" x14ac:dyDescent="0.25">
      <c r="A3911" s="28">
        <v>8705116</v>
      </c>
      <c r="B3911" s="26" t="s">
        <v>12812</v>
      </c>
    </row>
    <row r="3912" spans="1:2" x14ac:dyDescent="0.25">
      <c r="A3912" s="28">
        <v>8705117</v>
      </c>
      <c r="B3912" s="26" t="s">
        <v>12273</v>
      </c>
    </row>
    <row r="3913" spans="1:2" x14ac:dyDescent="0.25">
      <c r="A3913" s="28">
        <v>8705118</v>
      </c>
      <c r="B3913" s="26" t="s">
        <v>10642</v>
      </c>
    </row>
    <row r="3914" spans="1:2" x14ac:dyDescent="0.25">
      <c r="A3914" s="28">
        <v>8705119</v>
      </c>
      <c r="B3914" s="26" t="s">
        <v>12274</v>
      </c>
    </row>
    <row r="3915" spans="1:2" x14ac:dyDescent="0.25">
      <c r="A3915" s="28">
        <v>8705120</v>
      </c>
      <c r="B3915" s="26" t="s">
        <v>12275</v>
      </c>
    </row>
    <row r="3916" spans="1:2" x14ac:dyDescent="0.25">
      <c r="A3916" s="28">
        <v>8705121</v>
      </c>
      <c r="B3916" s="26" t="s">
        <v>12813</v>
      </c>
    </row>
    <row r="3917" spans="1:2" x14ac:dyDescent="0.25">
      <c r="A3917" s="28">
        <v>8705131</v>
      </c>
      <c r="B3917" s="26" t="s">
        <v>12020</v>
      </c>
    </row>
    <row r="3918" spans="1:2" x14ac:dyDescent="0.25">
      <c r="A3918" s="28">
        <v>8705200</v>
      </c>
      <c r="B3918" s="26" t="s">
        <v>10677</v>
      </c>
    </row>
    <row r="3919" spans="1:2" x14ac:dyDescent="0.25">
      <c r="A3919" s="28">
        <v>8705201</v>
      </c>
      <c r="B3919" s="26" t="s">
        <v>12276</v>
      </c>
    </row>
    <row r="3920" spans="1:2" x14ac:dyDescent="0.25">
      <c r="A3920" s="28">
        <v>8705214</v>
      </c>
      <c r="B3920" s="26" t="s">
        <v>12021</v>
      </c>
    </row>
    <row r="3921" spans="1:2" x14ac:dyDescent="0.25">
      <c r="A3921" s="28">
        <v>8705225</v>
      </c>
      <c r="B3921" s="26" t="s">
        <v>10643</v>
      </c>
    </row>
    <row r="3922" spans="1:2" x14ac:dyDescent="0.25">
      <c r="A3922" s="28">
        <v>8705226</v>
      </c>
      <c r="B3922" s="26" t="s">
        <v>10645</v>
      </c>
    </row>
    <row r="3923" spans="1:2" x14ac:dyDescent="0.25">
      <c r="A3923" s="28">
        <v>8705227</v>
      </c>
      <c r="B3923" s="26" t="s">
        <v>12022</v>
      </c>
    </row>
    <row r="3924" spans="1:2" x14ac:dyDescent="0.25">
      <c r="A3924" s="28">
        <v>8705228</v>
      </c>
      <c r="B3924" s="26" t="s">
        <v>12023</v>
      </c>
    </row>
    <row r="3925" spans="1:2" x14ac:dyDescent="0.25">
      <c r="A3925" s="28">
        <v>8705233</v>
      </c>
      <c r="B3925" s="26" t="s">
        <v>10641</v>
      </c>
    </row>
    <row r="3926" spans="1:2" x14ac:dyDescent="0.25">
      <c r="A3926" s="28">
        <v>8705241</v>
      </c>
      <c r="B3926" s="26" t="s">
        <v>12024</v>
      </c>
    </row>
    <row r="3927" spans="1:2" x14ac:dyDescent="0.25">
      <c r="A3927" s="28">
        <v>8705256</v>
      </c>
      <c r="B3927" s="26" t="s">
        <v>10686</v>
      </c>
    </row>
    <row r="3928" spans="1:2" x14ac:dyDescent="0.25">
      <c r="A3928" s="28">
        <v>8705300</v>
      </c>
      <c r="B3928" s="26" t="s">
        <v>10644</v>
      </c>
    </row>
    <row r="3929" spans="1:2" x14ac:dyDescent="0.25">
      <c r="A3929" s="28">
        <v>8705370</v>
      </c>
      <c r="B3929" s="26" t="s">
        <v>10620</v>
      </c>
    </row>
    <row r="3930" spans="1:2" x14ac:dyDescent="0.25">
      <c r="A3930" s="28">
        <v>8705449</v>
      </c>
      <c r="B3930" s="26" t="s">
        <v>10615</v>
      </c>
    </row>
    <row r="3931" spans="1:2" x14ac:dyDescent="0.25">
      <c r="A3931" s="28">
        <v>8705450</v>
      </c>
      <c r="B3931" s="26" t="s">
        <v>12025</v>
      </c>
    </row>
    <row r="3932" spans="1:2" x14ac:dyDescent="0.25">
      <c r="A3932" s="28">
        <v>8705459</v>
      </c>
      <c r="B3932" s="26" t="s">
        <v>10628</v>
      </c>
    </row>
    <row r="3933" spans="1:2" x14ac:dyDescent="0.25">
      <c r="A3933" s="28">
        <v>8705460</v>
      </c>
      <c r="B3933" s="26" t="s">
        <v>10627</v>
      </c>
    </row>
    <row r="3934" spans="1:2" x14ac:dyDescent="0.25">
      <c r="A3934" s="28">
        <v>8705480</v>
      </c>
      <c r="B3934" s="26" t="s">
        <v>10625</v>
      </c>
    </row>
    <row r="3935" spans="1:2" x14ac:dyDescent="0.25">
      <c r="A3935" s="28">
        <v>8705500</v>
      </c>
      <c r="B3935" s="26" t="s">
        <v>12026</v>
      </c>
    </row>
    <row r="3936" spans="1:2" x14ac:dyDescent="0.25">
      <c r="A3936" s="28">
        <v>8705550</v>
      </c>
      <c r="B3936" s="26" t="s">
        <v>10618</v>
      </c>
    </row>
    <row r="3937" spans="1:2" x14ac:dyDescent="0.25">
      <c r="A3937" s="28">
        <v>8705551</v>
      </c>
      <c r="B3937" s="26" t="s">
        <v>10626</v>
      </c>
    </row>
    <row r="3938" spans="1:2" x14ac:dyDescent="0.25">
      <c r="A3938" s="28">
        <v>8705552</v>
      </c>
      <c r="B3938" s="26" t="s">
        <v>10621</v>
      </c>
    </row>
    <row r="3939" spans="1:2" x14ac:dyDescent="0.25">
      <c r="A3939" s="28">
        <v>8705553</v>
      </c>
      <c r="B3939" s="26" t="s">
        <v>10693</v>
      </c>
    </row>
    <row r="3940" spans="1:2" x14ac:dyDescent="0.25">
      <c r="A3940" s="28">
        <v>8705554</v>
      </c>
      <c r="B3940" s="26" t="s">
        <v>10679</v>
      </c>
    </row>
    <row r="3941" spans="1:2" x14ac:dyDescent="0.25">
      <c r="A3941" s="28">
        <v>8705555</v>
      </c>
      <c r="B3941" s="26" t="s">
        <v>10623</v>
      </c>
    </row>
    <row r="3942" spans="1:2" x14ac:dyDescent="0.25">
      <c r="A3942" s="28">
        <v>8705556</v>
      </c>
      <c r="B3942" s="26" t="s">
        <v>10619</v>
      </c>
    </row>
    <row r="3943" spans="1:2" x14ac:dyDescent="0.25">
      <c r="A3943" s="28">
        <v>8705557</v>
      </c>
      <c r="B3943" s="26" t="s">
        <v>10638</v>
      </c>
    </row>
    <row r="3944" spans="1:2" x14ac:dyDescent="0.25">
      <c r="A3944" s="28">
        <v>8705568</v>
      </c>
      <c r="B3944" s="26" t="s">
        <v>10604</v>
      </c>
    </row>
    <row r="3945" spans="1:2" x14ac:dyDescent="0.25">
      <c r="A3945" s="28">
        <v>8705586</v>
      </c>
      <c r="B3945" s="26" t="s">
        <v>10694</v>
      </c>
    </row>
    <row r="3946" spans="1:2" x14ac:dyDescent="0.25">
      <c r="A3946" s="28">
        <v>8705651</v>
      </c>
      <c r="B3946" s="26" t="s">
        <v>10692</v>
      </c>
    </row>
    <row r="3947" spans="1:2" x14ac:dyDescent="0.25">
      <c r="A3947" s="28">
        <v>8705661</v>
      </c>
      <c r="B3947" s="26" t="s">
        <v>10603</v>
      </c>
    </row>
    <row r="3948" spans="1:2" x14ac:dyDescent="0.25">
      <c r="A3948" s="28">
        <v>8705665</v>
      </c>
      <c r="B3948" s="26" t="s">
        <v>10680</v>
      </c>
    </row>
    <row r="3949" spans="1:2" x14ac:dyDescent="0.25">
      <c r="A3949" s="28">
        <v>8705668</v>
      </c>
      <c r="B3949" s="26" t="s">
        <v>12027</v>
      </c>
    </row>
    <row r="3950" spans="1:2" x14ac:dyDescent="0.25">
      <c r="A3950" s="28">
        <v>8705683</v>
      </c>
      <c r="B3950" s="26" t="s">
        <v>10605</v>
      </c>
    </row>
    <row r="3951" spans="1:2" x14ac:dyDescent="0.25">
      <c r="A3951" s="28">
        <v>8705700</v>
      </c>
      <c r="B3951" s="26" t="s">
        <v>10637</v>
      </c>
    </row>
    <row r="3952" spans="1:2" x14ac:dyDescent="0.25">
      <c r="A3952" s="28">
        <v>8705749</v>
      </c>
      <c r="B3952" s="26" t="s">
        <v>10691</v>
      </c>
    </row>
    <row r="3953" spans="1:2" x14ac:dyDescent="0.25">
      <c r="A3953" s="28">
        <v>8705750</v>
      </c>
      <c r="B3953" s="26" t="s">
        <v>12028</v>
      </c>
    </row>
    <row r="3954" spans="1:2" x14ac:dyDescent="0.25">
      <c r="A3954" s="28">
        <v>8705802</v>
      </c>
      <c r="B3954" s="26" t="s">
        <v>10616</v>
      </c>
    </row>
    <row r="3955" spans="1:2" x14ac:dyDescent="0.25">
      <c r="A3955" s="28">
        <v>8705861</v>
      </c>
      <c r="B3955" s="26" t="s">
        <v>10689</v>
      </c>
    </row>
    <row r="3956" spans="1:2" x14ac:dyDescent="0.25">
      <c r="A3956" s="28">
        <v>8705905</v>
      </c>
      <c r="B3956" s="26" t="s">
        <v>10613</v>
      </c>
    </row>
    <row r="3957" spans="1:2" x14ac:dyDescent="0.25">
      <c r="A3957" s="28">
        <v>8705910</v>
      </c>
      <c r="B3957" s="26" t="s">
        <v>10610</v>
      </c>
    </row>
    <row r="3958" spans="1:2" x14ac:dyDescent="0.25">
      <c r="A3958" s="28">
        <v>8705913</v>
      </c>
      <c r="B3958" s="26" t="s">
        <v>10633</v>
      </c>
    </row>
    <row r="3959" spans="1:2" x14ac:dyDescent="0.25">
      <c r="A3959" s="28">
        <v>8705914</v>
      </c>
      <c r="B3959" s="26" t="s">
        <v>10629</v>
      </c>
    </row>
    <row r="3960" spans="1:2" x14ac:dyDescent="0.25">
      <c r="A3960" s="28">
        <v>8706002</v>
      </c>
      <c r="B3960" s="26" t="s">
        <v>10226</v>
      </c>
    </row>
    <row r="3961" spans="1:2" x14ac:dyDescent="0.25">
      <c r="A3961" s="28">
        <v>8706012</v>
      </c>
      <c r="B3961" s="26" t="s">
        <v>8486</v>
      </c>
    </row>
    <row r="3962" spans="1:2" x14ac:dyDescent="0.25">
      <c r="A3962" s="28">
        <v>8706500</v>
      </c>
      <c r="B3962" s="26" t="s">
        <v>10606</v>
      </c>
    </row>
    <row r="3963" spans="1:2" x14ac:dyDescent="0.25">
      <c r="A3963" s="28">
        <v>8707000</v>
      </c>
      <c r="B3963" s="26" t="s">
        <v>9335</v>
      </c>
    </row>
    <row r="3964" spans="1:2" x14ac:dyDescent="0.25">
      <c r="A3964" s="28">
        <v>8707002</v>
      </c>
      <c r="B3964" s="26" t="s">
        <v>10588</v>
      </c>
    </row>
    <row r="3965" spans="1:2" x14ac:dyDescent="0.25">
      <c r="A3965" s="28">
        <v>8707003</v>
      </c>
      <c r="B3965" s="26" t="s">
        <v>10658</v>
      </c>
    </row>
    <row r="3966" spans="1:2" x14ac:dyDescent="0.25">
      <c r="A3966" s="28">
        <v>8707020</v>
      </c>
      <c r="B3966" s="26" t="s">
        <v>12029</v>
      </c>
    </row>
    <row r="3967" spans="1:2" x14ac:dyDescent="0.25">
      <c r="A3967" s="28">
        <v>8707021</v>
      </c>
      <c r="B3967" s="26" t="s">
        <v>10666</v>
      </c>
    </row>
    <row r="3968" spans="1:2" x14ac:dyDescent="0.25">
      <c r="A3968" s="28">
        <v>8707023</v>
      </c>
      <c r="B3968" s="26" t="s">
        <v>10659</v>
      </c>
    </row>
    <row r="3969" spans="1:2" x14ac:dyDescent="0.25">
      <c r="A3969" s="28">
        <v>8707024</v>
      </c>
      <c r="B3969" s="26" t="s">
        <v>10660</v>
      </c>
    </row>
    <row r="3970" spans="1:2" x14ac:dyDescent="0.25">
      <c r="A3970" s="28">
        <v>8707025</v>
      </c>
      <c r="B3970" s="26" t="s">
        <v>12030</v>
      </c>
    </row>
    <row r="3971" spans="1:2" x14ac:dyDescent="0.25">
      <c r="A3971" s="28">
        <v>8707026</v>
      </c>
      <c r="B3971" s="26" t="s">
        <v>10661</v>
      </c>
    </row>
    <row r="3972" spans="1:2" x14ac:dyDescent="0.25">
      <c r="A3972" s="28">
        <v>8707058</v>
      </c>
      <c r="B3972" s="26" t="s">
        <v>12031</v>
      </c>
    </row>
    <row r="3973" spans="1:2" x14ac:dyDescent="0.25">
      <c r="A3973" s="28">
        <v>8707113</v>
      </c>
      <c r="B3973" s="26" t="s">
        <v>10522</v>
      </c>
    </row>
    <row r="3974" spans="1:2" x14ac:dyDescent="0.25">
      <c r="A3974" s="28">
        <v>8707117</v>
      </c>
      <c r="B3974" s="26" t="s">
        <v>10178</v>
      </c>
    </row>
    <row r="3975" spans="1:2" x14ac:dyDescent="0.25">
      <c r="A3975" s="28">
        <v>8707206</v>
      </c>
      <c r="B3975" s="26" t="s">
        <v>12032</v>
      </c>
    </row>
    <row r="3976" spans="1:2" x14ac:dyDescent="0.25">
      <c r="A3976" s="28">
        <v>8707381</v>
      </c>
      <c r="B3976" s="26" t="s">
        <v>9337</v>
      </c>
    </row>
    <row r="3977" spans="1:2" x14ac:dyDescent="0.25">
      <c r="A3977" s="28">
        <v>8707500</v>
      </c>
      <c r="B3977" s="26" t="s">
        <v>10667</v>
      </c>
    </row>
    <row r="3978" spans="1:2" x14ac:dyDescent="0.25">
      <c r="A3978" s="28">
        <v>8707509</v>
      </c>
      <c r="B3978" s="26" t="s">
        <v>10670</v>
      </c>
    </row>
    <row r="3979" spans="1:2" x14ac:dyDescent="0.25">
      <c r="A3979" s="28">
        <v>8707550</v>
      </c>
      <c r="B3979" s="26" t="s">
        <v>10697</v>
      </c>
    </row>
    <row r="3980" spans="1:2" x14ac:dyDescent="0.25">
      <c r="A3980" s="28">
        <v>8707552</v>
      </c>
      <c r="B3980" s="26" t="s">
        <v>10671</v>
      </c>
    </row>
    <row r="3981" spans="1:2" x14ac:dyDescent="0.25">
      <c r="A3981" s="28">
        <v>8707553</v>
      </c>
      <c r="B3981" s="26" t="s">
        <v>10672</v>
      </c>
    </row>
    <row r="3982" spans="1:2" x14ac:dyDescent="0.25">
      <c r="A3982" s="28">
        <v>8707554</v>
      </c>
      <c r="B3982" s="26" t="s">
        <v>10665</v>
      </c>
    </row>
    <row r="3983" spans="1:2" x14ac:dyDescent="0.25">
      <c r="A3983" s="28">
        <v>8707555</v>
      </c>
      <c r="B3983" s="26" t="s">
        <v>10664</v>
      </c>
    </row>
    <row r="3984" spans="1:2" x14ac:dyDescent="0.25">
      <c r="A3984" s="28">
        <v>8707556</v>
      </c>
      <c r="B3984" s="26" t="s">
        <v>12033</v>
      </c>
    </row>
    <row r="3985" spans="1:2" x14ac:dyDescent="0.25">
      <c r="A3985" s="28">
        <v>8707657</v>
      </c>
      <c r="B3985" s="26" t="s">
        <v>9336</v>
      </c>
    </row>
    <row r="3986" spans="1:2" x14ac:dyDescent="0.25">
      <c r="A3986" s="28">
        <v>8707658</v>
      </c>
      <c r="B3986" s="26" t="s">
        <v>9338</v>
      </c>
    </row>
    <row r="3987" spans="1:2" x14ac:dyDescent="0.25">
      <c r="A3987" s="28">
        <v>8707701</v>
      </c>
      <c r="B3987" s="26" t="s">
        <v>12034</v>
      </c>
    </row>
    <row r="3988" spans="1:2" x14ac:dyDescent="0.25">
      <c r="A3988" s="28">
        <v>8707702</v>
      </c>
      <c r="B3988" s="26" t="s">
        <v>9339</v>
      </c>
    </row>
    <row r="3989" spans="1:2" x14ac:dyDescent="0.25">
      <c r="A3989" s="28">
        <v>8707721</v>
      </c>
      <c r="B3989" s="26" t="s">
        <v>10663</v>
      </c>
    </row>
    <row r="3990" spans="1:2" x14ac:dyDescent="0.25">
      <c r="A3990" s="28">
        <v>8707750</v>
      </c>
      <c r="B3990" s="26" t="s">
        <v>10656</v>
      </c>
    </row>
    <row r="3991" spans="1:2" x14ac:dyDescent="0.25">
      <c r="A3991" s="28">
        <v>8707964</v>
      </c>
      <c r="B3991" s="26" t="s">
        <v>10669</v>
      </c>
    </row>
    <row r="3992" spans="1:2" x14ac:dyDescent="0.25">
      <c r="A3992" s="28">
        <v>8707965</v>
      </c>
      <c r="B3992" s="26" t="s">
        <v>12035</v>
      </c>
    </row>
    <row r="3993" spans="1:2" x14ac:dyDescent="0.25">
      <c r="A3993" s="28">
        <v>8707966</v>
      </c>
      <c r="B3993" s="26" t="s">
        <v>12277</v>
      </c>
    </row>
    <row r="3994" spans="1:2" x14ac:dyDescent="0.25">
      <c r="A3994" s="28">
        <v>8707980</v>
      </c>
      <c r="B3994" s="26" t="s">
        <v>10657</v>
      </c>
    </row>
    <row r="3995" spans="1:2" x14ac:dyDescent="0.25">
      <c r="A3995" s="28">
        <v>8707981</v>
      </c>
      <c r="B3995" s="26" t="s">
        <v>12036</v>
      </c>
    </row>
    <row r="3996" spans="1:2" x14ac:dyDescent="0.25">
      <c r="A3996" s="28">
        <v>8707982</v>
      </c>
      <c r="B3996" s="26" t="s">
        <v>10662</v>
      </c>
    </row>
    <row r="3997" spans="1:2" x14ac:dyDescent="0.25">
      <c r="A3997" s="28">
        <v>8708001</v>
      </c>
      <c r="B3997" s="26" t="s">
        <v>10589</v>
      </c>
    </row>
    <row r="3998" spans="1:2" x14ac:dyDescent="0.25">
      <c r="A3998" s="28">
        <v>8708002</v>
      </c>
      <c r="B3998" s="26" t="s">
        <v>12037</v>
      </c>
    </row>
    <row r="3999" spans="1:2" x14ac:dyDescent="0.25">
      <c r="A3999" s="28">
        <v>8708003</v>
      </c>
      <c r="B3999" s="26" t="s">
        <v>12038</v>
      </c>
    </row>
    <row r="4000" spans="1:2" x14ac:dyDescent="0.25">
      <c r="A4000" s="28">
        <v>8708004</v>
      </c>
      <c r="B4000" s="26" t="s">
        <v>12039</v>
      </c>
    </row>
    <row r="4001" spans="1:2" x14ac:dyDescent="0.25">
      <c r="A4001" s="28">
        <v>8708006</v>
      </c>
      <c r="B4001" s="26" t="s">
        <v>12040</v>
      </c>
    </row>
    <row r="4002" spans="1:2" x14ac:dyDescent="0.25">
      <c r="A4002" s="28">
        <v>8708007</v>
      </c>
      <c r="B4002" s="26" t="s">
        <v>12041</v>
      </c>
    </row>
    <row r="4003" spans="1:2" x14ac:dyDescent="0.25">
      <c r="A4003" s="28">
        <v>8708008</v>
      </c>
      <c r="B4003" s="26" t="s">
        <v>12042</v>
      </c>
    </row>
    <row r="4004" spans="1:2" x14ac:dyDescent="0.25">
      <c r="A4004" s="28">
        <v>8708009</v>
      </c>
      <c r="B4004" s="26" t="s">
        <v>12043</v>
      </c>
    </row>
    <row r="4005" spans="1:2" x14ac:dyDescent="0.25">
      <c r="A4005" s="28">
        <v>8708010</v>
      </c>
      <c r="B4005" s="26" t="s">
        <v>9340</v>
      </c>
    </row>
    <row r="4006" spans="1:2" x14ac:dyDescent="0.25">
      <c r="A4006" s="28">
        <v>8708011</v>
      </c>
      <c r="B4006" s="26" t="s">
        <v>10668</v>
      </c>
    </row>
    <row r="4007" spans="1:2" x14ac:dyDescent="0.25">
      <c r="A4007" s="28">
        <v>87080111</v>
      </c>
      <c r="B4007" s="26" t="s">
        <v>12044</v>
      </c>
    </row>
    <row r="4008" spans="1:2" x14ac:dyDescent="0.25">
      <c r="A4008" s="28">
        <v>8708012</v>
      </c>
      <c r="B4008" s="26" t="s">
        <v>10197</v>
      </c>
    </row>
    <row r="4009" spans="1:2" x14ac:dyDescent="0.25">
      <c r="A4009" s="28">
        <v>8708014</v>
      </c>
      <c r="B4009" s="26" t="s">
        <v>8474</v>
      </c>
    </row>
    <row r="4010" spans="1:2" x14ac:dyDescent="0.25">
      <c r="A4010" s="28">
        <v>8708015</v>
      </c>
      <c r="B4010" s="26" t="s">
        <v>8384</v>
      </c>
    </row>
    <row r="4011" spans="1:2" x14ac:dyDescent="0.25">
      <c r="A4011" s="28">
        <v>8708020</v>
      </c>
      <c r="B4011" s="26" t="s">
        <v>8815</v>
      </c>
    </row>
    <row r="4012" spans="1:2" x14ac:dyDescent="0.25">
      <c r="A4012" s="28">
        <v>8708024</v>
      </c>
      <c r="B4012" s="26" t="s">
        <v>9344</v>
      </c>
    </row>
    <row r="4013" spans="1:2" x14ac:dyDescent="0.25">
      <c r="A4013" s="28">
        <v>8708025</v>
      </c>
      <c r="B4013" s="26" t="s">
        <v>12045</v>
      </c>
    </row>
    <row r="4014" spans="1:2" x14ac:dyDescent="0.25">
      <c r="A4014" s="28">
        <v>8708030</v>
      </c>
      <c r="B4014" s="26" t="s">
        <v>12046</v>
      </c>
    </row>
    <row r="4015" spans="1:2" x14ac:dyDescent="0.25">
      <c r="A4015" s="28">
        <v>8708040</v>
      </c>
      <c r="B4015" s="26" t="s">
        <v>9342</v>
      </c>
    </row>
    <row r="4016" spans="1:2" x14ac:dyDescent="0.25">
      <c r="A4016" s="28">
        <v>8708044</v>
      </c>
      <c r="B4016" s="26" t="s">
        <v>10270</v>
      </c>
    </row>
    <row r="4017" spans="1:2" x14ac:dyDescent="0.25">
      <c r="A4017" s="28">
        <v>8708045</v>
      </c>
      <c r="B4017" s="26" t="s">
        <v>10225</v>
      </c>
    </row>
    <row r="4018" spans="1:2" x14ac:dyDescent="0.25">
      <c r="A4018" s="28">
        <v>8708046</v>
      </c>
      <c r="B4018" s="26" t="s">
        <v>10266</v>
      </c>
    </row>
    <row r="4019" spans="1:2" x14ac:dyDescent="0.25">
      <c r="A4019" s="28">
        <v>8708047</v>
      </c>
      <c r="B4019" s="26" t="s">
        <v>10269</v>
      </c>
    </row>
    <row r="4020" spans="1:2" x14ac:dyDescent="0.25">
      <c r="A4020" s="28">
        <v>8708048</v>
      </c>
      <c r="B4020" s="26" t="s">
        <v>10267</v>
      </c>
    </row>
    <row r="4021" spans="1:2" x14ac:dyDescent="0.25">
      <c r="A4021" s="28">
        <v>8708049</v>
      </c>
      <c r="B4021" s="26" t="s">
        <v>10268</v>
      </c>
    </row>
    <row r="4022" spans="1:2" x14ac:dyDescent="0.25">
      <c r="A4022" s="28">
        <v>8708052</v>
      </c>
      <c r="B4022" s="26" t="s">
        <v>10237</v>
      </c>
    </row>
    <row r="4023" spans="1:2" x14ac:dyDescent="0.25">
      <c r="A4023" s="28">
        <v>8708053</v>
      </c>
      <c r="B4023" s="26" t="s">
        <v>10236</v>
      </c>
    </row>
    <row r="4024" spans="1:2" x14ac:dyDescent="0.25">
      <c r="A4024" s="28">
        <v>8708054</v>
      </c>
      <c r="B4024" s="26" t="s">
        <v>10234</v>
      </c>
    </row>
    <row r="4025" spans="1:2" x14ac:dyDescent="0.25">
      <c r="A4025" s="28">
        <v>8708055</v>
      </c>
      <c r="B4025" s="26" t="s">
        <v>10232</v>
      </c>
    </row>
    <row r="4026" spans="1:2" x14ac:dyDescent="0.25">
      <c r="A4026" s="28">
        <v>8708056</v>
      </c>
      <c r="B4026" s="26" t="s">
        <v>10233</v>
      </c>
    </row>
    <row r="4027" spans="1:2" x14ac:dyDescent="0.25">
      <c r="A4027" s="28">
        <v>8708057</v>
      </c>
      <c r="B4027" s="26" t="s">
        <v>10235</v>
      </c>
    </row>
    <row r="4028" spans="1:2" x14ac:dyDescent="0.25">
      <c r="A4028" s="28">
        <v>8708058</v>
      </c>
      <c r="B4028" s="26" t="s">
        <v>10231</v>
      </c>
    </row>
    <row r="4029" spans="1:2" x14ac:dyDescent="0.25">
      <c r="A4029" s="28">
        <v>8708070</v>
      </c>
      <c r="B4029" s="26" t="s">
        <v>10594</v>
      </c>
    </row>
    <row r="4030" spans="1:2" x14ac:dyDescent="0.25">
      <c r="A4030" s="28">
        <v>8708071</v>
      </c>
      <c r="B4030" s="26" t="s">
        <v>10593</v>
      </c>
    </row>
    <row r="4031" spans="1:2" x14ac:dyDescent="0.25">
      <c r="A4031" s="28">
        <v>8708090</v>
      </c>
      <c r="B4031" s="26" t="s">
        <v>12047</v>
      </c>
    </row>
    <row r="4032" spans="1:2" x14ac:dyDescent="0.25">
      <c r="A4032" s="28">
        <v>8708091</v>
      </c>
      <c r="B4032" s="26" t="s">
        <v>12048</v>
      </c>
    </row>
    <row r="4033" spans="1:2" x14ac:dyDescent="0.25">
      <c r="A4033" s="28">
        <v>8708092</v>
      </c>
      <c r="B4033" s="26" t="s">
        <v>12049</v>
      </c>
    </row>
    <row r="4034" spans="1:2" x14ac:dyDescent="0.25">
      <c r="A4034" s="28">
        <v>8708093</v>
      </c>
      <c r="B4034" s="26" t="s">
        <v>12050</v>
      </c>
    </row>
    <row r="4035" spans="1:2" x14ac:dyDescent="0.25">
      <c r="A4035" s="28">
        <v>8708099</v>
      </c>
      <c r="B4035" s="26" t="s">
        <v>12814</v>
      </c>
    </row>
    <row r="4036" spans="1:2" x14ac:dyDescent="0.25">
      <c r="A4036" s="28">
        <v>8708100</v>
      </c>
      <c r="B4036" s="26" t="s">
        <v>10201</v>
      </c>
    </row>
    <row r="4037" spans="1:2" x14ac:dyDescent="0.25">
      <c r="A4037" s="28">
        <v>8708101</v>
      </c>
      <c r="B4037" s="26" t="s">
        <v>10189</v>
      </c>
    </row>
    <row r="4038" spans="1:2" x14ac:dyDescent="0.25">
      <c r="A4038" s="28">
        <v>8708102</v>
      </c>
      <c r="B4038" s="26" t="s">
        <v>10182</v>
      </c>
    </row>
    <row r="4039" spans="1:2" x14ac:dyDescent="0.25">
      <c r="A4039" s="28">
        <v>8708104</v>
      </c>
      <c r="B4039" s="26" t="s">
        <v>8484</v>
      </c>
    </row>
    <row r="4040" spans="1:2" x14ac:dyDescent="0.25">
      <c r="A4040" s="28">
        <v>8708105</v>
      </c>
      <c r="B4040" s="26" t="s">
        <v>10239</v>
      </c>
    </row>
    <row r="4041" spans="1:2" x14ac:dyDescent="0.25">
      <c r="A4041" s="28">
        <v>8708106</v>
      </c>
      <c r="B4041" s="26" t="s">
        <v>12051</v>
      </c>
    </row>
    <row r="4042" spans="1:2" x14ac:dyDescent="0.25">
      <c r="A4042" s="28">
        <v>8708107</v>
      </c>
      <c r="B4042" s="26" t="s">
        <v>10700</v>
      </c>
    </row>
    <row r="4043" spans="1:2" x14ac:dyDescent="0.25">
      <c r="A4043" s="28">
        <v>8708108</v>
      </c>
      <c r="B4043" s="26" t="s">
        <v>8483</v>
      </c>
    </row>
    <row r="4044" spans="1:2" x14ac:dyDescent="0.25">
      <c r="A4044" s="28">
        <v>8708109</v>
      </c>
      <c r="B4044" s="26" t="s">
        <v>10678</v>
      </c>
    </row>
    <row r="4045" spans="1:2" x14ac:dyDescent="0.25">
      <c r="A4045" s="28">
        <v>8708110</v>
      </c>
      <c r="B4045" s="26" t="s">
        <v>8485</v>
      </c>
    </row>
    <row r="4046" spans="1:2" x14ac:dyDescent="0.25">
      <c r="A4046" s="28">
        <v>8708111</v>
      </c>
      <c r="B4046" s="26" t="s">
        <v>9166</v>
      </c>
    </row>
    <row r="4047" spans="1:2" x14ac:dyDescent="0.25">
      <c r="A4047" s="28">
        <v>8708112</v>
      </c>
      <c r="B4047" s="26" t="s">
        <v>9167</v>
      </c>
    </row>
    <row r="4048" spans="1:2" x14ac:dyDescent="0.25">
      <c r="A4048" s="28">
        <v>8708113</v>
      </c>
      <c r="B4048" s="26" t="s">
        <v>9164</v>
      </c>
    </row>
    <row r="4049" spans="1:2" x14ac:dyDescent="0.25">
      <c r="A4049" s="28">
        <v>8708114</v>
      </c>
      <c r="B4049" s="26" t="s">
        <v>10202</v>
      </c>
    </row>
    <row r="4050" spans="1:2" x14ac:dyDescent="0.25">
      <c r="A4050" s="28">
        <v>8708115</v>
      </c>
      <c r="B4050" s="26" t="s">
        <v>10696</v>
      </c>
    </row>
    <row r="4051" spans="1:2" x14ac:dyDescent="0.25">
      <c r="A4051" s="28">
        <v>8708116</v>
      </c>
      <c r="B4051" s="26" t="s">
        <v>9163</v>
      </c>
    </row>
    <row r="4052" spans="1:2" x14ac:dyDescent="0.25">
      <c r="A4052" s="28">
        <v>8708117</v>
      </c>
      <c r="B4052" s="26" t="s">
        <v>10211</v>
      </c>
    </row>
    <row r="4053" spans="1:2" x14ac:dyDescent="0.25">
      <c r="A4053" s="28">
        <v>8708118</v>
      </c>
      <c r="B4053" s="26" t="s">
        <v>10208</v>
      </c>
    </row>
    <row r="4054" spans="1:2" x14ac:dyDescent="0.25">
      <c r="A4054" s="28">
        <v>8708119</v>
      </c>
      <c r="B4054" s="26" t="s">
        <v>10213</v>
      </c>
    </row>
    <row r="4055" spans="1:2" x14ac:dyDescent="0.25">
      <c r="A4055" s="28">
        <v>8708120</v>
      </c>
      <c r="B4055" s="26" t="s">
        <v>10203</v>
      </c>
    </row>
    <row r="4056" spans="1:2" x14ac:dyDescent="0.25">
      <c r="A4056" s="28">
        <v>8708121</v>
      </c>
      <c r="B4056" s="26" t="s">
        <v>10218</v>
      </c>
    </row>
    <row r="4057" spans="1:2" x14ac:dyDescent="0.25">
      <c r="A4057" s="28">
        <v>8708122</v>
      </c>
      <c r="B4057" s="26" t="s">
        <v>10271</v>
      </c>
    </row>
    <row r="4058" spans="1:2" x14ac:dyDescent="0.25">
      <c r="A4058" s="28">
        <v>8708123</v>
      </c>
      <c r="B4058" s="26" t="s">
        <v>10190</v>
      </c>
    </row>
    <row r="4059" spans="1:2" x14ac:dyDescent="0.25">
      <c r="A4059" s="28">
        <v>8708124</v>
      </c>
      <c r="B4059" s="26" t="s">
        <v>10220</v>
      </c>
    </row>
    <row r="4060" spans="1:2" x14ac:dyDescent="0.25">
      <c r="A4060" s="28">
        <v>8708125</v>
      </c>
      <c r="B4060" s="26" t="s">
        <v>10217</v>
      </c>
    </row>
    <row r="4061" spans="1:2" x14ac:dyDescent="0.25">
      <c r="A4061" s="28">
        <v>8708126</v>
      </c>
      <c r="B4061" s="26" t="s">
        <v>10216</v>
      </c>
    </row>
    <row r="4062" spans="1:2" x14ac:dyDescent="0.25">
      <c r="A4062" s="28">
        <v>8708127</v>
      </c>
      <c r="B4062" s="26" t="s">
        <v>10219</v>
      </c>
    </row>
    <row r="4063" spans="1:2" x14ac:dyDescent="0.25">
      <c r="A4063" s="28">
        <v>8708128</v>
      </c>
      <c r="B4063" s="26" t="s">
        <v>10209</v>
      </c>
    </row>
    <row r="4064" spans="1:2" x14ac:dyDescent="0.25">
      <c r="A4064" s="28">
        <v>8708129</v>
      </c>
      <c r="B4064" s="26" t="s">
        <v>10212</v>
      </c>
    </row>
    <row r="4065" spans="1:2" x14ac:dyDescent="0.25">
      <c r="A4065" s="28">
        <v>8708130</v>
      </c>
      <c r="B4065" s="26" t="s">
        <v>10210</v>
      </c>
    </row>
    <row r="4066" spans="1:2" x14ac:dyDescent="0.25">
      <c r="A4066" s="28">
        <v>8708140</v>
      </c>
      <c r="B4066" s="26" t="s">
        <v>12278</v>
      </c>
    </row>
    <row r="4067" spans="1:2" x14ac:dyDescent="0.25">
      <c r="A4067" s="28">
        <v>8708196</v>
      </c>
      <c r="B4067" s="26" t="s">
        <v>10257</v>
      </c>
    </row>
    <row r="4068" spans="1:2" x14ac:dyDescent="0.25">
      <c r="A4068" s="28">
        <v>8708198</v>
      </c>
      <c r="B4068" s="26" t="s">
        <v>10274</v>
      </c>
    </row>
    <row r="4069" spans="1:2" x14ac:dyDescent="0.25">
      <c r="A4069" s="28">
        <v>8708200</v>
      </c>
      <c r="B4069" s="26" t="s">
        <v>10701</v>
      </c>
    </row>
    <row r="4070" spans="1:2" x14ac:dyDescent="0.25">
      <c r="A4070" s="28">
        <v>8708202</v>
      </c>
      <c r="B4070" s="26" t="s">
        <v>10281</v>
      </c>
    </row>
    <row r="4071" spans="1:2" x14ac:dyDescent="0.25">
      <c r="A4071" s="28">
        <v>8708203</v>
      </c>
      <c r="B4071" s="26" t="s">
        <v>10250</v>
      </c>
    </row>
    <row r="4072" spans="1:2" x14ac:dyDescent="0.25">
      <c r="A4072" s="28">
        <v>8708204</v>
      </c>
      <c r="B4072" s="26" t="s">
        <v>10251</v>
      </c>
    </row>
    <row r="4073" spans="1:2" x14ac:dyDescent="0.25">
      <c r="A4073" s="28">
        <v>8708205</v>
      </c>
      <c r="B4073" s="26" t="s">
        <v>10254</v>
      </c>
    </row>
    <row r="4074" spans="1:2" x14ac:dyDescent="0.25">
      <c r="A4074" s="28">
        <v>8708206</v>
      </c>
      <c r="B4074" s="26" t="s">
        <v>10256</v>
      </c>
    </row>
    <row r="4075" spans="1:2" x14ac:dyDescent="0.25">
      <c r="A4075" s="28">
        <v>8708207</v>
      </c>
      <c r="B4075" s="26" t="s">
        <v>10253</v>
      </c>
    </row>
    <row r="4076" spans="1:2" x14ac:dyDescent="0.25">
      <c r="A4076" s="28">
        <v>8708209</v>
      </c>
      <c r="B4076" s="26" t="s">
        <v>10262</v>
      </c>
    </row>
    <row r="4077" spans="1:2" x14ac:dyDescent="0.25">
      <c r="A4077" s="28">
        <v>8708210</v>
      </c>
      <c r="B4077" s="26" t="s">
        <v>10261</v>
      </c>
    </row>
    <row r="4078" spans="1:2" x14ac:dyDescent="0.25">
      <c r="A4078" s="28">
        <v>8708211</v>
      </c>
      <c r="B4078" s="26" t="s">
        <v>10243</v>
      </c>
    </row>
    <row r="4079" spans="1:2" x14ac:dyDescent="0.25">
      <c r="A4079" s="28">
        <v>8708213</v>
      </c>
      <c r="B4079" s="26" t="s">
        <v>10255</v>
      </c>
    </row>
    <row r="4080" spans="1:2" x14ac:dyDescent="0.25">
      <c r="A4080" s="28">
        <v>8708214</v>
      </c>
      <c r="B4080" s="26" t="s">
        <v>12052</v>
      </c>
    </row>
    <row r="4081" spans="1:2" x14ac:dyDescent="0.25">
      <c r="A4081" s="28">
        <v>8708215</v>
      </c>
      <c r="B4081" s="26" t="s">
        <v>10260</v>
      </c>
    </row>
    <row r="4082" spans="1:2" x14ac:dyDescent="0.25">
      <c r="A4082" s="28">
        <v>8708216</v>
      </c>
      <c r="B4082" s="26" t="s">
        <v>10242</v>
      </c>
    </row>
    <row r="4083" spans="1:2" x14ac:dyDescent="0.25">
      <c r="A4083" s="28">
        <v>8708226</v>
      </c>
      <c r="B4083" s="26" t="s">
        <v>10205</v>
      </c>
    </row>
    <row r="4084" spans="1:2" x14ac:dyDescent="0.25">
      <c r="A4084" s="28">
        <v>8708227</v>
      </c>
      <c r="B4084" s="26" t="s">
        <v>10214</v>
      </c>
    </row>
    <row r="4085" spans="1:2" x14ac:dyDescent="0.25">
      <c r="A4085" s="28">
        <v>8708228</v>
      </c>
      <c r="B4085" s="26" t="s">
        <v>12279</v>
      </c>
    </row>
    <row r="4086" spans="1:2" x14ac:dyDescent="0.25">
      <c r="A4086" s="28">
        <v>8708249</v>
      </c>
      <c r="B4086" s="26" t="s">
        <v>10224</v>
      </c>
    </row>
    <row r="4087" spans="1:2" x14ac:dyDescent="0.25">
      <c r="A4087" s="28">
        <v>8708254</v>
      </c>
      <c r="B4087" s="26" t="s">
        <v>10699</v>
      </c>
    </row>
    <row r="4088" spans="1:2" x14ac:dyDescent="0.25">
      <c r="A4088" s="28">
        <v>8708255</v>
      </c>
      <c r="B4088" s="26" t="s">
        <v>8383</v>
      </c>
    </row>
    <row r="4089" spans="1:2" x14ac:dyDescent="0.25">
      <c r="A4089" s="28">
        <v>8708272</v>
      </c>
      <c r="B4089" s="26" t="s">
        <v>10591</v>
      </c>
    </row>
    <row r="4090" spans="1:2" x14ac:dyDescent="0.25">
      <c r="A4090" s="28">
        <v>8708273</v>
      </c>
      <c r="B4090" s="26" t="s">
        <v>10592</v>
      </c>
    </row>
    <row r="4091" spans="1:2" x14ac:dyDescent="0.25">
      <c r="A4091" s="28">
        <v>8708298</v>
      </c>
      <c r="B4091" s="26" t="s">
        <v>12815</v>
      </c>
    </row>
    <row r="4092" spans="1:2" x14ac:dyDescent="0.25">
      <c r="A4092" s="28">
        <v>8708299</v>
      </c>
      <c r="B4092" s="26" t="s">
        <v>10607</v>
      </c>
    </row>
    <row r="4093" spans="1:2" x14ac:dyDescent="0.25">
      <c r="A4093" s="28">
        <v>8708300</v>
      </c>
      <c r="B4093" s="26" t="s">
        <v>9170</v>
      </c>
    </row>
    <row r="4094" spans="1:2" x14ac:dyDescent="0.25">
      <c r="A4094" s="28">
        <v>8708301</v>
      </c>
      <c r="B4094" s="26" t="s">
        <v>9171</v>
      </c>
    </row>
    <row r="4095" spans="1:2" x14ac:dyDescent="0.25">
      <c r="A4095" s="28">
        <v>8708304</v>
      </c>
      <c r="B4095" s="26" t="s">
        <v>10196</v>
      </c>
    </row>
    <row r="4096" spans="1:2" x14ac:dyDescent="0.25">
      <c r="A4096" s="28">
        <v>8708310</v>
      </c>
      <c r="B4096" s="26" t="s">
        <v>10221</v>
      </c>
    </row>
    <row r="4097" spans="1:2" x14ac:dyDescent="0.25">
      <c r="A4097" s="28">
        <v>8708311</v>
      </c>
      <c r="B4097" s="26" t="s">
        <v>10194</v>
      </c>
    </row>
    <row r="4098" spans="1:2" x14ac:dyDescent="0.25">
      <c r="A4098" s="28">
        <v>8708312</v>
      </c>
      <c r="B4098" s="26" t="s">
        <v>10193</v>
      </c>
    </row>
    <row r="4099" spans="1:2" x14ac:dyDescent="0.25">
      <c r="A4099" s="28">
        <v>8708313</v>
      </c>
      <c r="B4099" s="26" t="s">
        <v>10191</v>
      </c>
    </row>
    <row r="4100" spans="1:2" x14ac:dyDescent="0.25">
      <c r="A4100" s="28">
        <v>8708314</v>
      </c>
      <c r="B4100" s="26" t="s">
        <v>10192</v>
      </c>
    </row>
    <row r="4101" spans="1:2" x14ac:dyDescent="0.25">
      <c r="A4101" s="28">
        <v>8708315</v>
      </c>
      <c r="B4101" s="26" t="s">
        <v>10195</v>
      </c>
    </row>
    <row r="4102" spans="1:2" x14ac:dyDescent="0.25">
      <c r="A4102" s="28">
        <v>8708323</v>
      </c>
      <c r="B4102" s="26" t="s">
        <v>10228</v>
      </c>
    </row>
    <row r="4103" spans="1:2" x14ac:dyDescent="0.25">
      <c r="A4103" s="28">
        <v>8708333</v>
      </c>
      <c r="B4103" s="26" t="s">
        <v>12371</v>
      </c>
    </row>
    <row r="4104" spans="1:2" x14ac:dyDescent="0.25">
      <c r="A4104" s="28">
        <v>8708402</v>
      </c>
      <c r="B4104" s="26" t="s">
        <v>12053</v>
      </c>
    </row>
    <row r="4105" spans="1:2" x14ac:dyDescent="0.25">
      <c r="A4105" s="28">
        <v>8708426</v>
      </c>
      <c r="B4105" s="26" t="s">
        <v>12372</v>
      </c>
    </row>
    <row r="4106" spans="1:2" x14ac:dyDescent="0.25">
      <c r="A4106" s="28">
        <v>8708511</v>
      </c>
      <c r="B4106" s="26" t="s">
        <v>13226</v>
      </c>
    </row>
    <row r="4107" spans="1:2" x14ac:dyDescent="0.25">
      <c r="A4107" s="28">
        <v>8708536</v>
      </c>
      <c r="B4107" s="26" t="s">
        <v>10698</v>
      </c>
    </row>
    <row r="4108" spans="1:2" x14ac:dyDescent="0.25">
      <c r="A4108" s="28">
        <v>8708550</v>
      </c>
      <c r="B4108" s="26" t="s">
        <v>10223</v>
      </c>
    </row>
    <row r="4109" spans="1:2" x14ac:dyDescent="0.25">
      <c r="A4109" s="28">
        <v>8708551</v>
      </c>
      <c r="B4109" s="26" t="s">
        <v>12054</v>
      </c>
    </row>
    <row r="4110" spans="1:2" x14ac:dyDescent="0.25">
      <c r="A4110" s="28">
        <v>8708552</v>
      </c>
      <c r="B4110" s="26" t="s">
        <v>12055</v>
      </c>
    </row>
    <row r="4111" spans="1:2" x14ac:dyDescent="0.25">
      <c r="A4111" s="28">
        <v>8708553</v>
      </c>
      <c r="B4111" s="26" t="s">
        <v>9341</v>
      </c>
    </row>
    <row r="4112" spans="1:2" x14ac:dyDescent="0.25">
      <c r="A4112" s="28">
        <v>8708601</v>
      </c>
      <c r="B4112" s="26" t="s">
        <v>10206</v>
      </c>
    </row>
    <row r="4113" spans="1:2" x14ac:dyDescent="0.25">
      <c r="A4113" s="28">
        <v>8708602</v>
      </c>
      <c r="B4113" s="26" t="s">
        <v>10173</v>
      </c>
    </row>
    <row r="4114" spans="1:2" x14ac:dyDescent="0.25">
      <c r="A4114" s="28">
        <v>8708603</v>
      </c>
      <c r="B4114" s="26" t="s">
        <v>10200</v>
      </c>
    </row>
    <row r="4115" spans="1:2" x14ac:dyDescent="0.25">
      <c r="A4115" s="28">
        <v>8708604</v>
      </c>
      <c r="B4115" s="26" t="s">
        <v>10786</v>
      </c>
    </row>
    <row r="4116" spans="1:2" x14ac:dyDescent="0.25">
      <c r="A4116" s="28">
        <v>8708607</v>
      </c>
      <c r="B4116" s="26" t="s">
        <v>10188</v>
      </c>
    </row>
    <row r="4117" spans="1:2" x14ac:dyDescent="0.25">
      <c r="A4117" s="28">
        <v>8708608</v>
      </c>
      <c r="B4117" s="26" t="s">
        <v>10172</v>
      </c>
    </row>
    <row r="4118" spans="1:2" x14ac:dyDescent="0.25">
      <c r="A4118" s="28">
        <v>8708609</v>
      </c>
      <c r="B4118" s="26" t="s">
        <v>10199</v>
      </c>
    </row>
    <row r="4119" spans="1:2" x14ac:dyDescent="0.25">
      <c r="A4119" s="28">
        <v>8708610</v>
      </c>
      <c r="B4119" s="26" t="s">
        <v>10175</v>
      </c>
    </row>
    <row r="4120" spans="1:2" x14ac:dyDescent="0.25">
      <c r="A4120" s="28">
        <v>8708611</v>
      </c>
      <c r="B4120" s="26" t="s">
        <v>12373</v>
      </c>
    </row>
    <row r="4121" spans="1:2" x14ac:dyDescent="0.25">
      <c r="A4121" s="28">
        <v>8708615</v>
      </c>
      <c r="B4121" s="26" t="s">
        <v>12056</v>
      </c>
    </row>
    <row r="4122" spans="1:2" x14ac:dyDescent="0.25">
      <c r="A4122" s="28">
        <v>8708618</v>
      </c>
      <c r="B4122" s="26" t="s">
        <v>10181</v>
      </c>
    </row>
    <row r="4123" spans="1:2" x14ac:dyDescent="0.25">
      <c r="A4123" s="28">
        <v>8708620</v>
      </c>
      <c r="B4123" s="26" t="s">
        <v>10215</v>
      </c>
    </row>
    <row r="4124" spans="1:2" x14ac:dyDescent="0.25">
      <c r="A4124" s="28">
        <v>8708625</v>
      </c>
      <c r="B4124" s="26" t="s">
        <v>10180</v>
      </c>
    </row>
    <row r="4125" spans="1:2" x14ac:dyDescent="0.25">
      <c r="A4125" s="28">
        <v>8708628</v>
      </c>
      <c r="B4125" s="26" t="s">
        <v>10179</v>
      </c>
    </row>
    <row r="4126" spans="1:2" x14ac:dyDescent="0.25">
      <c r="A4126" s="28">
        <v>8708629</v>
      </c>
      <c r="B4126" s="26" t="s">
        <v>10187</v>
      </c>
    </row>
    <row r="4127" spans="1:2" x14ac:dyDescent="0.25">
      <c r="A4127" s="28">
        <v>8708630</v>
      </c>
      <c r="B4127" s="26" t="s">
        <v>9176</v>
      </c>
    </row>
    <row r="4128" spans="1:2" x14ac:dyDescent="0.25">
      <c r="A4128" s="28">
        <v>8708631</v>
      </c>
      <c r="B4128" s="26" t="s">
        <v>10204</v>
      </c>
    </row>
    <row r="4129" spans="1:2" x14ac:dyDescent="0.25">
      <c r="A4129" s="28">
        <v>8708634</v>
      </c>
      <c r="B4129" s="26" t="s">
        <v>10186</v>
      </c>
    </row>
    <row r="4130" spans="1:2" x14ac:dyDescent="0.25">
      <c r="A4130" s="28">
        <v>8708635</v>
      </c>
      <c r="B4130" s="26" t="s">
        <v>10176</v>
      </c>
    </row>
    <row r="4131" spans="1:2" x14ac:dyDescent="0.25">
      <c r="A4131" s="28">
        <v>8708637</v>
      </c>
      <c r="B4131" s="26" t="s">
        <v>10174</v>
      </c>
    </row>
    <row r="4132" spans="1:2" x14ac:dyDescent="0.25">
      <c r="A4132" s="28">
        <v>8708638</v>
      </c>
      <c r="B4132" s="26" t="s">
        <v>10183</v>
      </c>
    </row>
    <row r="4133" spans="1:2" x14ac:dyDescent="0.25">
      <c r="A4133" s="28">
        <v>8708639</v>
      </c>
      <c r="B4133" s="26" t="s">
        <v>9346</v>
      </c>
    </row>
    <row r="4134" spans="1:2" x14ac:dyDescent="0.25">
      <c r="A4134" s="28">
        <v>8708640</v>
      </c>
      <c r="B4134" s="26" t="s">
        <v>10207</v>
      </c>
    </row>
    <row r="4135" spans="1:2" x14ac:dyDescent="0.25">
      <c r="A4135" s="28">
        <v>8708643</v>
      </c>
      <c r="B4135" s="26" t="s">
        <v>10177</v>
      </c>
    </row>
    <row r="4136" spans="1:2" x14ac:dyDescent="0.25">
      <c r="A4136" s="28">
        <v>8708644</v>
      </c>
      <c r="B4136" s="26" t="s">
        <v>9345</v>
      </c>
    </row>
    <row r="4137" spans="1:2" x14ac:dyDescent="0.25">
      <c r="A4137" s="28">
        <v>8708651</v>
      </c>
      <c r="B4137" s="26" t="s">
        <v>12282</v>
      </c>
    </row>
    <row r="4138" spans="1:2" x14ac:dyDescent="0.25">
      <c r="A4138" s="28">
        <v>8708657</v>
      </c>
      <c r="B4138" s="26" t="s">
        <v>10184</v>
      </c>
    </row>
    <row r="4139" spans="1:2" x14ac:dyDescent="0.25">
      <c r="A4139" s="28">
        <v>8708774</v>
      </c>
      <c r="B4139" s="26" t="s">
        <v>10230</v>
      </c>
    </row>
    <row r="4140" spans="1:2" x14ac:dyDescent="0.25">
      <c r="A4140" s="28">
        <v>8708815</v>
      </c>
      <c r="B4140" s="26" t="s">
        <v>10702</v>
      </c>
    </row>
    <row r="4141" spans="1:2" x14ac:dyDescent="0.25">
      <c r="A4141" s="28">
        <v>8708888</v>
      </c>
      <c r="B4141" s="26" t="s">
        <v>9169</v>
      </c>
    </row>
    <row r="4142" spans="1:2" x14ac:dyDescent="0.25">
      <c r="A4142" s="28">
        <v>8708899</v>
      </c>
      <c r="B4142" s="26" t="s">
        <v>10198</v>
      </c>
    </row>
    <row r="4143" spans="1:2" x14ac:dyDescent="0.25">
      <c r="A4143" s="28">
        <v>8708900</v>
      </c>
      <c r="B4143" s="26" t="s">
        <v>10227</v>
      </c>
    </row>
    <row r="4144" spans="1:2" x14ac:dyDescent="0.25">
      <c r="A4144" s="28">
        <v>8708901</v>
      </c>
      <c r="B4144" s="26" t="s">
        <v>12057</v>
      </c>
    </row>
    <row r="4145" spans="1:2" x14ac:dyDescent="0.25">
      <c r="A4145" s="28">
        <v>8708907</v>
      </c>
      <c r="B4145" s="26" t="s">
        <v>12374</v>
      </c>
    </row>
    <row r="4146" spans="1:2" x14ac:dyDescent="0.25">
      <c r="A4146" s="28">
        <v>8708996</v>
      </c>
      <c r="B4146" s="26" t="s">
        <v>10238</v>
      </c>
    </row>
    <row r="4147" spans="1:2" x14ac:dyDescent="0.25">
      <c r="A4147" s="28">
        <v>8708997</v>
      </c>
      <c r="B4147" s="26" t="s">
        <v>10783</v>
      </c>
    </row>
    <row r="4148" spans="1:2" x14ac:dyDescent="0.25">
      <c r="A4148" s="28">
        <v>8708998</v>
      </c>
      <c r="B4148" s="26" t="s">
        <v>10222</v>
      </c>
    </row>
    <row r="4149" spans="1:2" x14ac:dyDescent="0.25">
      <c r="A4149" s="28">
        <v>8708999</v>
      </c>
      <c r="B4149" s="26" t="s">
        <v>9168</v>
      </c>
    </row>
    <row r="4150" spans="1:2" x14ac:dyDescent="0.25">
      <c r="A4150" s="28">
        <v>8709697</v>
      </c>
      <c r="B4150" s="26" t="s">
        <v>12058</v>
      </c>
    </row>
    <row r="4151" spans="1:2" x14ac:dyDescent="0.25">
      <c r="A4151" s="28">
        <v>8709698</v>
      </c>
      <c r="B4151" s="26" t="s">
        <v>8412</v>
      </c>
    </row>
    <row r="4152" spans="1:2" x14ac:dyDescent="0.25">
      <c r="A4152" s="28">
        <v>8709699</v>
      </c>
      <c r="B4152" s="26" t="s">
        <v>12059</v>
      </c>
    </row>
    <row r="4153" spans="1:2" x14ac:dyDescent="0.25">
      <c r="A4153" s="28">
        <v>8711047</v>
      </c>
      <c r="B4153" s="26" t="s">
        <v>10809</v>
      </c>
    </row>
    <row r="4154" spans="1:2" x14ac:dyDescent="0.25">
      <c r="A4154" s="28">
        <v>8711048</v>
      </c>
      <c r="B4154" s="26" t="s">
        <v>10807</v>
      </c>
    </row>
    <row r="4155" spans="1:2" x14ac:dyDescent="0.25">
      <c r="A4155" s="28">
        <v>8711049</v>
      </c>
      <c r="B4155" s="26" t="s">
        <v>10808</v>
      </c>
    </row>
    <row r="4156" spans="1:2" x14ac:dyDescent="0.25">
      <c r="A4156" s="28">
        <v>8711105</v>
      </c>
      <c r="B4156" s="26" t="s">
        <v>10812</v>
      </c>
    </row>
    <row r="4157" spans="1:2" x14ac:dyDescent="0.25">
      <c r="A4157" s="28">
        <v>8711700</v>
      </c>
      <c r="B4157" s="26" t="s">
        <v>10813</v>
      </c>
    </row>
    <row r="4158" spans="1:2" x14ac:dyDescent="0.25">
      <c r="A4158" s="28">
        <v>8711701</v>
      </c>
      <c r="B4158" s="26" t="s">
        <v>10811</v>
      </c>
    </row>
    <row r="4159" spans="1:2" x14ac:dyDescent="0.25">
      <c r="A4159" s="28">
        <v>8711702</v>
      </c>
      <c r="B4159" s="26" t="s">
        <v>10810</v>
      </c>
    </row>
    <row r="4160" spans="1:2" x14ac:dyDescent="0.25">
      <c r="A4160" s="28">
        <v>8711706</v>
      </c>
      <c r="B4160" s="26" t="s">
        <v>12060</v>
      </c>
    </row>
    <row r="4161" spans="1:2" x14ac:dyDescent="0.25">
      <c r="A4161" s="28">
        <v>8711707</v>
      </c>
      <c r="B4161" s="26" t="s">
        <v>12061</v>
      </c>
    </row>
    <row r="4162" spans="1:2" x14ac:dyDescent="0.25">
      <c r="A4162" s="28">
        <v>8715004</v>
      </c>
      <c r="B4162" s="26" t="s">
        <v>12062</v>
      </c>
    </row>
    <row r="4163" spans="1:2" x14ac:dyDescent="0.25">
      <c r="A4163" s="28">
        <v>8715803</v>
      </c>
      <c r="B4163" s="26" t="s">
        <v>10687</v>
      </c>
    </row>
    <row r="4164" spans="1:2" x14ac:dyDescent="0.25">
      <c r="A4164" s="28">
        <v>8717033</v>
      </c>
      <c r="B4164" s="26" t="s">
        <v>9742</v>
      </c>
    </row>
    <row r="4165" spans="1:2" x14ac:dyDescent="0.25">
      <c r="A4165" s="28">
        <v>8800000</v>
      </c>
      <c r="B4165" s="26" t="s">
        <v>12063</v>
      </c>
    </row>
    <row r="4166" spans="1:2" x14ac:dyDescent="0.25">
      <c r="A4166" s="28">
        <v>8800001</v>
      </c>
      <c r="B4166" s="26" t="s">
        <v>12064</v>
      </c>
    </row>
    <row r="4167" spans="1:2" x14ac:dyDescent="0.25">
      <c r="A4167" s="26" t="s">
        <v>12816</v>
      </c>
      <c r="B4167" s="27"/>
    </row>
    <row r="4168" spans="1:2" x14ac:dyDescent="0.25">
      <c r="A4168" s="28">
        <v>8800002</v>
      </c>
      <c r="B4168" s="26" t="s">
        <v>12065</v>
      </c>
    </row>
    <row r="4169" spans="1:2" x14ac:dyDescent="0.25">
      <c r="A4169" s="28">
        <v>8800003</v>
      </c>
      <c r="B4169" s="26" t="s">
        <v>12066</v>
      </c>
    </row>
    <row r="4170" spans="1:2" x14ac:dyDescent="0.25">
      <c r="A4170" s="28">
        <v>8815007</v>
      </c>
      <c r="B4170" s="26" t="s">
        <v>9087</v>
      </c>
    </row>
    <row r="4171" spans="1:2" x14ac:dyDescent="0.25">
      <c r="A4171" s="28">
        <v>8857004</v>
      </c>
      <c r="B4171" s="26" t="s">
        <v>10794</v>
      </c>
    </row>
    <row r="4172" spans="1:2" x14ac:dyDescent="0.25">
      <c r="A4172" s="28">
        <v>8857005</v>
      </c>
      <c r="B4172" s="26" t="s">
        <v>8400</v>
      </c>
    </row>
    <row r="4173" spans="1:2" x14ac:dyDescent="0.25">
      <c r="A4173" s="28">
        <v>8857829</v>
      </c>
      <c r="B4173" s="26" t="s">
        <v>10310</v>
      </c>
    </row>
    <row r="4174" spans="1:2" x14ac:dyDescent="0.25">
      <c r="A4174" s="28">
        <v>8858005</v>
      </c>
      <c r="B4174" s="26" t="s">
        <v>9087</v>
      </c>
    </row>
    <row r="4175" spans="1:2" x14ac:dyDescent="0.25">
      <c r="A4175" s="28">
        <v>8888001</v>
      </c>
      <c r="B4175" s="26" t="s">
        <v>9115</v>
      </c>
    </row>
    <row r="4176" spans="1:2" x14ac:dyDescent="0.25">
      <c r="A4176" s="28">
        <v>8888002</v>
      </c>
      <c r="B4176" s="26" t="s">
        <v>9112</v>
      </c>
    </row>
    <row r="4177" spans="1:2" x14ac:dyDescent="0.25">
      <c r="A4177" s="28">
        <v>8888003</v>
      </c>
      <c r="B4177" s="26" t="s">
        <v>12067</v>
      </c>
    </row>
    <row r="4178" spans="1:2" x14ac:dyDescent="0.25">
      <c r="A4178" s="28">
        <v>8888004</v>
      </c>
      <c r="B4178" s="26" t="s">
        <v>8808</v>
      </c>
    </row>
    <row r="4179" spans="1:2" x14ac:dyDescent="0.25">
      <c r="A4179" s="28">
        <v>8888005</v>
      </c>
      <c r="B4179" s="26" t="s">
        <v>12068</v>
      </c>
    </row>
    <row r="4180" spans="1:2" x14ac:dyDescent="0.25">
      <c r="A4180" s="28">
        <v>8888006</v>
      </c>
      <c r="B4180" s="26" t="s">
        <v>12069</v>
      </c>
    </row>
    <row r="4181" spans="1:2" x14ac:dyDescent="0.25">
      <c r="A4181" s="28">
        <v>8888007</v>
      </c>
      <c r="B4181" s="26" t="s">
        <v>12070</v>
      </c>
    </row>
    <row r="4182" spans="1:2" x14ac:dyDescent="0.25">
      <c r="A4182" s="28">
        <v>8888008</v>
      </c>
      <c r="B4182" s="26" t="s">
        <v>12071</v>
      </c>
    </row>
    <row r="4183" spans="1:2" x14ac:dyDescent="0.25">
      <c r="A4183" s="28">
        <v>8888009</v>
      </c>
      <c r="B4183" s="26" t="s">
        <v>8804</v>
      </c>
    </row>
    <row r="4184" spans="1:2" x14ac:dyDescent="0.25">
      <c r="A4184" s="28">
        <v>8888010</v>
      </c>
      <c r="B4184" s="26" t="s">
        <v>8803</v>
      </c>
    </row>
    <row r="4185" spans="1:2" x14ac:dyDescent="0.25">
      <c r="A4185" s="28">
        <v>8888011</v>
      </c>
      <c r="B4185" s="26" t="s">
        <v>12072</v>
      </c>
    </row>
    <row r="4186" spans="1:2" x14ac:dyDescent="0.25">
      <c r="A4186" s="28">
        <v>8888012</v>
      </c>
      <c r="B4186" s="26" t="s">
        <v>8806</v>
      </c>
    </row>
    <row r="4187" spans="1:2" x14ac:dyDescent="0.25">
      <c r="A4187" s="28">
        <v>8888013</v>
      </c>
      <c r="B4187" s="26" t="s">
        <v>12073</v>
      </c>
    </row>
    <row r="4188" spans="1:2" x14ac:dyDescent="0.25">
      <c r="A4188" s="28">
        <v>8888014</v>
      </c>
      <c r="B4188" s="26" t="s">
        <v>12074</v>
      </c>
    </row>
    <row r="4189" spans="1:2" x14ac:dyDescent="0.25">
      <c r="A4189" s="28">
        <v>8888015</v>
      </c>
      <c r="B4189" s="26" t="s">
        <v>12075</v>
      </c>
    </row>
    <row r="4190" spans="1:2" x14ac:dyDescent="0.25">
      <c r="A4190" s="28">
        <v>8888016</v>
      </c>
      <c r="B4190" s="26" t="s">
        <v>12076</v>
      </c>
    </row>
    <row r="4191" spans="1:2" x14ac:dyDescent="0.25">
      <c r="A4191" s="28">
        <v>8888017</v>
      </c>
      <c r="B4191" s="26" t="s">
        <v>12077</v>
      </c>
    </row>
    <row r="4192" spans="1:2" x14ac:dyDescent="0.25">
      <c r="A4192" s="28">
        <v>8888018</v>
      </c>
      <c r="B4192" s="26" t="s">
        <v>12078</v>
      </c>
    </row>
    <row r="4193" spans="1:2" x14ac:dyDescent="0.25">
      <c r="A4193" s="28">
        <v>8888019</v>
      </c>
      <c r="B4193" s="26" t="s">
        <v>12079</v>
      </c>
    </row>
    <row r="4194" spans="1:2" x14ac:dyDescent="0.25">
      <c r="A4194" s="28">
        <v>8888020</v>
      </c>
      <c r="B4194" s="26" t="s">
        <v>12080</v>
      </c>
    </row>
    <row r="4195" spans="1:2" x14ac:dyDescent="0.25">
      <c r="A4195" s="28">
        <v>8888021</v>
      </c>
      <c r="B4195" s="26" t="s">
        <v>8805</v>
      </c>
    </row>
    <row r="4196" spans="1:2" x14ac:dyDescent="0.25">
      <c r="A4196" s="28">
        <v>8888022</v>
      </c>
      <c r="B4196" s="26" t="s">
        <v>12081</v>
      </c>
    </row>
    <row r="4197" spans="1:2" x14ac:dyDescent="0.25">
      <c r="A4197" s="28">
        <v>8888023</v>
      </c>
      <c r="B4197" s="26" t="s">
        <v>8807</v>
      </c>
    </row>
    <row r="4198" spans="1:2" x14ac:dyDescent="0.25">
      <c r="A4198" s="28">
        <v>8888024</v>
      </c>
      <c r="B4198" s="26" t="s">
        <v>12082</v>
      </c>
    </row>
    <row r="4199" spans="1:2" x14ac:dyDescent="0.25">
      <c r="A4199" s="28">
        <v>8888025</v>
      </c>
      <c r="B4199" s="26" t="s">
        <v>12083</v>
      </c>
    </row>
    <row r="4200" spans="1:2" x14ac:dyDescent="0.25">
      <c r="A4200" s="28">
        <v>8888026</v>
      </c>
      <c r="B4200" s="26" t="s">
        <v>12084</v>
      </c>
    </row>
    <row r="4201" spans="1:2" x14ac:dyDescent="0.25">
      <c r="A4201" s="28">
        <v>8888027</v>
      </c>
      <c r="B4201" s="26" t="s">
        <v>12085</v>
      </c>
    </row>
    <row r="4202" spans="1:2" x14ac:dyDescent="0.25">
      <c r="A4202" s="28">
        <v>8888028</v>
      </c>
      <c r="B4202" s="26" t="s">
        <v>12086</v>
      </c>
    </row>
    <row r="4203" spans="1:2" x14ac:dyDescent="0.25">
      <c r="A4203" s="28">
        <v>8888029</v>
      </c>
      <c r="B4203" s="26" t="s">
        <v>12087</v>
      </c>
    </row>
    <row r="4204" spans="1:2" x14ac:dyDescent="0.25">
      <c r="A4204" s="28">
        <v>8888030</v>
      </c>
      <c r="B4204" s="26" t="s">
        <v>12088</v>
      </c>
    </row>
    <row r="4205" spans="1:2" x14ac:dyDescent="0.25">
      <c r="A4205" s="28">
        <v>8888031</v>
      </c>
      <c r="B4205" s="26" t="s">
        <v>9114</v>
      </c>
    </row>
    <row r="4206" spans="1:2" x14ac:dyDescent="0.25">
      <c r="A4206" s="28">
        <v>8888032</v>
      </c>
      <c r="B4206" s="26" t="s">
        <v>9113</v>
      </c>
    </row>
    <row r="4207" spans="1:2" x14ac:dyDescent="0.25">
      <c r="A4207" s="28">
        <v>8888034</v>
      </c>
      <c r="B4207" s="26" t="s">
        <v>12089</v>
      </c>
    </row>
    <row r="4208" spans="1:2" x14ac:dyDescent="0.25">
      <c r="A4208" s="28">
        <v>8888035</v>
      </c>
      <c r="B4208" s="26" t="s">
        <v>8802</v>
      </c>
    </row>
    <row r="4209" spans="1:2" x14ac:dyDescent="0.25">
      <c r="A4209" s="28">
        <v>8888036</v>
      </c>
      <c r="B4209" s="26" t="s">
        <v>12280</v>
      </c>
    </row>
    <row r="4210" spans="1:2" x14ac:dyDescent="0.25">
      <c r="A4210" s="28">
        <v>8888037</v>
      </c>
      <c r="B4210" s="26" t="s">
        <v>12817</v>
      </c>
    </row>
    <row r="4211" spans="1:2" x14ac:dyDescent="0.25">
      <c r="A4211" s="28">
        <v>9000001</v>
      </c>
      <c r="B4211" s="26" t="s">
        <v>12090</v>
      </c>
    </row>
    <row r="4212" spans="1:2" x14ac:dyDescent="0.25">
      <c r="A4212" s="28">
        <v>9000002</v>
      </c>
      <c r="B4212" s="26" t="s">
        <v>10011</v>
      </c>
    </row>
    <row r="4213" spans="1:2" x14ac:dyDescent="0.25">
      <c r="A4213" s="28">
        <v>9000003</v>
      </c>
      <c r="B4213" s="26" t="s">
        <v>10010</v>
      </c>
    </row>
    <row r="4214" spans="1:2" x14ac:dyDescent="0.25">
      <c r="A4214" s="28">
        <v>9000004</v>
      </c>
      <c r="B4214" s="26" t="s">
        <v>12091</v>
      </c>
    </row>
    <row r="4215" spans="1:2" x14ac:dyDescent="0.25">
      <c r="A4215" s="28">
        <v>9000005</v>
      </c>
      <c r="B4215" s="26" t="s">
        <v>12092</v>
      </c>
    </row>
    <row r="4216" spans="1:2" x14ac:dyDescent="0.25">
      <c r="A4216" s="28">
        <v>9000006</v>
      </c>
      <c r="B4216" s="26" t="s">
        <v>12093</v>
      </c>
    </row>
    <row r="4217" spans="1:2" x14ac:dyDescent="0.25">
      <c r="A4217" s="28">
        <v>9003001</v>
      </c>
      <c r="B4217" s="26" t="s">
        <v>10030</v>
      </c>
    </row>
    <row r="4218" spans="1:2" x14ac:dyDescent="0.25">
      <c r="A4218" s="28">
        <v>9003002</v>
      </c>
      <c r="B4218" s="26" t="s">
        <v>10031</v>
      </c>
    </row>
    <row r="4219" spans="1:2" x14ac:dyDescent="0.25">
      <c r="A4219" s="28">
        <v>9003003</v>
      </c>
      <c r="B4219" s="26" t="s">
        <v>10034</v>
      </c>
    </row>
    <row r="4220" spans="1:2" x14ac:dyDescent="0.25">
      <c r="A4220" s="28">
        <v>9003004</v>
      </c>
      <c r="B4220" s="26" t="s">
        <v>10035</v>
      </c>
    </row>
    <row r="4221" spans="1:2" x14ac:dyDescent="0.25">
      <c r="A4221" s="28">
        <v>9003005</v>
      </c>
      <c r="B4221" s="26" t="s">
        <v>10036</v>
      </c>
    </row>
    <row r="4222" spans="1:2" x14ac:dyDescent="0.25">
      <c r="A4222" s="28">
        <v>9003006</v>
      </c>
      <c r="B4222" s="26" t="s">
        <v>10051</v>
      </c>
    </row>
    <row r="4223" spans="1:2" x14ac:dyDescent="0.25">
      <c r="A4223" s="28">
        <v>9003007</v>
      </c>
      <c r="B4223" s="26" t="s">
        <v>10038</v>
      </c>
    </row>
    <row r="4224" spans="1:2" x14ac:dyDescent="0.25">
      <c r="A4224" s="28">
        <v>9003008</v>
      </c>
      <c r="B4224" s="26" t="s">
        <v>10037</v>
      </c>
    </row>
    <row r="4225" spans="1:2" x14ac:dyDescent="0.25">
      <c r="A4225" s="28">
        <v>9003009</v>
      </c>
      <c r="B4225" s="26" t="s">
        <v>10039</v>
      </c>
    </row>
    <row r="4226" spans="1:2" x14ac:dyDescent="0.25">
      <c r="A4226" s="28">
        <v>9003010</v>
      </c>
      <c r="B4226" s="26" t="s">
        <v>10042</v>
      </c>
    </row>
    <row r="4227" spans="1:2" x14ac:dyDescent="0.25">
      <c r="A4227" s="28">
        <v>9003011</v>
      </c>
      <c r="B4227" s="26" t="s">
        <v>10040</v>
      </c>
    </row>
    <row r="4228" spans="1:2" x14ac:dyDescent="0.25">
      <c r="A4228" s="28">
        <v>9003012</v>
      </c>
      <c r="B4228" s="26" t="s">
        <v>10041</v>
      </c>
    </row>
    <row r="4229" spans="1:2" x14ac:dyDescent="0.25">
      <c r="A4229" s="28">
        <v>9003013</v>
      </c>
      <c r="B4229" s="26" t="s">
        <v>12094</v>
      </c>
    </row>
    <row r="4230" spans="1:2" x14ac:dyDescent="0.25">
      <c r="A4230" s="28">
        <v>9003014</v>
      </c>
      <c r="B4230" s="26" t="s">
        <v>10043</v>
      </c>
    </row>
    <row r="4231" spans="1:2" x14ac:dyDescent="0.25">
      <c r="A4231" s="28">
        <v>9003015</v>
      </c>
      <c r="B4231" s="26" t="s">
        <v>10052</v>
      </c>
    </row>
    <row r="4232" spans="1:2" x14ac:dyDescent="0.25">
      <c r="A4232" s="28">
        <v>9003016</v>
      </c>
      <c r="B4232" s="26" t="s">
        <v>12095</v>
      </c>
    </row>
    <row r="4233" spans="1:2" x14ac:dyDescent="0.25">
      <c r="A4233" s="28">
        <v>9003017</v>
      </c>
      <c r="B4233" s="26" t="s">
        <v>10044</v>
      </c>
    </row>
    <row r="4234" spans="1:2" x14ac:dyDescent="0.25">
      <c r="A4234" s="28">
        <v>9003018</v>
      </c>
      <c r="B4234" s="26" t="s">
        <v>10045</v>
      </c>
    </row>
    <row r="4235" spans="1:2" x14ac:dyDescent="0.25">
      <c r="A4235" s="28">
        <v>9003019</v>
      </c>
      <c r="B4235" s="26" t="s">
        <v>12096</v>
      </c>
    </row>
    <row r="4236" spans="1:2" x14ac:dyDescent="0.25">
      <c r="A4236" s="28">
        <v>9003020</v>
      </c>
      <c r="B4236" s="26" t="s">
        <v>10046</v>
      </c>
    </row>
    <row r="4237" spans="1:2" x14ac:dyDescent="0.25">
      <c r="A4237" s="28">
        <v>9003021</v>
      </c>
      <c r="B4237" s="26" t="s">
        <v>10047</v>
      </c>
    </row>
    <row r="4238" spans="1:2" x14ac:dyDescent="0.25">
      <c r="A4238" s="28">
        <v>9003022</v>
      </c>
      <c r="B4238" s="26" t="s">
        <v>10048</v>
      </c>
    </row>
    <row r="4239" spans="1:2" x14ac:dyDescent="0.25">
      <c r="A4239" s="28">
        <v>9003023</v>
      </c>
      <c r="B4239" s="26" t="s">
        <v>12097</v>
      </c>
    </row>
    <row r="4240" spans="1:2" x14ac:dyDescent="0.25">
      <c r="A4240" s="28">
        <v>9003024</v>
      </c>
      <c r="B4240" s="26" t="s">
        <v>10052</v>
      </c>
    </row>
    <row r="4241" spans="1:2" x14ac:dyDescent="0.25">
      <c r="A4241" s="28">
        <v>9003025</v>
      </c>
      <c r="B4241" s="26" t="s">
        <v>12281</v>
      </c>
    </row>
    <row r="4242" spans="1:2" x14ac:dyDescent="0.25">
      <c r="A4242" s="28">
        <v>9003026</v>
      </c>
      <c r="B4242" s="26" t="s">
        <v>10028</v>
      </c>
    </row>
    <row r="4243" spans="1:2" x14ac:dyDescent="0.25">
      <c r="A4243" s="28">
        <v>9003090</v>
      </c>
      <c r="B4243" s="26" t="s">
        <v>10049</v>
      </c>
    </row>
    <row r="4244" spans="1:2" x14ac:dyDescent="0.25">
      <c r="A4244" s="28">
        <v>9003100</v>
      </c>
      <c r="B4244" s="26" t="s">
        <v>10032</v>
      </c>
    </row>
    <row r="4245" spans="1:2" x14ac:dyDescent="0.25">
      <c r="A4245" s="28">
        <v>9003101</v>
      </c>
      <c r="B4245" s="26" t="s">
        <v>10033</v>
      </c>
    </row>
    <row r="4246" spans="1:2" x14ac:dyDescent="0.25">
      <c r="A4246" s="28">
        <v>9003417</v>
      </c>
      <c r="B4246" s="26" t="s">
        <v>10029</v>
      </c>
    </row>
    <row r="4247" spans="1:2" x14ac:dyDescent="0.25">
      <c r="A4247" s="28">
        <v>9003710</v>
      </c>
      <c r="B4247" s="26" t="s">
        <v>12098</v>
      </c>
    </row>
    <row r="4248" spans="1:2" x14ac:dyDescent="0.25">
      <c r="A4248" s="26" t="s">
        <v>12818</v>
      </c>
      <c r="B4248" s="27"/>
    </row>
    <row r="4249" spans="1:2" x14ac:dyDescent="0.25">
      <c r="A4249" s="28">
        <v>9003976</v>
      </c>
      <c r="B4249" s="26" t="s">
        <v>12099</v>
      </c>
    </row>
    <row r="4250" spans="1:2" x14ac:dyDescent="0.25">
      <c r="A4250" s="28">
        <v>900397601</v>
      </c>
      <c r="B4250" s="26" t="s">
        <v>12100</v>
      </c>
    </row>
    <row r="4251" spans="1:2" x14ac:dyDescent="0.25">
      <c r="A4251" s="26" t="s">
        <v>12819</v>
      </c>
      <c r="B4251" s="27"/>
    </row>
    <row r="4252" spans="1:2" x14ac:dyDescent="0.25">
      <c r="A4252" s="28">
        <v>900397602</v>
      </c>
      <c r="B4252" s="26" t="s">
        <v>12101</v>
      </c>
    </row>
    <row r="4253" spans="1:2" x14ac:dyDescent="0.25">
      <c r="A4253" s="26" t="s">
        <v>12820</v>
      </c>
      <c r="B4253" s="27"/>
    </row>
    <row r="4254" spans="1:2" x14ac:dyDescent="0.25">
      <c r="A4254" s="28">
        <v>9003978</v>
      </c>
      <c r="B4254" s="26" t="s">
        <v>10050</v>
      </c>
    </row>
    <row r="4255" spans="1:2" x14ac:dyDescent="0.25">
      <c r="A4255" s="28">
        <v>900397801</v>
      </c>
      <c r="B4255" s="26" t="s">
        <v>12102</v>
      </c>
    </row>
    <row r="4256" spans="1:2" x14ac:dyDescent="0.25">
      <c r="A4256" s="26" t="s">
        <v>12821</v>
      </c>
      <c r="B4256" s="27"/>
    </row>
    <row r="4257" spans="1:2" x14ac:dyDescent="0.25">
      <c r="A4257" s="28">
        <v>900397802</v>
      </c>
      <c r="B4257" s="26" t="s">
        <v>12103</v>
      </c>
    </row>
    <row r="4258" spans="1:2" x14ac:dyDescent="0.25">
      <c r="A4258" s="26" t="s">
        <v>12822</v>
      </c>
      <c r="B4258" s="27"/>
    </row>
    <row r="4259" spans="1:2" x14ac:dyDescent="0.25">
      <c r="A4259" s="28">
        <v>9003981</v>
      </c>
      <c r="B4259" s="26" t="s">
        <v>12104</v>
      </c>
    </row>
    <row r="4260" spans="1:2" x14ac:dyDescent="0.25">
      <c r="A4260" s="28">
        <v>9003985</v>
      </c>
      <c r="B4260" s="26" t="s">
        <v>12105</v>
      </c>
    </row>
    <row r="4261" spans="1:2" x14ac:dyDescent="0.25">
      <c r="A4261" s="28">
        <v>900398501</v>
      </c>
      <c r="B4261" s="26" t="s">
        <v>12106</v>
      </c>
    </row>
    <row r="4262" spans="1:2" x14ac:dyDescent="0.25">
      <c r="A4262" s="26" t="s">
        <v>12823</v>
      </c>
      <c r="B4262" s="27"/>
    </row>
    <row r="4263" spans="1:2" x14ac:dyDescent="0.25">
      <c r="A4263" s="28">
        <v>900398502</v>
      </c>
      <c r="B4263" s="26" t="s">
        <v>12107</v>
      </c>
    </row>
    <row r="4264" spans="1:2" x14ac:dyDescent="0.25">
      <c r="A4264" s="26" t="s">
        <v>12824</v>
      </c>
      <c r="B4264" s="27"/>
    </row>
    <row r="4265" spans="1:2" x14ac:dyDescent="0.25">
      <c r="A4265" s="26" t="s">
        <v>12825</v>
      </c>
      <c r="B4265" s="27"/>
    </row>
    <row r="4266" spans="1:2" x14ac:dyDescent="0.25">
      <c r="A4266" s="28">
        <v>9003986</v>
      </c>
      <c r="B4266" s="26" t="s">
        <v>12108</v>
      </c>
    </row>
    <row r="4267" spans="1:2" x14ac:dyDescent="0.25">
      <c r="A4267" s="28">
        <v>9003988</v>
      </c>
      <c r="B4267" s="26" t="s">
        <v>12109</v>
      </c>
    </row>
    <row r="4268" spans="1:2" x14ac:dyDescent="0.25">
      <c r="A4268" s="28">
        <v>9003993</v>
      </c>
      <c r="B4268" s="26" t="s">
        <v>12110</v>
      </c>
    </row>
    <row r="4269" spans="1:2" x14ac:dyDescent="0.25">
      <c r="A4269" s="28">
        <v>900399301</v>
      </c>
      <c r="B4269" s="26" t="s">
        <v>12111</v>
      </c>
    </row>
    <row r="4270" spans="1:2" x14ac:dyDescent="0.25">
      <c r="A4270" s="28">
        <v>900399302</v>
      </c>
      <c r="B4270" s="26" t="s">
        <v>12112</v>
      </c>
    </row>
    <row r="4271" spans="1:2" x14ac:dyDescent="0.25">
      <c r="A4271" s="28">
        <v>900697601</v>
      </c>
      <c r="B4271" s="26" t="s">
        <v>12100</v>
      </c>
    </row>
    <row r="4272" spans="1:2" x14ac:dyDescent="0.25">
      <c r="A4272" s="26" t="s">
        <v>12826</v>
      </c>
      <c r="B4272" s="27"/>
    </row>
    <row r="4273" spans="1:2" x14ac:dyDescent="0.25">
      <c r="A4273" s="28">
        <v>9010000</v>
      </c>
      <c r="B4273" s="26" t="s">
        <v>12113</v>
      </c>
    </row>
    <row r="4274" spans="1:2" x14ac:dyDescent="0.25">
      <c r="A4274" s="26" t="s">
        <v>12827</v>
      </c>
      <c r="B4274" s="27"/>
    </row>
    <row r="4275" spans="1:2" x14ac:dyDescent="0.25">
      <c r="A4275" s="28">
        <v>9010001</v>
      </c>
      <c r="B4275" s="26" t="s">
        <v>12114</v>
      </c>
    </row>
    <row r="4276" spans="1:2" x14ac:dyDescent="0.25">
      <c r="A4276" s="26" t="s">
        <v>12828</v>
      </c>
      <c r="B4276" s="27"/>
    </row>
    <row r="4277" spans="1:2" x14ac:dyDescent="0.25">
      <c r="A4277" s="28">
        <v>9010002</v>
      </c>
      <c r="B4277" s="26" t="s">
        <v>12115</v>
      </c>
    </row>
    <row r="4278" spans="1:2" x14ac:dyDescent="0.25">
      <c r="A4278" s="26" t="s">
        <v>12829</v>
      </c>
      <c r="B4278" s="27"/>
    </row>
    <row r="4279" spans="1:2" x14ac:dyDescent="0.25">
      <c r="A4279" s="28">
        <v>9010003</v>
      </c>
      <c r="B4279" s="26" t="s">
        <v>12116</v>
      </c>
    </row>
    <row r="4280" spans="1:2" x14ac:dyDescent="0.25">
      <c r="A4280" s="26" t="s">
        <v>12830</v>
      </c>
      <c r="B4280" s="27"/>
    </row>
    <row r="4281" spans="1:2" x14ac:dyDescent="0.25">
      <c r="A4281" s="28">
        <v>9010004</v>
      </c>
      <c r="B4281" s="26" t="s">
        <v>12117</v>
      </c>
    </row>
    <row r="4282" spans="1:2" x14ac:dyDescent="0.25">
      <c r="A4282" s="26" t="s">
        <v>12831</v>
      </c>
      <c r="B4282" s="27"/>
    </row>
    <row r="4283" spans="1:2" x14ac:dyDescent="0.25">
      <c r="A4283" s="28">
        <v>9010005</v>
      </c>
      <c r="B4283" s="26" t="s">
        <v>12118</v>
      </c>
    </row>
    <row r="4284" spans="1:2" x14ac:dyDescent="0.25">
      <c r="A4284" s="26" t="s">
        <v>12832</v>
      </c>
      <c r="B4284" s="27"/>
    </row>
    <row r="4285" spans="1:2" x14ac:dyDescent="0.25">
      <c r="A4285" s="28">
        <v>9010840</v>
      </c>
      <c r="B4285" s="26" t="s">
        <v>12119</v>
      </c>
    </row>
    <row r="4286" spans="1:2" x14ac:dyDescent="0.25">
      <c r="A4286" s="26" t="s">
        <v>12833</v>
      </c>
      <c r="B4286" s="27"/>
    </row>
    <row r="4287" spans="1:2" x14ac:dyDescent="0.25">
      <c r="A4287" s="28">
        <v>9010841</v>
      </c>
      <c r="B4287" s="26" t="s">
        <v>12120</v>
      </c>
    </row>
    <row r="4288" spans="1:2" x14ac:dyDescent="0.25">
      <c r="A4288" s="26" t="s">
        <v>12834</v>
      </c>
      <c r="B4288" s="27"/>
    </row>
    <row r="4289" spans="1:2" x14ac:dyDescent="0.25">
      <c r="A4289" s="28">
        <v>9709018</v>
      </c>
      <c r="B4289" s="26" t="s">
        <v>9087</v>
      </c>
    </row>
    <row r="4290" spans="1:2" x14ac:dyDescent="0.25">
      <c r="A4290" s="26" t="s">
        <v>12835</v>
      </c>
      <c r="B4290" s="27"/>
    </row>
    <row r="4291" spans="1:2" x14ac:dyDescent="0.25">
      <c r="A4291" s="28">
        <v>9716020</v>
      </c>
      <c r="B4291" s="26" t="s">
        <v>12121</v>
      </c>
    </row>
    <row r="4292" spans="1:2" x14ac:dyDescent="0.25">
      <c r="A4292" s="26" t="s">
        <v>12836</v>
      </c>
      <c r="B4292" s="27"/>
    </row>
    <row r="4293" spans="1:2" x14ac:dyDescent="0.25">
      <c r="A4293" s="28">
        <v>9716021</v>
      </c>
      <c r="B4293" s="26" t="s">
        <v>12122</v>
      </c>
    </row>
    <row r="4294" spans="1:2" x14ac:dyDescent="0.25">
      <c r="A4294" s="26" t="s">
        <v>12837</v>
      </c>
      <c r="B4294" s="27"/>
    </row>
    <row r="4295" spans="1:2" x14ac:dyDescent="0.25">
      <c r="A4295" s="28">
        <v>9859017</v>
      </c>
      <c r="B4295" s="26" t="s">
        <v>12123</v>
      </c>
    </row>
    <row r="4296" spans="1:2" x14ac:dyDescent="0.25">
      <c r="A4296" s="26" t="s">
        <v>12838</v>
      </c>
      <c r="B4296" s="27"/>
    </row>
    <row r="4297" spans="1:2" x14ac:dyDescent="0.25">
      <c r="A4297" s="28">
        <v>999</v>
      </c>
      <c r="B4297" s="26" t="s">
        <v>12839</v>
      </c>
    </row>
    <row r="4298" spans="1:2" x14ac:dyDescent="0.25">
      <c r="A4298" s="28">
        <v>9999000</v>
      </c>
      <c r="B4298" s="26" t="s">
        <v>12124</v>
      </c>
    </row>
    <row r="4299" spans="1:2" x14ac:dyDescent="0.25">
      <c r="A4299" s="28">
        <v>9999022</v>
      </c>
      <c r="B4299" s="26" t="s">
        <v>12125</v>
      </c>
    </row>
    <row r="4300" spans="1:2" x14ac:dyDescent="0.25">
      <c r="A4300" s="26" t="s">
        <v>12840</v>
      </c>
      <c r="B4300" s="27"/>
    </row>
    <row r="4301" spans="1:2" x14ac:dyDescent="0.25">
      <c r="A4301" s="28">
        <v>9999025</v>
      </c>
      <c r="B4301" s="26" t="s">
        <v>8382</v>
      </c>
    </row>
    <row r="4302" spans="1:2" x14ac:dyDescent="0.25">
      <c r="A4302" s="28">
        <v>9999026</v>
      </c>
      <c r="B4302" s="26" t="s">
        <v>12126</v>
      </c>
    </row>
    <row r="4303" spans="1:2" x14ac:dyDescent="0.25">
      <c r="A4303" s="26" t="s">
        <v>12841</v>
      </c>
      <c r="B4303" s="27"/>
    </row>
    <row r="4304" spans="1:2" x14ac:dyDescent="0.25">
      <c r="A4304" s="28">
        <v>9999050</v>
      </c>
      <c r="B4304" s="26" t="s">
        <v>12127</v>
      </c>
    </row>
    <row r="4305" spans="1:2" x14ac:dyDescent="0.25">
      <c r="A4305" s="26" t="s">
        <v>12842</v>
      </c>
      <c r="B4305" s="27"/>
    </row>
    <row r="4306" spans="1:2" x14ac:dyDescent="0.25">
      <c r="A4306" s="28">
        <v>9999075</v>
      </c>
      <c r="B4306" s="26" t="s">
        <v>12128</v>
      </c>
    </row>
    <row r="4307" spans="1:2" x14ac:dyDescent="0.25">
      <c r="A4307" s="26" t="s">
        <v>12843</v>
      </c>
      <c r="B4307" s="27"/>
    </row>
    <row r="4308" spans="1:2" x14ac:dyDescent="0.25">
      <c r="A4308" s="26" t="s">
        <v>12844</v>
      </c>
      <c r="B4308" s="26" t="s">
        <v>12845</v>
      </c>
    </row>
    <row r="4309" spans="1:2" x14ac:dyDescent="0.25">
      <c r="A4309" s="26" t="s">
        <v>12846</v>
      </c>
      <c r="B4309" s="26" t="s">
        <v>12847</v>
      </c>
    </row>
    <row r="4310" spans="1:2" x14ac:dyDescent="0.25">
      <c r="A4310" s="26" t="s">
        <v>12848</v>
      </c>
      <c r="B4310" s="26" t="s">
        <v>12849</v>
      </c>
    </row>
    <row r="4311" spans="1:2" x14ac:dyDescent="0.25">
      <c r="A4311" s="26" t="s">
        <v>12850</v>
      </c>
      <c r="B4311" s="26" t="s">
        <v>12851</v>
      </c>
    </row>
    <row r="4312" spans="1:2" x14ac:dyDescent="0.25">
      <c r="A4312" s="26" t="s">
        <v>12852</v>
      </c>
      <c r="B4312" s="26" t="s">
        <v>12853</v>
      </c>
    </row>
    <row r="4313" spans="1:2" x14ac:dyDescent="0.25">
      <c r="A4313" s="26" t="s">
        <v>12854</v>
      </c>
      <c r="B4313" s="26" t="s">
        <v>12855</v>
      </c>
    </row>
    <row r="4314" spans="1:2" x14ac:dyDescent="0.25">
      <c r="A4314" s="26" t="s">
        <v>12856</v>
      </c>
      <c r="B4314" s="26" t="s">
        <v>12857</v>
      </c>
    </row>
    <row r="4315" spans="1:2" x14ac:dyDescent="0.25">
      <c r="A4315" s="26" t="s">
        <v>12858</v>
      </c>
      <c r="B4315" s="26" t="s">
        <v>12859</v>
      </c>
    </row>
    <row r="4316" spans="1:2" x14ac:dyDescent="0.25">
      <c r="A4316" s="26" t="s">
        <v>12860</v>
      </c>
      <c r="B4316" s="26" t="s">
        <v>12861</v>
      </c>
    </row>
    <row r="4317" spans="1:2" x14ac:dyDescent="0.25">
      <c r="A4317" s="26" t="s">
        <v>12862</v>
      </c>
      <c r="B4317" s="26" t="s">
        <v>12863</v>
      </c>
    </row>
    <row r="4318" spans="1:2" x14ac:dyDescent="0.25">
      <c r="A4318" s="26" t="s">
        <v>12864</v>
      </c>
      <c r="B4318" s="26" t="s">
        <v>12865</v>
      </c>
    </row>
    <row r="4319" spans="1:2" x14ac:dyDescent="0.25">
      <c r="A4319" s="26" t="s">
        <v>12866</v>
      </c>
      <c r="B4319" s="26" t="s">
        <v>12867</v>
      </c>
    </row>
    <row r="4320" spans="1:2" x14ac:dyDescent="0.25">
      <c r="A4320" s="26" t="s">
        <v>12868</v>
      </c>
      <c r="B4320" s="26" t="s">
        <v>12869</v>
      </c>
    </row>
    <row r="4321" spans="1:2" x14ac:dyDescent="0.25">
      <c r="A4321" s="26" t="s">
        <v>12870</v>
      </c>
      <c r="B4321" s="26" t="s">
        <v>12871</v>
      </c>
    </row>
    <row r="4322" spans="1:2" x14ac:dyDescent="0.25">
      <c r="A4322" s="26" t="s">
        <v>12872</v>
      </c>
      <c r="B4322" s="26" t="s">
        <v>12873</v>
      </c>
    </row>
    <row r="4323" spans="1:2" x14ac:dyDescent="0.25">
      <c r="A4323" s="26" t="s">
        <v>12874</v>
      </c>
      <c r="B4323" s="26" t="s">
        <v>12875</v>
      </c>
    </row>
    <row r="4324" spans="1:2" x14ac:dyDescent="0.25">
      <c r="A4324" s="26" t="s">
        <v>12876</v>
      </c>
      <c r="B4324" s="26" t="s">
        <v>12877</v>
      </c>
    </row>
    <row r="4325" spans="1:2" x14ac:dyDescent="0.25">
      <c r="A4325" s="26" t="s">
        <v>12878</v>
      </c>
      <c r="B4325" s="26" t="s">
        <v>12879</v>
      </c>
    </row>
    <row r="4326" spans="1:2" x14ac:dyDescent="0.25">
      <c r="A4326" s="26" t="s">
        <v>12880</v>
      </c>
      <c r="B4326" s="26" t="s">
        <v>12881</v>
      </c>
    </row>
    <row r="4327" spans="1:2" x14ac:dyDescent="0.25">
      <c r="A4327" s="26" t="s">
        <v>12882</v>
      </c>
      <c r="B4327" s="26" t="s">
        <v>12883</v>
      </c>
    </row>
    <row r="4328" spans="1:2" x14ac:dyDescent="0.25">
      <c r="A4328" s="26" t="s">
        <v>12884</v>
      </c>
      <c r="B4328" s="26" t="s">
        <v>12885</v>
      </c>
    </row>
    <row r="4329" spans="1:2" x14ac:dyDescent="0.25">
      <c r="A4329" s="26" t="s">
        <v>12886</v>
      </c>
      <c r="B4329" s="26" t="s">
        <v>12887</v>
      </c>
    </row>
    <row r="4330" spans="1:2" x14ac:dyDescent="0.25">
      <c r="A4330" s="26" t="s">
        <v>12888</v>
      </c>
      <c r="B4330" s="26" t="s">
        <v>12889</v>
      </c>
    </row>
    <row r="4331" spans="1:2" x14ac:dyDescent="0.25">
      <c r="A4331" s="26" t="s">
        <v>12890</v>
      </c>
      <c r="B4331" s="26" t="s">
        <v>12891</v>
      </c>
    </row>
    <row r="4332" spans="1:2" x14ac:dyDescent="0.25">
      <c r="A4332" s="26" t="s">
        <v>12892</v>
      </c>
      <c r="B4332" s="26" t="s">
        <v>12893</v>
      </c>
    </row>
    <row r="4333" spans="1:2" x14ac:dyDescent="0.25">
      <c r="A4333" s="26" t="s">
        <v>12894</v>
      </c>
      <c r="B4333" s="26" t="s">
        <v>12895</v>
      </c>
    </row>
    <row r="4334" spans="1:2" x14ac:dyDescent="0.25">
      <c r="A4334" s="26" t="s">
        <v>12896</v>
      </c>
      <c r="B4334" s="26" t="s">
        <v>12897</v>
      </c>
    </row>
    <row r="4335" spans="1:2" x14ac:dyDescent="0.25">
      <c r="A4335" s="26" t="s">
        <v>12898</v>
      </c>
      <c r="B4335" s="26" t="s">
        <v>12899</v>
      </c>
    </row>
    <row r="4336" spans="1:2" x14ac:dyDescent="0.25">
      <c r="A4336" s="26" t="s">
        <v>12900</v>
      </c>
      <c r="B4336" s="26" t="s">
        <v>12901</v>
      </c>
    </row>
    <row r="4337" spans="1:2" x14ac:dyDescent="0.25">
      <c r="A4337" s="26" t="s">
        <v>12902</v>
      </c>
      <c r="B4337" s="26" t="s">
        <v>12903</v>
      </c>
    </row>
    <row r="4338" spans="1:2" x14ac:dyDescent="0.25">
      <c r="A4338" s="26" t="s">
        <v>12904</v>
      </c>
      <c r="B4338" s="26" t="s">
        <v>12905</v>
      </c>
    </row>
    <row r="4339" spans="1:2" x14ac:dyDescent="0.25">
      <c r="A4339" s="26" t="s">
        <v>12906</v>
      </c>
      <c r="B4339" s="26" t="s">
        <v>12907</v>
      </c>
    </row>
    <row r="4340" spans="1:2" x14ac:dyDescent="0.25">
      <c r="A4340" s="26" t="s">
        <v>12908</v>
      </c>
      <c r="B4340" s="26" t="s">
        <v>12909</v>
      </c>
    </row>
    <row r="4341" spans="1:2" x14ac:dyDescent="0.25">
      <c r="A4341" s="26" t="s">
        <v>12910</v>
      </c>
      <c r="B4341" s="26" t="s">
        <v>12911</v>
      </c>
    </row>
    <row r="4342" spans="1:2" x14ac:dyDescent="0.25">
      <c r="A4342" s="26" t="s">
        <v>12912</v>
      </c>
      <c r="B4342" s="27"/>
    </row>
    <row r="4343" spans="1:2" x14ac:dyDescent="0.25">
      <c r="A4343" s="26" t="s">
        <v>12913</v>
      </c>
      <c r="B4343" s="26" t="s">
        <v>12914</v>
      </c>
    </row>
    <row r="4344" spans="1:2" x14ac:dyDescent="0.25">
      <c r="A4344" s="26" t="s">
        <v>12915</v>
      </c>
      <c r="B4344" s="26" t="s">
        <v>12916</v>
      </c>
    </row>
    <row r="4345" spans="1:2" x14ac:dyDescent="0.25">
      <c r="A4345" s="26" t="s">
        <v>12917</v>
      </c>
      <c r="B4345" s="26" t="s">
        <v>12918</v>
      </c>
    </row>
    <row r="4346" spans="1:2" x14ac:dyDescent="0.25">
      <c r="A4346" s="26" t="s">
        <v>12919</v>
      </c>
      <c r="B4346" s="26" t="s">
        <v>12920</v>
      </c>
    </row>
    <row r="4347" spans="1:2" x14ac:dyDescent="0.25">
      <c r="A4347" s="26" t="s">
        <v>12921</v>
      </c>
      <c r="B4347" s="26" t="s">
        <v>12922</v>
      </c>
    </row>
    <row r="4348" spans="1:2" x14ac:dyDescent="0.25">
      <c r="A4348" s="26" t="s">
        <v>12923</v>
      </c>
      <c r="B4348" s="26" t="s">
        <v>12924</v>
      </c>
    </row>
    <row r="4349" spans="1:2" x14ac:dyDescent="0.25">
      <c r="A4349" s="26" t="s">
        <v>12925</v>
      </c>
      <c r="B4349" s="26" t="s">
        <v>12926</v>
      </c>
    </row>
    <row r="4350" spans="1:2" x14ac:dyDescent="0.25">
      <c r="A4350" s="26" t="s">
        <v>12927</v>
      </c>
      <c r="B4350" s="26" t="s">
        <v>12928</v>
      </c>
    </row>
    <row r="4351" spans="1:2" x14ac:dyDescent="0.25">
      <c r="A4351" s="26" t="s">
        <v>12929</v>
      </c>
      <c r="B4351" s="26" t="s">
        <v>12930</v>
      </c>
    </row>
    <row r="4352" spans="1:2" x14ac:dyDescent="0.25">
      <c r="A4352" s="26" t="s">
        <v>12931</v>
      </c>
      <c r="B4352" s="26" t="s">
        <v>12932</v>
      </c>
    </row>
    <row r="4353" spans="1:2" x14ac:dyDescent="0.25">
      <c r="A4353" s="26" t="s">
        <v>12933</v>
      </c>
      <c r="B4353" s="26" t="s">
        <v>12934</v>
      </c>
    </row>
    <row r="4354" spans="1:2" x14ac:dyDescent="0.25">
      <c r="A4354" s="26" t="s">
        <v>12935</v>
      </c>
      <c r="B4354" s="26" t="s">
        <v>12936</v>
      </c>
    </row>
    <row r="4355" spans="1:2" x14ac:dyDescent="0.25">
      <c r="A4355" s="26" t="s">
        <v>12937</v>
      </c>
      <c r="B4355" s="26" t="s">
        <v>12938</v>
      </c>
    </row>
    <row r="4356" spans="1:2" x14ac:dyDescent="0.25">
      <c r="A4356" s="26" t="s">
        <v>12939</v>
      </c>
      <c r="B4356" s="26" t="s">
        <v>12940</v>
      </c>
    </row>
    <row r="4357" spans="1:2" x14ac:dyDescent="0.25">
      <c r="A4357" s="26" t="s">
        <v>12941</v>
      </c>
      <c r="B4357" s="26" t="s">
        <v>12942</v>
      </c>
    </row>
    <row r="4358" spans="1:2" x14ac:dyDescent="0.25">
      <c r="A4358" s="26" t="s">
        <v>12943</v>
      </c>
      <c r="B4358" s="26" t="s">
        <v>12944</v>
      </c>
    </row>
    <row r="4359" spans="1:2" x14ac:dyDescent="0.25">
      <c r="A4359" s="26" t="s">
        <v>12945</v>
      </c>
      <c r="B4359" s="26" t="s">
        <v>12944</v>
      </c>
    </row>
    <row r="4360" spans="1:2" x14ac:dyDescent="0.25">
      <c r="A4360" s="26" t="s">
        <v>12946</v>
      </c>
      <c r="B4360" s="26" t="s">
        <v>12947</v>
      </c>
    </row>
    <row r="4361" spans="1:2" x14ac:dyDescent="0.25">
      <c r="A4361" s="26" t="s">
        <v>12948</v>
      </c>
      <c r="B4361" s="26" t="s">
        <v>12949</v>
      </c>
    </row>
    <row r="4362" spans="1:2" x14ac:dyDescent="0.25">
      <c r="A4362" s="26" t="s">
        <v>12950</v>
      </c>
      <c r="B4362" s="26" t="s">
        <v>12951</v>
      </c>
    </row>
    <row r="4363" spans="1:2" x14ac:dyDescent="0.25">
      <c r="A4363" s="26" t="s">
        <v>12952</v>
      </c>
      <c r="B4363" s="26" t="s">
        <v>12953</v>
      </c>
    </row>
    <row r="4364" spans="1:2" x14ac:dyDescent="0.25">
      <c r="A4364" s="26" t="s">
        <v>12954</v>
      </c>
      <c r="B4364" s="26" t="s">
        <v>12955</v>
      </c>
    </row>
    <row r="4365" spans="1:2" x14ac:dyDescent="0.25">
      <c r="A4365" s="26" t="s">
        <v>12956</v>
      </c>
      <c r="B4365" s="26" t="s">
        <v>12957</v>
      </c>
    </row>
    <row r="4366" spans="1:2" x14ac:dyDescent="0.25">
      <c r="A4366" s="26" t="s">
        <v>12958</v>
      </c>
      <c r="B4366" s="26" t="s">
        <v>12959</v>
      </c>
    </row>
    <row r="4367" spans="1:2" x14ac:dyDescent="0.25">
      <c r="A4367" s="26" t="s">
        <v>12960</v>
      </c>
      <c r="B4367" s="26" t="s">
        <v>12961</v>
      </c>
    </row>
    <row r="4368" spans="1:2" x14ac:dyDescent="0.25">
      <c r="A4368" s="26" t="s">
        <v>12962</v>
      </c>
      <c r="B4368" s="26" t="s">
        <v>12963</v>
      </c>
    </row>
    <row r="4369" spans="1:2" x14ac:dyDescent="0.25">
      <c r="A4369" s="26" t="s">
        <v>12964</v>
      </c>
      <c r="B4369" s="26" t="s">
        <v>12965</v>
      </c>
    </row>
    <row r="4370" spans="1:2" x14ac:dyDescent="0.25">
      <c r="A4370" s="26" t="s">
        <v>12966</v>
      </c>
      <c r="B4370" s="26" t="s">
        <v>12967</v>
      </c>
    </row>
    <row r="4371" spans="1:2" x14ac:dyDescent="0.25">
      <c r="A4371" s="26" t="s">
        <v>12968</v>
      </c>
      <c r="B4371" s="26" t="s">
        <v>12969</v>
      </c>
    </row>
    <row r="4372" spans="1:2" x14ac:dyDescent="0.25">
      <c r="A4372" s="26" t="s">
        <v>12970</v>
      </c>
      <c r="B4372" s="26" t="s">
        <v>12971</v>
      </c>
    </row>
    <row r="4373" spans="1:2" x14ac:dyDescent="0.25">
      <c r="A4373" s="26" t="s">
        <v>12972</v>
      </c>
      <c r="B4373" s="26" t="s">
        <v>12973</v>
      </c>
    </row>
    <row r="4374" spans="1:2" x14ac:dyDescent="0.25">
      <c r="A4374" s="26" t="s">
        <v>12974</v>
      </c>
      <c r="B4374" s="26" t="s">
        <v>12975</v>
      </c>
    </row>
    <row r="4375" spans="1:2" x14ac:dyDescent="0.25">
      <c r="A4375" s="26" t="s">
        <v>12976</v>
      </c>
      <c r="B4375" s="26" t="s">
        <v>12977</v>
      </c>
    </row>
    <row r="4376" spans="1:2" x14ac:dyDescent="0.25">
      <c r="A4376" s="26" t="s">
        <v>12978</v>
      </c>
      <c r="B4376" s="26" t="s">
        <v>12979</v>
      </c>
    </row>
    <row r="4377" spans="1:2" x14ac:dyDescent="0.25">
      <c r="A4377" s="26" t="s">
        <v>12980</v>
      </c>
      <c r="B4377" s="26" t="s">
        <v>12981</v>
      </c>
    </row>
    <row r="4378" spans="1:2" x14ac:dyDescent="0.25">
      <c r="A4378" s="26" t="s">
        <v>12982</v>
      </c>
      <c r="B4378" s="26" t="s">
        <v>12981</v>
      </c>
    </row>
    <row r="4379" spans="1:2" x14ac:dyDescent="0.25">
      <c r="A4379" s="26" t="s">
        <v>12983</v>
      </c>
      <c r="B4379" s="26" t="s">
        <v>12984</v>
      </c>
    </row>
    <row r="4380" spans="1:2" x14ac:dyDescent="0.25">
      <c r="A4380" s="26" t="s">
        <v>12985</v>
      </c>
      <c r="B4380" s="26" t="s">
        <v>12986</v>
      </c>
    </row>
    <row r="4381" spans="1:2" x14ac:dyDescent="0.25">
      <c r="A4381" s="26" t="s">
        <v>12987</v>
      </c>
      <c r="B4381" s="26" t="s">
        <v>12988</v>
      </c>
    </row>
    <row r="4382" spans="1:2" x14ac:dyDescent="0.25">
      <c r="A4382" s="26" t="s">
        <v>12989</v>
      </c>
      <c r="B4382" s="26" t="s">
        <v>12990</v>
      </c>
    </row>
    <row r="4383" spans="1:2" x14ac:dyDescent="0.25">
      <c r="A4383" s="26" t="s">
        <v>13227</v>
      </c>
      <c r="B4383" s="27"/>
    </row>
    <row r="4384" spans="1:2" x14ac:dyDescent="0.25">
      <c r="A4384" s="26" t="s">
        <v>12991</v>
      </c>
      <c r="B4384" s="26" t="s">
        <v>12991</v>
      </c>
    </row>
    <row r="4385" spans="1:2" x14ac:dyDescent="0.25">
      <c r="A4385" s="26" t="s">
        <v>12992</v>
      </c>
      <c r="B4385" s="26" t="s">
        <v>12993</v>
      </c>
    </row>
    <row r="4386" spans="1:2" x14ac:dyDescent="0.25">
      <c r="A4386" s="26" t="s">
        <v>12994</v>
      </c>
      <c r="B4386" s="26" t="s">
        <v>12995</v>
      </c>
    </row>
    <row r="4387" spans="1:2" x14ac:dyDescent="0.25">
      <c r="A4387" s="26" t="s">
        <v>12996</v>
      </c>
      <c r="B4387" s="26" t="s">
        <v>12997</v>
      </c>
    </row>
    <row r="4388" spans="1:2" x14ac:dyDescent="0.25">
      <c r="A4388" s="26" t="s">
        <v>12998</v>
      </c>
      <c r="B4388" s="26" t="s">
        <v>12999</v>
      </c>
    </row>
    <row r="4389" spans="1:2" x14ac:dyDescent="0.25">
      <c r="A4389" s="26" t="s">
        <v>13000</v>
      </c>
      <c r="B4389" s="26" t="s">
        <v>13001</v>
      </c>
    </row>
    <row r="4390" spans="1:2" x14ac:dyDescent="0.25">
      <c r="A4390" s="26" t="s">
        <v>13002</v>
      </c>
      <c r="B4390" s="26" t="s">
        <v>13003</v>
      </c>
    </row>
    <row r="4391" spans="1:2" x14ac:dyDescent="0.25">
      <c r="A4391" s="26" t="s">
        <v>13004</v>
      </c>
      <c r="B4391" s="26" t="s">
        <v>13005</v>
      </c>
    </row>
    <row r="4392" spans="1:2" x14ac:dyDescent="0.25">
      <c r="A4392" s="26" t="s">
        <v>13006</v>
      </c>
      <c r="B4392" s="26" t="s">
        <v>13007</v>
      </c>
    </row>
    <row r="4393" spans="1:2" x14ac:dyDescent="0.25">
      <c r="A4393" s="26" t="s">
        <v>13008</v>
      </c>
      <c r="B4393" s="26" t="s">
        <v>13009</v>
      </c>
    </row>
    <row r="4394" spans="1:2" x14ac:dyDescent="0.25">
      <c r="A4394" s="26" t="s">
        <v>13010</v>
      </c>
      <c r="B4394" s="26" t="s">
        <v>13011</v>
      </c>
    </row>
    <row r="4395" spans="1:2" x14ac:dyDescent="0.25">
      <c r="A4395" s="26" t="s">
        <v>13012</v>
      </c>
      <c r="B4395" s="26" t="s">
        <v>13013</v>
      </c>
    </row>
    <row r="4396" spans="1:2" x14ac:dyDescent="0.25">
      <c r="A4396" s="26" t="s">
        <v>13014</v>
      </c>
      <c r="B4396" s="26" t="s">
        <v>13015</v>
      </c>
    </row>
    <row r="4397" spans="1:2" x14ac:dyDescent="0.25">
      <c r="A4397" s="26" t="s">
        <v>13016</v>
      </c>
      <c r="B4397" s="26" t="s">
        <v>13017</v>
      </c>
    </row>
    <row r="4398" spans="1:2" x14ac:dyDescent="0.25">
      <c r="A4398" s="26" t="s">
        <v>13018</v>
      </c>
      <c r="B4398" s="26" t="s">
        <v>13019</v>
      </c>
    </row>
    <row r="4399" spans="1:2" x14ac:dyDescent="0.25">
      <c r="A4399" s="26" t="s">
        <v>13020</v>
      </c>
      <c r="B4399" s="26" t="s">
        <v>13021</v>
      </c>
    </row>
    <row r="4400" spans="1:2" x14ac:dyDescent="0.25">
      <c r="A4400" s="26" t="s">
        <v>13022</v>
      </c>
      <c r="B4400" s="26" t="s">
        <v>13023</v>
      </c>
    </row>
    <row r="4401" spans="1:2" x14ac:dyDescent="0.25">
      <c r="A4401" s="26" t="s">
        <v>13024</v>
      </c>
      <c r="B4401" s="26" t="s">
        <v>13025</v>
      </c>
    </row>
    <row r="4402" spans="1:2" x14ac:dyDescent="0.25">
      <c r="A4402" s="26" t="s">
        <v>13026</v>
      </c>
      <c r="B4402" s="26" t="s">
        <v>13027</v>
      </c>
    </row>
    <row r="4403" spans="1:2" x14ac:dyDescent="0.25">
      <c r="A4403" s="26" t="s">
        <v>13028</v>
      </c>
      <c r="B4403" s="26" t="s">
        <v>13029</v>
      </c>
    </row>
    <row r="4404" spans="1:2" x14ac:dyDescent="0.25">
      <c r="A4404" s="26" t="s">
        <v>13030</v>
      </c>
      <c r="B4404" s="26" t="s">
        <v>13029</v>
      </c>
    </row>
    <row r="4405" spans="1:2" x14ac:dyDescent="0.25">
      <c r="A4405" s="26" t="s">
        <v>13031</v>
      </c>
      <c r="B4405" s="26" t="s">
        <v>13032</v>
      </c>
    </row>
    <row r="4406" spans="1:2" x14ac:dyDescent="0.25">
      <c r="A4406" s="26" t="s">
        <v>13033</v>
      </c>
      <c r="B4406" s="26" t="s">
        <v>13034</v>
      </c>
    </row>
    <row r="4407" spans="1:2" x14ac:dyDescent="0.25">
      <c r="A4407" s="26" t="s">
        <v>13035</v>
      </c>
      <c r="B4407" s="26" t="s">
        <v>13036</v>
      </c>
    </row>
    <row r="4408" spans="1:2" x14ac:dyDescent="0.25">
      <c r="A4408" s="26" t="s">
        <v>13037</v>
      </c>
      <c r="B4408" s="26" t="s">
        <v>13038</v>
      </c>
    </row>
    <row r="4409" spans="1:2" x14ac:dyDescent="0.25">
      <c r="A4409" s="26" t="s">
        <v>13039</v>
      </c>
      <c r="B4409" s="26" t="s">
        <v>13040</v>
      </c>
    </row>
    <row r="4410" spans="1:2" x14ac:dyDescent="0.25">
      <c r="A4410" s="26" t="s">
        <v>13041</v>
      </c>
      <c r="B4410" s="26" t="s">
        <v>13042</v>
      </c>
    </row>
    <row r="4411" spans="1:2" x14ac:dyDescent="0.25">
      <c r="A4411" s="26" t="s">
        <v>13043</v>
      </c>
      <c r="B4411" s="26" t="s">
        <v>13044</v>
      </c>
    </row>
    <row r="4412" spans="1:2" x14ac:dyDescent="0.25">
      <c r="A4412" s="26" t="s">
        <v>13045</v>
      </c>
      <c r="B4412" s="26" t="s">
        <v>13046</v>
      </c>
    </row>
    <row r="4413" spans="1:2" x14ac:dyDescent="0.25">
      <c r="A4413" s="26" t="s">
        <v>13047</v>
      </c>
      <c r="B4413" s="26" t="s">
        <v>13048</v>
      </c>
    </row>
    <row r="4414" spans="1:2" x14ac:dyDescent="0.25">
      <c r="A4414" s="26" t="s">
        <v>13049</v>
      </c>
      <c r="B4414" s="26" t="s">
        <v>13050</v>
      </c>
    </row>
    <row r="4415" spans="1:2" x14ac:dyDescent="0.25">
      <c r="A4415" s="26" t="s">
        <v>13051</v>
      </c>
      <c r="B4415" s="26" t="s">
        <v>13052</v>
      </c>
    </row>
    <row r="4416" spans="1:2" x14ac:dyDescent="0.25">
      <c r="A4416" s="26" t="s">
        <v>13053</v>
      </c>
      <c r="B4416" s="26" t="s">
        <v>13054</v>
      </c>
    </row>
    <row r="4417" spans="1:2" x14ac:dyDescent="0.25">
      <c r="A4417" s="26" t="s">
        <v>13055</v>
      </c>
      <c r="B4417" s="26" t="s">
        <v>12914</v>
      </c>
    </row>
    <row r="4418" spans="1:2" x14ac:dyDescent="0.25">
      <c r="A4418" s="26" t="s">
        <v>13056</v>
      </c>
      <c r="B4418" s="26" t="s">
        <v>13057</v>
      </c>
    </row>
    <row r="4419" spans="1:2" x14ac:dyDescent="0.25">
      <c r="A4419" s="26" t="s">
        <v>13058</v>
      </c>
      <c r="B4419" s="26" t="s">
        <v>13059</v>
      </c>
    </row>
    <row r="4420" spans="1:2" x14ac:dyDescent="0.25">
      <c r="A4420" s="26" t="s">
        <v>13060</v>
      </c>
      <c r="B4420" s="26" t="s">
        <v>13061</v>
      </c>
    </row>
    <row r="4421" spans="1:2" x14ac:dyDescent="0.25">
      <c r="A4421" s="26" t="s">
        <v>13062</v>
      </c>
      <c r="B4421" s="26" t="s">
        <v>13063</v>
      </c>
    </row>
    <row r="4422" spans="1:2" x14ac:dyDescent="0.25">
      <c r="A4422" s="26" t="s">
        <v>13064</v>
      </c>
      <c r="B4422" s="26" t="s">
        <v>13065</v>
      </c>
    </row>
    <row r="4423" spans="1:2" x14ac:dyDescent="0.25">
      <c r="A4423" s="26" t="s">
        <v>13066</v>
      </c>
      <c r="B4423" s="26" t="s">
        <v>13067</v>
      </c>
    </row>
    <row r="4424" spans="1:2" x14ac:dyDescent="0.25">
      <c r="A4424" s="26" t="s">
        <v>13068</v>
      </c>
      <c r="B4424" s="26" t="s">
        <v>13069</v>
      </c>
    </row>
    <row r="4425" spans="1:2" x14ac:dyDescent="0.25">
      <c r="A4425" s="26" t="s">
        <v>13070</v>
      </c>
      <c r="B4425" s="26" t="s">
        <v>13071</v>
      </c>
    </row>
    <row r="4426" spans="1:2" x14ac:dyDescent="0.25">
      <c r="A4426" s="26" t="s">
        <v>13072</v>
      </c>
      <c r="B4426" s="27"/>
    </row>
    <row r="4427" spans="1:2" x14ac:dyDescent="0.25">
      <c r="A4427" s="26" t="s">
        <v>13073</v>
      </c>
      <c r="B4427" s="26" t="s">
        <v>13074</v>
      </c>
    </row>
    <row r="4428" spans="1:2" x14ac:dyDescent="0.25">
      <c r="A4428" s="26" t="s">
        <v>13075</v>
      </c>
      <c r="B4428" s="26" t="s">
        <v>12932</v>
      </c>
    </row>
    <row r="4429" spans="1:2" x14ac:dyDescent="0.25">
      <c r="A4429" s="26" t="s">
        <v>13076</v>
      </c>
      <c r="B4429" s="26" t="s">
        <v>13076</v>
      </c>
    </row>
    <row r="4430" spans="1:2" x14ac:dyDescent="0.25">
      <c r="A4430" s="26" t="s">
        <v>13077</v>
      </c>
      <c r="B4430" s="26" t="s">
        <v>13078</v>
      </c>
    </row>
    <row r="4431" spans="1:2" x14ac:dyDescent="0.25">
      <c r="A4431" s="26" t="s">
        <v>13079</v>
      </c>
      <c r="B4431" s="26" t="s">
        <v>13080</v>
      </c>
    </row>
    <row r="4432" spans="1:2" x14ac:dyDescent="0.25">
      <c r="A4432" s="26" t="s">
        <v>13081</v>
      </c>
      <c r="B4432" s="26" t="s">
        <v>13082</v>
      </c>
    </row>
    <row r="4433" spans="1:2" x14ac:dyDescent="0.25">
      <c r="A4433" s="26" t="s">
        <v>13083</v>
      </c>
      <c r="B4433" s="26" t="s">
        <v>13084</v>
      </c>
    </row>
    <row r="4434" spans="1:2" x14ac:dyDescent="0.25">
      <c r="A4434" s="26" t="s">
        <v>13085</v>
      </c>
      <c r="B4434" s="26" t="s">
        <v>13086</v>
      </c>
    </row>
    <row r="4435" spans="1:2" x14ac:dyDescent="0.25">
      <c r="A4435" s="26" t="s">
        <v>13087</v>
      </c>
      <c r="B4435" s="26" t="s">
        <v>13088</v>
      </c>
    </row>
    <row r="4436" spans="1:2" x14ac:dyDescent="0.25">
      <c r="A4436" s="26" t="s">
        <v>13089</v>
      </c>
      <c r="B4436" s="26" t="s">
        <v>13089</v>
      </c>
    </row>
    <row r="4437" spans="1:2" x14ac:dyDescent="0.25">
      <c r="A4437" s="26" t="s">
        <v>13090</v>
      </c>
      <c r="B4437" s="26" t="s">
        <v>13091</v>
      </c>
    </row>
    <row r="4438" spans="1:2" x14ac:dyDescent="0.25">
      <c r="A4438" s="26" t="s">
        <v>13092</v>
      </c>
      <c r="B4438" s="26" t="s">
        <v>13093</v>
      </c>
    </row>
    <row r="4439" spans="1:2" x14ac:dyDescent="0.25">
      <c r="A4439" s="26" t="s">
        <v>13094</v>
      </c>
      <c r="B4439" s="26" t="s">
        <v>13095</v>
      </c>
    </row>
    <row r="4440" spans="1:2" x14ac:dyDescent="0.25">
      <c r="A4440" s="26" t="s">
        <v>13096</v>
      </c>
      <c r="B4440" s="26" t="s">
        <v>13097</v>
      </c>
    </row>
    <row r="4441" spans="1:2" x14ac:dyDescent="0.25">
      <c r="A4441" s="26" t="s">
        <v>13098</v>
      </c>
      <c r="B4441" s="26" t="s">
        <v>13099</v>
      </c>
    </row>
    <row r="4442" spans="1:2" x14ac:dyDescent="0.25">
      <c r="A4442" s="26" t="s">
        <v>13100</v>
      </c>
      <c r="B4442" s="26" t="s">
        <v>13101</v>
      </c>
    </row>
    <row r="4443" spans="1:2" x14ac:dyDescent="0.25">
      <c r="A4443" s="26" t="s">
        <v>13102</v>
      </c>
      <c r="B4443" s="26" t="s">
        <v>13077</v>
      </c>
    </row>
    <row r="4444" spans="1:2" x14ac:dyDescent="0.25">
      <c r="A4444" s="26" t="s">
        <v>13103</v>
      </c>
      <c r="B4444" s="26" t="s">
        <v>13104</v>
      </c>
    </row>
    <row r="4445" spans="1:2" x14ac:dyDescent="0.25">
      <c r="A4445" s="26" t="s">
        <v>11021</v>
      </c>
      <c r="B4445" s="26" t="s">
        <v>13105</v>
      </c>
    </row>
    <row r="4446" spans="1:2" x14ac:dyDescent="0.25">
      <c r="A4446" s="26" t="s">
        <v>13106</v>
      </c>
      <c r="B4446" s="26" t="s">
        <v>13107</v>
      </c>
    </row>
    <row r="4447" spans="1:2" x14ac:dyDescent="0.25">
      <c r="A4447" s="26" t="s">
        <v>13108</v>
      </c>
      <c r="B4447" s="26" t="s">
        <v>13109</v>
      </c>
    </row>
    <row r="4448" spans="1:2" x14ac:dyDescent="0.25">
      <c r="A4448" s="26" t="s">
        <v>13110</v>
      </c>
      <c r="B4448" s="26" t="s">
        <v>13111</v>
      </c>
    </row>
    <row r="4449" spans="1:2" x14ac:dyDescent="0.25">
      <c r="A4449" s="26" t="s">
        <v>13112</v>
      </c>
      <c r="B4449" s="26" t="s">
        <v>13113</v>
      </c>
    </row>
    <row r="4450" spans="1:2" x14ac:dyDescent="0.25">
      <c r="A4450" s="26" t="s">
        <v>13114</v>
      </c>
      <c r="B4450" s="26" t="s">
        <v>13115</v>
      </c>
    </row>
    <row r="4451" spans="1:2" x14ac:dyDescent="0.25">
      <c r="A4451" s="26" t="s">
        <v>13116</v>
      </c>
      <c r="B4451" s="26" t="s">
        <v>13117</v>
      </c>
    </row>
    <row r="4452" spans="1:2" x14ac:dyDescent="0.25">
      <c r="A4452" s="26" t="s">
        <v>13118</v>
      </c>
      <c r="B4452" s="26" t="s">
        <v>13119</v>
      </c>
    </row>
    <row r="4453" spans="1:2" x14ac:dyDescent="0.25">
      <c r="A4453" s="26" t="s">
        <v>13120</v>
      </c>
      <c r="B4453" s="26" t="s">
        <v>13121</v>
      </c>
    </row>
    <row r="4454" spans="1:2" x14ac:dyDescent="0.25">
      <c r="A4454" s="26" t="s">
        <v>13122</v>
      </c>
      <c r="B4454" s="26" t="s">
        <v>13122</v>
      </c>
    </row>
    <row r="4455" spans="1:2" x14ac:dyDescent="0.25">
      <c r="A4455" s="26" t="s">
        <v>13123</v>
      </c>
      <c r="B4455" s="26" t="s">
        <v>13124</v>
      </c>
    </row>
    <row r="4456" spans="1:2" x14ac:dyDescent="0.25">
      <c r="A4456" s="26" t="s">
        <v>13125</v>
      </c>
      <c r="B4456" s="26" t="s">
        <v>13126</v>
      </c>
    </row>
    <row r="4457" spans="1:2" x14ac:dyDescent="0.25">
      <c r="A4457" s="26" t="s">
        <v>13127</v>
      </c>
      <c r="B4457" s="26" t="s">
        <v>13128</v>
      </c>
    </row>
    <row r="4458" spans="1:2" x14ac:dyDescent="0.25">
      <c r="A4458" s="26" t="s">
        <v>13129</v>
      </c>
      <c r="B4458" s="26" t="s">
        <v>13130</v>
      </c>
    </row>
    <row r="4459" spans="1:2" x14ac:dyDescent="0.25">
      <c r="A4459" s="26" t="s">
        <v>13131</v>
      </c>
      <c r="B4459" s="26" t="s">
        <v>13132</v>
      </c>
    </row>
    <row r="4460" spans="1:2" x14ac:dyDescent="0.25">
      <c r="A4460" s="26" t="s">
        <v>13133</v>
      </c>
      <c r="B4460" s="26" t="s">
        <v>13133</v>
      </c>
    </row>
    <row r="4461" spans="1:2" x14ac:dyDescent="0.25">
      <c r="A4461" s="26" t="s">
        <v>13134</v>
      </c>
      <c r="B4461" s="26" t="s">
        <v>13134</v>
      </c>
    </row>
    <row r="4462" spans="1:2" x14ac:dyDescent="0.25">
      <c r="A4462" s="26" t="s">
        <v>13135</v>
      </c>
      <c r="B4462" s="26" t="s">
        <v>13135</v>
      </c>
    </row>
    <row r="4463" spans="1:2" x14ac:dyDescent="0.25">
      <c r="A4463" s="26" t="s">
        <v>13136</v>
      </c>
      <c r="B4463" s="26" t="s">
        <v>13137</v>
      </c>
    </row>
    <row r="4464" spans="1:2" x14ac:dyDescent="0.25">
      <c r="A4464" s="26" t="s">
        <v>13138</v>
      </c>
      <c r="B4464" s="26" t="s">
        <v>13139</v>
      </c>
    </row>
    <row r="4465" spans="1:2" x14ac:dyDescent="0.25">
      <c r="A4465" s="26" t="s">
        <v>13140</v>
      </c>
      <c r="B4465" s="26" t="s">
        <v>13141</v>
      </c>
    </row>
    <row r="4466" spans="1:2" x14ac:dyDescent="0.25">
      <c r="A4466" s="26" t="s">
        <v>13142</v>
      </c>
      <c r="B4466" s="26" t="s">
        <v>13143</v>
      </c>
    </row>
    <row r="4467" spans="1:2" x14ac:dyDescent="0.25">
      <c r="A4467" s="26" t="s">
        <v>13144</v>
      </c>
      <c r="B4467" s="26" t="s">
        <v>13145</v>
      </c>
    </row>
    <row r="4468" spans="1:2" x14ac:dyDescent="0.25">
      <c r="A4468" s="26" t="s">
        <v>13146</v>
      </c>
      <c r="B4468" s="26" t="s">
        <v>13147</v>
      </c>
    </row>
    <row r="4469" spans="1:2" x14ac:dyDescent="0.25">
      <c r="A4469" s="26" t="s">
        <v>13148</v>
      </c>
      <c r="B4469" s="26" t="s">
        <v>13149</v>
      </c>
    </row>
    <row r="4470" spans="1:2" x14ac:dyDescent="0.25">
      <c r="A4470" s="26" t="s">
        <v>13150</v>
      </c>
      <c r="B4470" s="27"/>
    </row>
    <row r="4471" spans="1:2" x14ac:dyDescent="0.25">
      <c r="A4471" s="26" t="s">
        <v>13151</v>
      </c>
      <c r="B4471" s="26" t="s">
        <v>13152</v>
      </c>
    </row>
    <row r="4472" spans="1:2" x14ac:dyDescent="0.25">
      <c r="A4472" s="26" t="s">
        <v>13153</v>
      </c>
      <c r="B4472" s="26" t="s">
        <v>13154</v>
      </c>
    </row>
    <row r="4473" spans="1:2" x14ac:dyDescent="0.25">
      <c r="A4473" s="26" t="s">
        <v>13155</v>
      </c>
      <c r="B4473" s="26" t="s">
        <v>13156</v>
      </c>
    </row>
    <row r="4474" spans="1:2" x14ac:dyDescent="0.25">
      <c r="A4474" s="26" t="s">
        <v>13157</v>
      </c>
      <c r="B4474" s="26" t="s">
        <v>13158</v>
      </c>
    </row>
    <row r="4475" spans="1:2" x14ac:dyDescent="0.25">
      <c r="A4475" s="26" t="s">
        <v>13159</v>
      </c>
      <c r="B4475" s="26" t="s">
        <v>13160</v>
      </c>
    </row>
    <row r="4476" spans="1:2" x14ac:dyDescent="0.25">
      <c r="A4476" s="26" t="s">
        <v>13161</v>
      </c>
      <c r="B4476" s="27"/>
    </row>
    <row r="4477" spans="1:2" x14ac:dyDescent="0.25">
      <c r="A4477" s="26" t="s">
        <v>13162</v>
      </c>
      <c r="B4477" s="27"/>
    </row>
    <row r="4478" spans="1:2" x14ac:dyDescent="0.25">
      <c r="A4478" s="26" t="s">
        <v>13163</v>
      </c>
      <c r="B4478" s="26" t="s">
        <v>13164</v>
      </c>
    </row>
    <row r="4479" spans="1:2" x14ac:dyDescent="0.25">
      <c r="A4479" s="26" t="s">
        <v>13165</v>
      </c>
      <c r="B4479" s="27"/>
    </row>
    <row r="4480" spans="1:2" x14ac:dyDescent="0.25">
      <c r="A4480" s="2" t="s">
        <v>13024</v>
      </c>
      <c r="B4480" s="2" t="s">
        <v>13025</v>
      </c>
    </row>
    <row r="4481" spans="1:2" x14ac:dyDescent="0.25">
      <c r="A4481" s="2" t="s">
        <v>13026</v>
      </c>
      <c r="B4481" s="2" t="s">
        <v>13027</v>
      </c>
    </row>
    <row r="4482" spans="1:2" x14ac:dyDescent="0.25">
      <c r="A4482" s="2" t="s">
        <v>13028</v>
      </c>
      <c r="B4482" s="2" t="s">
        <v>13029</v>
      </c>
    </row>
    <row r="4483" spans="1:2" x14ac:dyDescent="0.25">
      <c r="A4483" s="2" t="s">
        <v>13030</v>
      </c>
      <c r="B4483" s="2" t="s">
        <v>13029</v>
      </c>
    </row>
    <row r="4484" spans="1:2" x14ac:dyDescent="0.25">
      <c r="A4484" s="2" t="s">
        <v>13031</v>
      </c>
      <c r="B4484" s="2" t="s">
        <v>13032</v>
      </c>
    </row>
    <row r="4485" spans="1:2" x14ac:dyDescent="0.25">
      <c r="A4485" s="2" t="s">
        <v>13033</v>
      </c>
      <c r="B4485" s="2" t="s">
        <v>13034</v>
      </c>
    </row>
    <row r="4486" spans="1:2" x14ac:dyDescent="0.25">
      <c r="A4486" s="2" t="s">
        <v>13035</v>
      </c>
      <c r="B4486" s="2" t="s">
        <v>13036</v>
      </c>
    </row>
    <row r="4487" spans="1:2" x14ac:dyDescent="0.25">
      <c r="A4487" s="2" t="s">
        <v>13037</v>
      </c>
      <c r="B4487" s="2" t="s">
        <v>13038</v>
      </c>
    </row>
    <row r="4488" spans="1:2" x14ac:dyDescent="0.25">
      <c r="A4488" s="2" t="s">
        <v>13039</v>
      </c>
      <c r="B4488" s="2" t="s">
        <v>13040</v>
      </c>
    </row>
    <row r="4489" spans="1:2" x14ac:dyDescent="0.25">
      <c r="A4489" s="2" t="s">
        <v>13041</v>
      </c>
      <c r="B4489" s="2" t="s">
        <v>13042</v>
      </c>
    </row>
    <row r="4490" spans="1:2" x14ac:dyDescent="0.25">
      <c r="A4490" s="2" t="s">
        <v>13043</v>
      </c>
      <c r="B4490" s="2" t="s">
        <v>13044</v>
      </c>
    </row>
    <row r="4491" spans="1:2" x14ac:dyDescent="0.25">
      <c r="A4491" s="2" t="s">
        <v>13045</v>
      </c>
      <c r="B4491" s="2" t="s">
        <v>13046</v>
      </c>
    </row>
    <row r="4492" spans="1:2" x14ac:dyDescent="0.25">
      <c r="A4492" s="2" t="s">
        <v>13047</v>
      </c>
      <c r="B4492" s="2" t="s">
        <v>13048</v>
      </c>
    </row>
    <row r="4493" spans="1:2" x14ac:dyDescent="0.25">
      <c r="A4493" s="2" t="s">
        <v>13049</v>
      </c>
      <c r="B4493" s="2" t="s">
        <v>13050</v>
      </c>
    </row>
    <row r="4494" spans="1:2" x14ac:dyDescent="0.25">
      <c r="A4494" s="2" t="s">
        <v>13051</v>
      </c>
      <c r="B4494" s="2" t="s">
        <v>13052</v>
      </c>
    </row>
    <row r="4495" spans="1:2" x14ac:dyDescent="0.25">
      <c r="A4495" s="2" t="s">
        <v>13053</v>
      </c>
      <c r="B4495" s="2" t="s">
        <v>13054</v>
      </c>
    </row>
    <row r="4496" spans="1:2" x14ac:dyDescent="0.25">
      <c r="A4496" s="2" t="s">
        <v>13055</v>
      </c>
      <c r="B4496" s="2" t="s">
        <v>12914</v>
      </c>
    </row>
    <row r="4497" spans="1:2" x14ac:dyDescent="0.25">
      <c r="A4497" s="2" t="s">
        <v>13056</v>
      </c>
      <c r="B4497" s="2" t="s">
        <v>13057</v>
      </c>
    </row>
    <row r="4498" spans="1:2" x14ac:dyDescent="0.25">
      <c r="A4498" s="2" t="s">
        <v>13058</v>
      </c>
      <c r="B4498" s="2" t="s">
        <v>13059</v>
      </c>
    </row>
    <row r="4499" spans="1:2" x14ac:dyDescent="0.25">
      <c r="A4499" s="2" t="s">
        <v>13060</v>
      </c>
      <c r="B4499" s="2" t="s">
        <v>13061</v>
      </c>
    </row>
    <row r="4500" spans="1:2" x14ac:dyDescent="0.25">
      <c r="A4500" s="2" t="s">
        <v>13062</v>
      </c>
      <c r="B4500" s="2" t="s">
        <v>13063</v>
      </c>
    </row>
    <row r="4501" spans="1:2" x14ac:dyDescent="0.25">
      <c r="A4501" s="2" t="s">
        <v>13064</v>
      </c>
      <c r="B4501" s="2" t="s">
        <v>13065</v>
      </c>
    </row>
    <row r="4502" spans="1:2" x14ac:dyDescent="0.25">
      <c r="A4502" s="2" t="s">
        <v>13066</v>
      </c>
      <c r="B4502" s="2" t="s">
        <v>13067</v>
      </c>
    </row>
    <row r="4503" spans="1:2" x14ac:dyDescent="0.25">
      <c r="A4503" s="2" t="s">
        <v>13068</v>
      </c>
      <c r="B4503" s="2" t="s">
        <v>13069</v>
      </c>
    </row>
    <row r="4504" spans="1:2" x14ac:dyDescent="0.25">
      <c r="A4504" s="2" t="s">
        <v>13070</v>
      </c>
      <c r="B4504" s="2" t="s">
        <v>13071</v>
      </c>
    </row>
    <row r="4505" spans="1:2" x14ac:dyDescent="0.25">
      <c r="A4505" s="2" t="s">
        <v>13072</v>
      </c>
    </row>
    <row r="4506" spans="1:2" x14ac:dyDescent="0.25">
      <c r="A4506" s="2" t="s">
        <v>13073</v>
      </c>
      <c r="B4506" s="2" t="s">
        <v>13074</v>
      </c>
    </row>
    <row r="4507" spans="1:2" x14ac:dyDescent="0.25">
      <c r="A4507" s="2" t="s">
        <v>13075</v>
      </c>
      <c r="B4507" s="2" t="s">
        <v>12932</v>
      </c>
    </row>
    <row r="4508" spans="1:2" x14ac:dyDescent="0.25">
      <c r="A4508" s="2" t="s">
        <v>13076</v>
      </c>
      <c r="B4508" s="2" t="s">
        <v>13076</v>
      </c>
    </row>
    <row r="4509" spans="1:2" x14ac:dyDescent="0.25">
      <c r="A4509" s="2" t="s">
        <v>13077</v>
      </c>
      <c r="B4509" s="2" t="s">
        <v>13078</v>
      </c>
    </row>
    <row r="4510" spans="1:2" x14ac:dyDescent="0.25">
      <c r="A4510" s="2" t="s">
        <v>13079</v>
      </c>
      <c r="B4510" s="2" t="s">
        <v>13080</v>
      </c>
    </row>
    <row r="4511" spans="1:2" x14ac:dyDescent="0.25">
      <c r="A4511" s="2" t="s">
        <v>13081</v>
      </c>
      <c r="B4511" s="2" t="s">
        <v>13082</v>
      </c>
    </row>
    <row r="4512" spans="1:2" x14ac:dyDescent="0.25">
      <c r="A4512" s="2" t="s">
        <v>13083</v>
      </c>
      <c r="B4512" s="2" t="s">
        <v>13084</v>
      </c>
    </row>
    <row r="4513" spans="1:2" x14ac:dyDescent="0.25">
      <c r="A4513" s="2" t="s">
        <v>13085</v>
      </c>
      <c r="B4513" s="2" t="s">
        <v>13086</v>
      </c>
    </row>
    <row r="4514" spans="1:2" x14ac:dyDescent="0.25">
      <c r="A4514" s="2" t="s">
        <v>13087</v>
      </c>
      <c r="B4514" s="2" t="s">
        <v>13088</v>
      </c>
    </row>
    <row r="4515" spans="1:2" x14ac:dyDescent="0.25">
      <c r="A4515" s="2" t="s">
        <v>13089</v>
      </c>
      <c r="B4515" s="2" t="s">
        <v>13089</v>
      </c>
    </row>
    <row r="4516" spans="1:2" x14ac:dyDescent="0.25">
      <c r="A4516" s="2" t="s">
        <v>13090</v>
      </c>
      <c r="B4516" s="2" t="s">
        <v>13091</v>
      </c>
    </row>
    <row r="4517" spans="1:2" x14ac:dyDescent="0.25">
      <c r="A4517" s="2" t="s">
        <v>13092</v>
      </c>
      <c r="B4517" s="2" t="s">
        <v>13093</v>
      </c>
    </row>
    <row r="4518" spans="1:2" x14ac:dyDescent="0.25">
      <c r="A4518" s="2" t="s">
        <v>13094</v>
      </c>
      <c r="B4518" s="2" t="s">
        <v>13095</v>
      </c>
    </row>
    <row r="4519" spans="1:2" x14ac:dyDescent="0.25">
      <c r="A4519" s="2" t="s">
        <v>13096</v>
      </c>
      <c r="B4519" s="2" t="s">
        <v>13097</v>
      </c>
    </row>
    <row r="4520" spans="1:2" x14ac:dyDescent="0.25">
      <c r="A4520" s="2" t="s">
        <v>13098</v>
      </c>
      <c r="B4520" s="2" t="s">
        <v>13099</v>
      </c>
    </row>
    <row r="4521" spans="1:2" x14ac:dyDescent="0.25">
      <c r="A4521" s="2" t="s">
        <v>13100</v>
      </c>
      <c r="B4521" s="2" t="s">
        <v>13101</v>
      </c>
    </row>
    <row r="4522" spans="1:2" x14ac:dyDescent="0.25">
      <c r="A4522" s="2" t="s">
        <v>13102</v>
      </c>
      <c r="B4522" s="2" t="s">
        <v>13077</v>
      </c>
    </row>
    <row r="4523" spans="1:2" x14ac:dyDescent="0.25">
      <c r="A4523" s="2" t="s">
        <v>13103</v>
      </c>
      <c r="B4523" s="2" t="s">
        <v>13104</v>
      </c>
    </row>
    <row r="4524" spans="1:2" x14ac:dyDescent="0.25">
      <c r="A4524" s="2" t="s">
        <v>11021</v>
      </c>
      <c r="B4524" s="2" t="s">
        <v>13105</v>
      </c>
    </row>
    <row r="4525" spans="1:2" x14ac:dyDescent="0.25">
      <c r="A4525" s="2" t="s">
        <v>13106</v>
      </c>
      <c r="B4525" s="2" t="s">
        <v>13107</v>
      </c>
    </row>
    <row r="4526" spans="1:2" x14ac:dyDescent="0.25">
      <c r="A4526" s="2" t="s">
        <v>13108</v>
      </c>
      <c r="B4526" s="2" t="s">
        <v>13109</v>
      </c>
    </row>
    <row r="4527" spans="1:2" x14ac:dyDescent="0.25">
      <c r="A4527" s="2" t="s">
        <v>13110</v>
      </c>
      <c r="B4527" s="2" t="s">
        <v>13111</v>
      </c>
    </row>
    <row r="4528" spans="1:2" x14ac:dyDescent="0.25">
      <c r="A4528" s="2" t="s">
        <v>13112</v>
      </c>
      <c r="B4528" s="2" t="s">
        <v>13113</v>
      </c>
    </row>
    <row r="4529" spans="1:2" x14ac:dyDescent="0.25">
      <c r="A4529" s="2" t="s">
        <v>13114</v>
      </c>
      <c r="B4529" s="2" t="s">
        <v>13115</v>
      </c>
    </row>
    <row r="4530" spans="1:2" x14ac:dyDescent="0.25">
      <c r="A4530" s="2" t="s">
        <v>13116</v>
      </c>
      <c r="B4530" s="2" t="s">
        <v>13117</v>
      </c>
    </row>
    <row r="4531" spans="1:2" x14ac:dyDescent="0.25">
      <c r="A4531" s="2" t="s">
        <v>13118</v>
      </c>
      <c r="B4531" s="2" t="s">
        <v>13119</v>
      </c>
    </row>
    <row r="4532" spans="1:2" x14ac:dyDescent="0.25">
      <c r="A4532" s="2" t="s">
        <v>13120</v>
      </c>
      <c r="B4532" s="2" t="s">
        <v>13121</v>
      </c>
    </row>
    <row r="4533" spans="1:2" x14ac:dyDescent="0.25">
      <c r="A4533" s="2" t="s">
        <v>13122</v>
      </c>
      <c r="B4533" s="2" t="s">
        <v>13122</v>
      </c>
    </row>
    <row r="4534" spans="1:2" x14ac:dyDescent="0.25">
      <c r="A4534" s="2" t="s">
        <v>13123</v>
      </c>
      <c r="B4534" s="2" t="s">
        <v>13124</v>
      </c>
    </row>
    <row r="4535" spans="1:2" x14ac:dyDescent="0.25">
      <c r="A4535" s="2" t="s">
        <v>13125</v>
      </c>
      <c r="B4535" s="2" t="s">
        <v>13126</v>
      </c>
    </row>
    <row r="4536" spans="1:2" x14ac:dyDescent="0.25">
      <c r="A4536" s="2" t="s">
        <v>13127</v>
      </c>
      <c r="B4536" s="2" t="s">
        <v>13128</v>
      </c>
    </row>
    <row r="4537" spans="1:2" x14ac:dyDescent="0.25">
      <c r="A4537" s="2" t="s">
        <v>13129</v>
      </c>
      <c r="B4537" s="2" t="s">
        <v>13130</v>
      </c>
    </row>
    <row r="4538" spans="1:2" x14ac:dyDescent="0.25">
      <c r="A4538" s="2" t="s">
        <v>13131</v>
      </c>
      <c r="B4538" s="2" t="s">
        <v>13132</v>
      </c>
    </row>
    <row r="4539" spans="1:2" x14ac:dyDescent="0.25">
      <c r="A4539" s="2" t="s">
        <v>13133</v>
      </c>
      <c r="B4539" s="2" t="s">
        <v>13133</v>
      </c>
    </row>
    <row r="4540" spans="1:2" x14ac:dyDescent="0.25">
      <c r="A4540" s="2" t="s">
        <v>13134</v>
      </c>
      <c r="B4540" s="2" t="s">
        <v>13134</v>
      </c>
    </row>
    <row r="4541" spans="1:2" x14ac:dyDescent="0.25">
      <c r="A4541" s="2" t="s">
        <v>13135</v>
      </c>
      <c r="B4541" s="2" t="s">
        <v>13135</v>
      </c>
    </row>
    <row r="4542" spans="1:2" x14ac:dyDescent="0.25">
      <c r="A4542" s="2" t="s">
        <v>13136</v>
      </c>
      <c r="B4542" s="2" t="s">
        <v>13137</v>
      </c>
    </row>
    <row r="4543" spans="1:2" x14ac:dyDescent="0.25">
      <c r="A4543" s="2" t="s">
        <v>13138</v>
      </c>
      <c r="B4543" s="2" t="s">
        <v>13139</v>
      </c>
    </row>
    <row r="4544" spans="1:2" x14ac:dyDescent="0.25">
      <c r="A4544" s="2" t="s">
        <v>13140</v>
      </c>
      <c r="B4544" s="2" t="s">
        <v>13141</v>
      </c>
    </row>
    <row r="4545" spans="1:2" x14ac:dyDescent="0.25">
      <c r="A4545" s="2" t="s">
        <v>13142</v>
      </c>
      <c r="B4545" s="2" t="s">
        <v>13143</v>
      </c>
    </row>
    <row r="4546" spans="1:2" x14ac:dyDescent="0.25">
      <c r="A4546" s="2" t="s">
        <v>13144</v>
      </c>
      <c r="B4546" s="2" t="s">
        <v>13145</v>
      </c>
    </row>
    <row r="4547" spans="1:2" x14ac:dyDescent="0.25">
      <c r="A4547" s="2" t="s">
        <v>13146</v>
      </c>
      <c r="B4547" s="2" t="s">
        <v>13147</v>
      </c>
    </row>
    <row r="4548" spans="1:2" x14ac:dyDescent="0.25">
      <c r="A4548" s="2" t="s">
        <v>13148</v>
      </c>
      <c r="B4548" s="2" t="s">
        <v>13149</v>
      </c>
    </row>
    <row r="4549" spans="1:2" x14ac:dyDescent="0.25">
      <c r="A4549" s="2" t="s">
        <v>13150</v>
      </c>
    </row>
    <row r="4550" spans="1:2" x14ac:dyDescent="0.25">
      <c r="A4550" s="2" t="s">
        <v>13151</v>
      </c>
      <c r="B4550" s="2" t="s">
        <v>13152</v>
      </c>
    </row>
    <row r="4551" spans="1:2" x14ac:dyDescent="0.25">
      <c r="A4551" s="2" t="s">
        <v>13153</v>
      </c>
      <c r="B4551" s="2" t="s">
        <v>13154</v>
      </c>
    </row>
    <row r="4552" spans="1:2" x14ac:dyDescent="0.25">
      <c r="A4552" s="2" t="s">
        <v>13155</v>
      </c>
      <c r="B4552" s="2" t="s">
        <v>13156</v>
      </c>
    </row>
    <row r="4553" spans="1:2" x14ac:dyDescent="0.25">
      <c r="A4553" s="2" t="s">
        <v>13157</v>
      </c>
      <c r="B4553" s="2" t="s">
        <v>13158</v>
      </c>
    </row>
    <row r="4554" spans="1:2" x14ac:dyDescent="0.25">
      <c r="A4554" s="2" t="s">
        <v>13159</v>
      </c>
      <c r="B4554" s="2" t="s">
        <v>13160</v>
      </c>
    </row>
    <row r="4555" spans="1:2" x14ac:dyDescent="0.25">
      <c r="A4555" s="2" t="s">
        <v>13161</v>
      </c>
    </row>
    <row r="4556" spans="1:2" x14ac:dyDescent="0.25">
      <c r="A4556" s="2" t="s">
        <v>13162</v>
      </c>
    </row>
    <row r="4557" spans="1:2" x14ac:dyDescent="0.25">
      <c r="A4557" s="2" t="s">
        <v>13163</v>
      </c>
      <c r="B4557" s="2" t="s">
        <v>13164</v>
      </c>
    </row>
    <row r="4558" spans="1:2" x14ac:dyDescent="0.25">
      <c r="A4558" s="2">
        <v>7711214</v>
      </c>
      <c r="B4558" s="2" t="s">
        <v>11617</v>
      </c>
    </row>
    <row r="4559" spans="1:2" x14ac:dyDescent="0.25">
      <c r="A4559"/>
    </row>
    <row r="4560" spans="1:2" x14ac:dyDescent="0.25">
      <c r="A4560"/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2024-09-05T20:25:15Z</dcterms:modified>
</cp:coreProperties>
</file>