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569" i="3" l="1"/>
  <c r="E570" i="3"/>
  <c r="E571" i="3"/>
  <c r="E553" i="3"/>
  <c r="C552" i="3"/>
  <c r="E552" i="3" s="1"/>
  <c r="E554" i="3"/>
  <c r="E533" i="3"/>
  <c r="E534" i="3"/>
  <c r="E535" i="3"/>
  <c r="C536" i="3"/>
  <c r="E536" i="3" s="1"/>
  <c r="E537" i="3"/>
  <c r="E538" i="3"/>
  <c r="E539" i="3"/>
  <c r="C540" i="3"/>
  <c r="E540" i="3" s="1"/>
  <c r="E541" i="3"/>
  <c r="E542" i="3"/>
  <c r="E543" i="3"/>
  <c r="C544" i="3"/>
  <c r="E544" i="3" s="1"/>
  <c r="E545" i="3"/>
  <c r="E546" i="3"/>
  <c r="E547" i="3"/>
  <c r="C548" i="3"/>
  <c r="E548" i="3" s="1"/>
  <c r="E549" i="3"/>
  <c r="E550" i="3"/>
  <c r="E551" i="3"/>
  <c r="E555" i="3"/>
  <c r="C556" i="3"/>
  <c r="E556" i="3" s="1"/>
  <c r="E557" i="3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68" i="3"/>
  <c r="E568" i="3" s="1"/>
  <c r="C532" i="3"/>
  <c r="E532" i="3" s="1"/>
  <c r="E523" i="3"/>
  <c r="E521" i="3"/>
  <c r="E522" i="3"/>
  <c r="C524" i="3"/>
  <c r="E524" i="3" s="1"/>
  <c r="E525" i="3"/>
  <c r="E526" i="3"/>
  <c r="E527" i="3"/>
  <c r="C528" i="3"/>
  <c r="E528" i="3" s="1"/>
  <c r="E529" i="3"/>
  <c r="E530" i="3"/>
  <c r="E531" i="3"/>
  <c r="C520" i="3"/>
  <c r="E520" i="3" s="1"/>
  <c r="E517" i="3" l="1"/>
  <c r="E518" i="3"/>
  <c r="E519" i="3"/>
  <c r="C516" i="3"/>
  <c r="E516" i="3" s="1"/>
  <c r="E515" i="3"/>
  <c r="E513" i="3"/>
  <c r="C512" i="3"/>
  <c r="E512" i="3" s="1"/>
  <c r="E514" i="3"/>
  <c r="E507" i="3"/>
  <c r="C508" i="3"/>
  <c r="E508" i="3" s="1"/>
  <c r="E509" i="3"/>
  <c r="C510" i="3"/>
  <c r="E510" i="3" s="1"/>
  <c r="E511" i="3"/>
  <c r="C506" i="3"/>
  <c r="E506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505" i="3"/>
  <c r="C504" i="3"/>
  <c r="E504" i="3" s="1"/>
  <c r="E503" i="3"/>
  <c r="E499" i="3"/>
  <c r="C500" i="3"/>
  <c r="E500" i="3"/>
  <c r="E501" i="3"/>
  <c r="C502" i="3"/>
  <c r="E502" i="3"/>
  <c r="C498" i="3"/>
  <c r="E498" i="3" s="1"/>
  <c r="E479" i="3" l="1"/>
  <c r="C480" i="3"/>
  <c r="E480" i="3"/>
  <c r="E481" i="3"/>
  <c r="C482" i="3"/>
  <c r="E482" i="3"/>
  <c r="E483" i="3"/>
  <c r="C484" i="3"/>
  <c r="E484" i="3"/>
  <c r="E485" i="3"/>
  <c r="C486" i="3"/>
  <c r="E486" i="3"/>
  <c r="E487" i="3"/>
  <c r="C488" i="3"/>
  <c r="E488" i="3"/>
  <c r="E489" i="3"/>
  <c r="C490" i="3"/>
  <c r="E490" i="3"/>
  <c r="E491" i="3"/>
  <c r="C492" i="3"/>
  <c r="E492" i="3"/>
  <c r="E493" i="3"/>
  <c r="C494" i="3"/>
  <c r="E494" i="3"/>
  <c r="E495" i="3"/>
  <c r="C496" i="3"/>
  <c r="E496" i="3"/>
  <c r="E497" i="3"/>
  <c r="C478" i="3"/>
  <c r="E478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472" i="3"/>
  <c r="E472" i="3" s="1"/>
  <c r="E473" i="3"/>
  <c r="C474" i="3"/>
  <c r="E474" i="3" s="1"/>
  <c r="E475" i="3"/>
  <c r="C476" i="3"/>
  <c r="E476" i="3" s="1"/>
  <c r="E477" i="3"/>
  <c r="E470" i="3"/>
  <c r="E468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84" i="3" l="1"/>
  <c r="E386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467" i="3"/>
  <c r="E467" i="3" s="1"/>
  <c r="C469" i="3"/>
  <c r="E469" i="3" s="1"/>
  <c r="C471" i="3"/>
  <c r="E471" i="3" s="1"/>
  <c r="E465" i="3"/>
  <c r="E466" i="3"/>
  <c r="C464" i="3"/>
  <c r="E464" i="3" s="1"/>
  <c r="E461" i="3"/>
  <c r="E462" i="3"/>
  <c r="E463" i="3"/>
  <c r="C460" i="3"/>
  <c r="E460" i="3" s="1"/>
  <c r="E457" i="3"/>
  <c r="E458" i="3"/>
  <c r="E459" i="3"/>
  <c r="C456" i="3"/>
  <c r="E456" i="3" s="1"/>
  <c r="E453" i="3"/>
  <c r="E454" i="3"/>
  <c r="E455" i="3"/>
  <c r="C452" i="3"/>
  <c r="E452" i="3" s="1"/>
  <c r="C355" i="2" l="1"/>
  <c r="E355" i="2" s="1"/>
  <c r="C395" i="2"/>
  <c r="E395" i="2" s="1"/>
  <c r="C335" i="2"/>
  <c r="E335" i="2" s="1"/>
  <c r="C48" i="2"/>
  <c r="E48" i="2" s="1"/>
  <c r="C265" i="2"/>
  <c r="E265" i="2" s="1"/>
  <c r="C260" i="2"/>
  <c r="E260" i="2" s="1"/>
  <c r="C263" i="2"/>
  <c r="E263" i="2" s="1"/>
  <c r="C262" i="2"/>
  <c r="E262" i="2" s="1"/>
  <c r="C243" i="2"/>
  <c r="E243" i="2" s="1"/>
  <c r="C343" i="2"/>
  <c r="E343" i="2" s="1"/>
  <c r="C344" i="2"/>
  <c r="E344" i="2" s="1"/>
  <c r="C103" i="2"/>
  <c r="E103" i="2" s="1"/>
  <c r="C476" i="2"/>
  <c r="E476" i="2" s="1"/>
  <c r="C477" i="2"/>
  <c r="E477" i="2"/>
  <c r="C483" i="2"/>
  <c r="E483" i="2" s="1"/>
  <c r="C491" i="2"/>
  <c r="E491" i="2" s="1"/>
  <c r="C489" i="2"/>
  <c r="E489" i="2" s="1"/>
  <c r="C481" i="2"/>
  <c r="E481" i="2" s="1"/>
  <c r="C493" i="2"/>
  <c r="E493" i="2" s="1"/>
  <c r="C487" i="2"/>
  <c r="E487" i="2" s="1"/>
  <c r="C474" i="2"/>
  <c r="E474" i="2" s="1"/>
  <c r="C478" i="2"/>
  <c r="E478" i="2" s="1"/>
  <c r="C492" i="2"/>
  <c r="E492" i="2" s="1"/>
  <c r="C494" i="2"/>
  <c r="E494" i="2" s="1"/>
  <c r="C466" i="2"/>
  <c r="E466" i="2" s="1"/>
  <c r="C538" i="2"/>
  <c r="E538" i="2" s="1"/>
  <c r="C555" i="2"/>
  <c r="E555" i="2" s="1"/>
  <c r="C50" i="2"/>
  <c r="E50" i="2" s="1"/>
  <c r="C556" i="2"/>
  <c r="E556" i="2" s="1"/>
  <c r="C564" i="2"/>
  <c r="E564" i="2" s="1"/>
  <c r="C563" i="2"/>
  <c r="E563" i="2" s="1"/>
  <c r="E451" i="3" l="1"/>
  <c r="C450" i="3"/>
  <c r="E450" i="3" s="1"/>
  <c r="E447" i="3"/>
  <c r="E448" i="3"/>
  <c r="E449" i="3"/>
  <c r="C446" i="3"/>
  <c r="E446" i="3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339" i="2" l="1"/>
  <c r="E339" i="2" s="1"/>
  <c r="C245" i="2" l="1"/>
  <c r="E245" i="2" s="1"/>
  <c r="C551" i="2"/>
  <c r="E551" i="2" s="1"/>
  <c r="B1" i="6"/>
  <c r="C557" i="2" l="1"/>
  <c r="E557" i="2" s="1"/>
  <c r="C464" i="2"/>
  <c r="E464" i="2" s="1"/>
  <c r="C482" i="2"/>
  <c r="E482" i="2" s="1"/>
  <c r="C543" i="2" l="1"/>
  <c r="E543" i="2" s="1"/>
  <c r="C546" i="2"/>
  <c r="E546" i="2" s="1"/>
  <c r="C580" i="2" l="1"/>
  <c r="E580" i="2" s="1"/>
  <c r="C485" i="2"/>
  <c r="E485" i="2" s="1"/>
  <c r="C519" i="2"/>
  <c r="E519" i="2" s="1"/>
  <c r="C469" i="2"/>
  <c r="E469" i="2" s="1"/>
  <c r="C471" i="2"/>
  <c r="E471" i="2" s="1"/>
  <c r="C508" i="2"/>
  <c r="E508" i="2" s="1"/>
  <c r="C504" i="2"/>
  <c r="E504" i="2" s="1"/>
  <c r="C517" i="2"/>
  <c r="E517" i="2" s="1"/>
  <c r="C515" i="2"/>
  <c r="E515" i="2" s="1"/>
  <c r="C511" i="2"/>
  <c r="E511" i="2" s="1"/>
  <c r="C516" i="2"/>
  <c r="E516" i="2" s="1"/>
  <c r="C498" i="2"/>
  <c r="E498" i="2" s="1"/>
  <c r="C460" i="2"/>
  <c r="E460" i="2" s="1"/>
  <c r="C513" i="2"/>
  <c r="E513" i="2" s="1"/>
  <c r="C505" i="2"/>
  <c r="E505" i="2" s="1"/>
  <c r="C507" i="2"/>
  <c r="E507" i="2" s="1"/>
  <c r="C503" i="2"/>
  <c r="E503" i="2" s="1"/>
  <c r="C501" i="2"/>
  <c r="E501" i="2" s="1"/>
  <c r="C500" i="2"/>
  <c r="E500" i="2" s="1"/>
  <c r="C497" i="2"/>
  <c r="E497" i="2" s="1"/>
  <c r="C506" i="2"/>
  <c r="E506" i="2" s="1"/>
  <c r="C247" i="2" l="1"/>
  <c r="E247" i="2" s="1"/>
  <c r="C249" i="2"/>
  <c r="E249" i="2" s="1"/>
  <c r="C250" i="2"/>
  <c r="E250" i="2" s="1"/>
  <c r="C251" i="2"/>
  <c r="E251" i="2" s="1"/>
  <c r="C246" i="2"/>
  <c r="E246" i="2" s="1"/>
  <c r="C252" i="2"/>
  <c r="E252" i="2" s="1"/>
  <c r="C248" i="2"/>
  <c r="E248" i="2" s="1"/>
  <c r="C463" i="2"/>
  <c r="E463" i="2" s="1"/>
  <c r="C579" i="2"/>
  <c r="E579" i="2" s="1"/>
  <c r="C253" i="2"/>
  <c r="E253" i="2" s="1"/>
  <c r="C499" i="2"/>
  <c r="E499" i="2" s="1"/>
  <c r="C255" i="2"/>
  <c r="E255" i="2" s="1"/>
  <c r="C244" i="2"/>
  <c r="E244" i="2" s="1"/>
  <c r="C369" i="2"/>
  <c r="E369" i="2" s="1"/>
  <c r="C379" i="2"/>
  <c r="E379" i="2" s="1"/>
  <c r="C368" i="2"/>
  <c r="E368" i="2" s="1"/>
  <c r="C370" i="2"/>
  <c r="E370" i="2" s="1"/>
  <c r="C363" i="2"/>
  <c r="E363" i="2" s="1"/>
  <c r="C364" i="2"/>
  <c r="E364" i="2" s="1"/>
  <c r="C382" i="2"/>
  <c r="E382" i="2" s="1"/>
  <c r="C381" i="2"/>
  <c r="E381" i="2" s="1"/>
  <c r="C525" i="2"/>
  <c r="E525" i="2" s="1"/>
  <c r="C360" i="2"/>
  <c r="E360" i="2" s="1"/>
  <c r="C367" i="2"/>
  <c r="E367" i="2" s="1"/>
  <c r="C372" i="2"/>
  <c r="E372" i="2" s="1"/>
  <c r="C378" i="2"/>
  <c r="E378" i="2" s="1"/>
  <c r="C386" i="2"/>
  <c r="E386" i="2" s="1"/>
  <c r="C384" i="2"/>
  <c r="E384" i="2" s="1"/>
  <c r="C361" i="2"/>
  <c r="E361" i="2" s="1"/>
  <c r="C496" i="2"/>
  <c r="E496" i="2" s="1"/>
  <c r="C358" i="2"/>
  <c r="E358" i="2" s="1"/>
  <c r="C359" i="2"/>
  <c r="E359" i="2" s="1"/>
  <c r="C524" i="2"/>
  <c r="E524" i="2" s="1"/>
  <c r="C377" i="2"/>
  <c r="E377" i="2" s="1"/>
  <c r="C373" i="2"/>
  <c r="E373" i="2" s="1"/>
  <c r="C376" i="2"/>
  <c r="E376" i="2" s="1"/>
  <c r="C374" i="2"/>
  <c r="E374" i="2" s="1"/>
  <c r="C375" i="2"/>
  <c r="E375" i="2" s="1"/>
  <c r="C528" i="2"/>
  <c r="E528" i="2" s="1"/>
  <c r="C366" i="2"/>
  <c r="E366" i="2" s="1"/>
  <c r="C380" i="2"/>
  <c r="E380" i="2" s="1"/>
  <c r="C357" i="2"/>
  <c r="E357" i="2" s="1"/>
  <c r="C365" i="2"/>
  <c r="E365" i="2" s="1"/>
  <c r="C527" i="2"/>
  <c r="E527" i="2" s="1"/>
  <c r="C495" i="2"/>
  <c r="E495" i="2" s="1"/>
  <c r="C472" i="2" l="1"/>
  <c r="E472" i="2" s="1"/>
  <c r="C473" i="2"/>
  <c r="E473" i="2" s="1"/>
  <c r="C539" i="2"/>
  <c r="E539" i="2" s="1"/>
  <c r="C56" i="2"/>
  <c r="E56" i="2" s="1"/>
  <c r="C561" i="2" l="1"/>
  <c r="E561" i="2" s="1"/>
  <c r="C470" i="2" l="1"/>
  <c r="E470" i="2" s="1"/>
  <c r="E443" i="3" l="1"/>
  <c r="E444" i="3"/>
  <c r="E445" i="3"/>
  <c r="C442" i="3"/>
  <c r="E442" i="3" s="1"/>
  <c r="E439" i="3"/>
  <c r="E440" i="3"/>
  <c r="E441" i="3"/>
  <c r="C438" i="3"/>
  <c r="E438" i="3" s="1"/>
  <c r="C435" i="3"/>
  <c r="E435" i="3" s="1"/>
  <c r="E436" i="3"/>
  <c r="E437" i="3"/>
  <c r="C412" i="3" l="1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C421" i="3"/>
  <c r="E421" i="3" s="1"/>
  <c r="E422" i="3"/>
  <c r="C423" i="3"/>
  <c r="E423" i="3" s="1"/>
  <c r="C424" i="3"/>
  <c r="E424" i="3" s="1"/>
  <c r="E425" i="3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434" i="3"/>
  <c r="E434" i="3" s="1"/>
  <c r="C187" i="2" l="1"/>
  <c r="E187" i="2" s="1"/>
  <c r="C199" i="2"/>
  <c r="E199" i="2" s="1"/>
  <c r="C178" i="2"/>
  <c r="E178" i="2" s="1"/>
  <c r="C182" i="2"/>
  <c r="E182" i="2" s="1"/>
  <c r="C162" i="2"/>
  <c r="E162" i="2" s="1"/>
  <c r="C3" i="2" l="1"/>
  <c r="E3" i="2" s="1"/>
  <c r="C176" i="2"/>
  <c r="E176" i="2" s="1"/>
  <c r="C4" i="2" l="1"/>
  <c r="E4" i="2" s="1"/>
  <c r="C415" i="2"/>
  <c r="E415" i="2" s="1"/>
  <c r="C457" i="2"/>
  <c r="E457" i="2" s="1"/>
  <c r="C258" i="2" l="1"/>
  <c r="E258" i="2" s="1"/>
  <c r="C97" i="4" l="1"/>
  <c r="E97" i="4" s="1"/>
  <c r="C98" i="4"/>
  <c r="E98" i="4" s="1"/>
  <c r="C410" i="3" l="1"/>
  <c r="E410" i="3" s="1"/>
  <c r="E411" i="3"/>
  <c r="C408" i="3"/>
  <c r="E408" i="3" s="1"/>
  <c r="E409" i="3"/>
  <c r="E403" i="3" l="1"/>
  <c r="C404" i="3"/>
  <c r="E404" i="3" s="1"/>
  <c r="C405" i="3"/>
  <c r="E405" i="3" s="1"/>
  <c r="E406" i="3"/>
  <c r="C407" i="3"/>
  <c r="E407" i="3" s="1"/>
  <c r="C301" i="2" l="1"/>
  <c r="E301" i="2" s="1"/>
  <c r="C302" i="2"/>
  <c r="E302" i="2" s="1"/>
  <c r="C300" i="2"/>
  <c r="E300" i="2" s="1"/>
  <c r="C297" i="2"/>
  <c r="E297" i="2" s="1"/>
  <c r="C299" i="2"/>
  <c r="E299" i="2" s="1"/>
  <c r="C298" i="2"/>
  <c r="E298" i="2" s="1"/>
  <c r="C296" i="2"/>
  <c r="E296" i="2" s="1"/>
  <c r="C345" i="2" l="1"/>
  <c r="E345" i="2" s="1"/>
  <c r="C347" i="2"/>
  <c r="E347" i="2" s="1"/>
  <c r="C349" i="2"/>
  <c r="E349" i="2" s="1"/>
  <c r="C346" i="2"/>
  <c r="E346" i="2" s="1"/>
  <c r="C348" i="2"/>
  <c r="E348" i="2" s="1"/>
  <c r="C350" i="2"/>
  <c r="E350" i="2" s="1"/>
  <c r="C96" i="4" l="1"/>
  <c r="E96" i="4" s="1"/>
  <c r="C94" i="4" l="1"/>
  <c r="E94" i="4" s="1"/>
  <c r="C95" i="4"/>
  <c r="E95" i="4" s="1"/>
  <c r="C356" i="2"/>
  <c r="E356" i="2" s="1"/>
  <c r="C7" i="2" l="1"/>
  <c r="E7" i="2" s="1"/>
  <c r="E402" i="3" l="1"/>
  <c r="C401" i="3"/>
  <c r="E401" i="3" s="1"/>
  <c r="E400" i="3" l="1"/>
  <c r="E398" i="3"/>
  <c r="C399" i="3"/>
  <c r="E399" i="3" s="1"/>
  <c r="C397" i="3"/>
  <c r="E397" i="3" s="1"/>
  <c r="E252" i="3"/>
  <c r="E396" i="3" l="1"/>
  <c r="C395" i="3"/>
  <c r="E395" i="3" s="1"/>
  <c r="E394" i="3"/>
  <c r="C393" i="3"/>
  <c r="E393" i="3" s="1"/>
  <c r="E392" i="3"/>
  <c r="C391" i="3"/>
  <c r="E391" i="3" s="1"/>
  <c r="E390" i="3"/>
  <c r="C389" i="3"/>
  <c r="E389" i="3" s="1"/>
  <c r="E388" i="3"/>
  <c r="C387" i="3"/>
  <c r="E387" i="3" s="1"/>
  <c r="C385" i="3"/>
  <c r="E385" i="3" s="1"/>
  <c r="C383" i="3"/>
  <c r="E383" i="3" s="1"/>
  <c r="C362" i="2" l="1"/>
  <c r="E362" i="2" s="1"/>
  <c r="E382" i="3" l="1"/>
  <c r="C381" i="3"/>
  <c r="E378" i="3" l="1"/>
  <c r="E379" i="3"/>
  <c r="C377" i="3"/>
  <c r="E377" i="3" s="1"/>
  <c r="E381" i="3"/>
  <c r="E380" i="3"/>
  <c r="C484" i="2" l="1"/>
  <c r="E484" i="2" s="1"/>
  <c r="C486" i="2"/>
  <c r="E486" i="2" s="1"/>
  <c r="C522" i="2"/>
  <c r="E522" i="2" s="1"/>
  <c r="C523" i="2"/>
  <c r="E523" i="2" s="1"/>
  <c r="C521" i="2"/>
  <c r="E521" i="2" s="1"/>
  <c r="C332" i="2" l="1"/>
  <c r="E33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9" i="2"/>
  <c r="E269" i="2" s="1"/>
  <c r="C267" i="2"/>
  <c r="E267" i="2" s="1"/>
  <c r="C270" i="2"/>
  <c r="E270" i="2" s="1"/>
  <c r="C340" i="2"/>
  <c r="E340" i="2" s="1"/>
  <c r="C130" i="2"/>
  <c r="E130" i="2" s="1"/>
  <c r="C268" i="2"/>
  <c r="E268" i="2" s="1"/>
  <c r="C266" i="2"/>
  <c r="E26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23" i="2" l="1"/>
  <c r="E323" i="2" s="1"/>
  <c r="C317" i="2"/>
  <c r="E317" i="2" s="1"/>
  <c r="C76" i="2" l="1"/>
  <c r="E76" i="2" s="1"/>
  <c r="C69" i="2"/>
  <c r="E69" i="2" s="1"/>
  <c r="C51" i="2" l="1"/>
  <c r="E51" i="2" s="1"/>
  <c r="C109" i="2" l="1"/>
  <c r="E109" i="2" s="1"/>
  <c r="C566" i="2"/>
  <c r="E566" i="2" s="1"/>
  <c r="C70" i="2" l="1"/>
  <c r="E70" i="2" s="1"/>
  <c r="C66" i="2" l="1"/>
  <c r="E66" i="2" s="1"/>
  <c r="C79" i="2"/>
  <c r="E79" i="2" s="1"/>
  <c r="C83" i="2"/>
  <c r="E83" i="2" s="1"/>
  <c r="C85" i="2"/>
  <c r="E85" i="2" s="1"/>
  <c r="C80" i="2"/>
  <c r="E80" i="2" s="1"/>
  <c r="C65" i="2"/>
  <c r="E65" i="2" s="1"/>
  <c r="C67" i="2"/>
  <c r="E67" i="2" s="1"/>
  <c r="C81" i="2"/>
  <c r="E81" i="2" s="1"/>
  <c r="C73" i="2"/>
  <c r="E73" i="2" s="1"/>
  <c r="C68" i="2"/>
  <c r="E68" i="2" s="1"/>
  <c r="C82" i="2"/>
  <c r="E82" i="2" s="1"/>
  <c r="C63" i="2" l="1"/>
  <c r="E63" i="2" s="1"/>
  <c r="C86" i="2"/>
  <c r="E86" i="2" s="1"/>
  <c r="C78" i="2"/>
  <c r="E78" i="2" s="1"/>
  <c r="C71" i="2" l="1"/>
  <c r="E71" i="2" s="1"/>
  <c r="C84" i="2" l="1"/>
  <c r="E84" i="2" s="1"/>
  <c r="C77" i="2" l="1"/>
  <c r="E77" i="2" s="1"/>
  <c r="C264" i="2"/>
  <c r="E264" i="2" s="1"/>
  <c r="C131" i="2" l="1"/>
  <c r="E131" i="2" s="1"/>
  <c r="C398" i="2"/>
  <c r="E398" i="2" s="1"/>
  <c r="C400" i="2"/>
  <c r="E400" i="2" s="1"/>
  <c r="C399" i="2"/>
  <c r="E399" i="2" s="1"/>
  <c r="C402" i="2"/>
  <c r="E402" i="2" s="1"/>
  <c r="C401" i="2"/>
  <c r="E401" i="2" s="1"/>
  <c r="C159" i="2" l="1"/>
  <c r="E159" i="2" s="1"/>
  <c r="C221" i="2"/>
  <c r="E221" i="2" s="1"/>
  <c r="C144" i="2"/>
  <c r="E144" i="2" s="1"/>
  <c r="C218" i="2" l="1"/>
  <c r="E218" i="2" s="1"/>
  <c r="C219" i="2"/>
  <c r="E219" i="2" s="1"/>
  <c r="C226" i="2" l="1"/>
  <c r="E226" i="2" s="1"/>
  <c r="C223" i="2"/>
  <c r="E223" i="2" s="1"/>
  <c r="C224" i="2"/>
  <c r="E224" i="2" s="1"/>
  <c r="C222" i="2"/>
  <c r="E222" i="2" s="1"/>
  <c r="C5" i="2"/>
  <c r="E5" i="2" s="1"/>
  <c r="C454" i="2" l="1"/>
  <c r="E454" i="2" s="1"/>
  <c r="C552" i="2" l="1"/>
  <c r="E552" i="2" s="1"/>
  <c r="C544" i="2" l="1"/>
  <c r="E544" i="2" s="1"/>
  <c r="C541" i="2" l="1"/>
  <c r="E541" i="2" s="1"/>
  <c r="C540" i="2" l="1"/>
  <c r="E540" i="2" s="1"/>
  <c r="C520" i="2" l="1"/>
  <c r="E520" i="2" s="1"/>
  <c r="C465" i="2" l="1"/>
  <c r="E465" i="2" s="1"/>
  <c r="C385" i="2"/>
  <c r="E385" i="2" s="1"/>
  <c r="C371" i="2"/>
  <c r="E371" i="2" s="1"/>
  <c r="C383" i="2"/>
  <c r="E383" i="2" s="1"/>
  <c r="C488" i="2" l="1"/>
  <c r="E488" i="2" s="1"/>
  <c r="C467" i="2" l="1"/>
  <c r="E467" i="2" s="1"/>
  <c r="C542" i="2"/>
  <c r="E542" i="2" s="1"/>
  <c r="C502" i="2" l="1"/>
  <c r="E502" i="2" s="1"/>
  <c r="C518" i="2"/>
  <c r="E518" i="2" s="1"/>
  <c r="C141" i="2" l="1"/>
  <c r="E141" i="2" s="1"/>
  <c r="C211" i="2"/>
  <c r="E211" i="2" s="1"/>
  <c r="C220" i="2"/>
  <c r="E220" i="2" s="1"/>
  <c r="C240" i="2" l="1"/>
  <c r="E240" i="2" s="1"/>
  <c r="C215" i="2" l="1"/>
  <c r="E215" i="2" s="1"/>
  <c r="C214" i="2"/>
  <c r="E214" i="2" s="1"/>
  <c r="C236" i="2"/>
  <c r="E236" i="2" s="1"/>
  <c r="C228" i="2" l="1"/>
  <c r="E228" i="2" s="1"/>
  <c r="C227" i="2"/>
  <c r="E227" i="2" s="1"/>
  <c r="C143" i="2"/>
  <c r="C427" i="2"/>
  <c r="E427" i="2" s="1"/>
  <c r="C409" i="2"/>
  <c r="E409" i="2" s="1"/>
  <c r="C405" i="2"/>
  <c r="E405" i="2" s="1"/>
  <c r="C407" i="2"/>
  <c r="E407" i="2" s="1"/>
  <c r="C413" i="2"/>
  <c r="E413" i="2" s="1"/>
  <c r="C406" i="2"/>
  <c r="E406" i="2" s="1"/>
  <c r="C411" i="2"/>
  <c r="E411" i="2" s="1"/>
  <c r="C430" i="2"/>
  <c r="E430" i="2" s="1"/>
  <c r="C428" i="2"/>
  <c r="C6" i="2" l="1"/>
  <c r="C239" i="2"/>
  <c r="C225" i="2"/>
  <c r="C329" i="2" l="1"/>
  <c r="E329" i="2" s="1"/>
  <c r="C316" i="2"/>
  <c r="E316" i="2" s="1"/>
  <c r="C212" i="2" l="1"/>
  <c r="E212" i="2" s="1"/>
  <c r="C213" i="2"/>
  <c r="E213" i="2" s="1"/>
  <c r="C305" i="2"/>
  <c r="C313" i="2"/>
  <c r="C328" i="2"/>
  <c r="C312" i="2"/>
  <c r="C306" i="2"/>
  <c r="E306" i="2" s="1"/>
  <c r="C303" i="2"/>
  <c r="E303" i="2" s="1"/>
  <c r="C304" i="2"/>
  <c r="E304" i="2" s="1"/>
  <c r="C311" i="2"/>
  <c r="E311" i="2" s="1"/>
  <c r="C308" i="2"/>
  <c r="E308" i="2" s="1"/>
  <c r="C307" i="2"/>
  <c r="E307" i="2" s="1"/>
  <c r="C314" i="2"/>
  <c r="E314" i="2" s="1"/>
  <c r="C318" i="2"/>
  <c r="E318" i="2" s="1"/>
  <c r="C320" i="2"/>
  <c r="E320" i="2" s="1"/>
  <c r="C319" i="2"/>
  <c r="E319" i="2" s="1"/>
  <c r="C315" i="2"/>
  <c r="E315" i="2" s="1"/>
  <c r="C309" i="2"/>
  <c r="E309" i="2" s="1"/>
  <c r="C310" i="2"/>
  <c r="E310" i="2" s="1"/>
  <c r="C326" i="2" l="1"/>
  <c r="E326" i="2" s="1"/>
  <c r="C216" i="2" l="1"/>
  <c r="E216" i="2" s="1"/>
  <c r="C156" i="2"/>
  <c r="E156" i="2" s="1"/>
  <c r="C165" i="2"/>
  <c r="E165" i="2" s="1"/>
  <c r="C161" i="2"/>
  <c r="E161" i="2" s="1"/>
  <c r="C140" i="2"/>
  <c r="E140" i="2" s="1"/>
  <c r="C139" i="2"/>
  <c r="E139" i="2" s="1"/>
  <c r="E312" i="2"/>
  <c r="E328" i="2"/>
  <c r="E313" i="2"/>
  <c r="E305" i="2"/>
  <c r="E225" i="2"/>
  <c r="E239" i="2"/>
  <c r="E6" i="2"/>
  <c r="E428" i="2"/>
  <c r="E143" i="2"/>
  <c r="C169" i="2"/>
  <c r="E169" i="2" s="1"/>
  <c r="C166" i="2"/>
  <c r="E166" i="2" s="1"/>
  <c r="C132" i="2"/>
  <c r="E132" i="2" s="1"/>
  <c r="C134" i="2"/>
  <c r="E134" i="2" s="1"/>
  <c r="C133" i="2"/>
  <c r="E133" i="2" s="1"/>
  <c r="C35" i="2" l="1"/>
  <c r="E35" i="2" s="1"/>
  <c r="C325" i="2"/>
  <c r="E325" i="2" s="1"/>
  <c r="C324" i="2"/>
  <c r="E324" i="2" s="1"/>
  <c r="C330" i="2"/>
  <c r="E330" i="2" s="1"/>
  <c r="C327" i="2"/>
  <c r="E327" i="2" s="1"/>
  <c r="C322" i="2"/>
  <c r="E322" i="2" s="1"/>
  <c r="C321" i="2"/>
  <c r="E321" i="2" s="1"/>
  <c r="C426" i="2" l="1"/>
  <c r="E426" i="2" s="1"/>
  <c r="C2" i="2"/>
  <c r="E2" i="2" s="1"/>
  <c r="C293" i="2"/>
  <c r="E293" i="2" s="1"/>
  <c r="C292" i="2"/>
  <c r="E292" i="2" s="1"/>
  <c r="C289" i="2" l="1"/>
  <c r="E289" i="2" s="1"/>
  <c r="C416" i="2"/>
  <c r="E416" i="2" s="1"/>
  <c r="C449" i="2"/>
  <c r="E449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7" i="2" l="1"/>
  <c r="E137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9" i="2" l="1"/>
  <c r="E49" i="2" s="1"/>
  <c r="C562" i="2" l="1"/>
  <c r="E562" i="2" s="1"/>
  <c r="C560" i="2"/>
  <c r="E560" i="2" s="1"/>
  <c r="E112" i="3" l="1"/>
  <c r="E114" i="3"/>
  <c r="C110" i="3"/>
  <c r="E110" i="3" s="1"/>
  <c r="C87" i="2"/>
  <c r="E87" i="2" s="1"/>
  <c r="E126" i="2"/>
  <c r="E127" i="2"/>
  <c r="C424" i="2" l="1"/>
  <c r="E424" i="2" s="1"/>
  <c r="C420" i="2"/>
  <c r="E420" i="2" s="1"/>
  <c r="C423" i="2"/>
  <c r="E423" i="2" s="1"/>
  <c r="C422" i="2"/>
  <c r="E422" i="2" s="1"/>
  <c r="C425" i="2"/>
  <c r="E425" i="2" s="1"/>
  <c r="C421" i="2"/>
  <c r="E421" i="2" s="1"/>
  <c r="C128" i="2"/>
  <c r="E128" i="2" s="1"/>
  <c r="C129" i="2"/>
  <c r="E129" i="2" s="1"/>
  <c r="E156" i="3"/>
  <c r="C155" i="3"/>
  <c r="E155" i="3" s="1"/>
  <c r="C450" i="2" l="1"/>
  <c r="E450" i="2" s="1"/>
  <c r="E37" i="3" l="1"/>
  <c r="E35" i="3"/>
  <c r="E36" i="3"/>
  <c r="E163" i="3"/>
  <c r="E162" i="3"/>
  <c r="C161" i="3"/>
  <c r="E161" i="3" s="1"/>
  <c r="E190" i="3"/>
  <c r="C188" i="3"/>
  <c r="E188" i="3" s="1"/>
  <c r="E189" i="3"/>
  <c r="C39" i="2"/>
  <c r="E39" i="2" s="1"/>
  <c r="C74" i="2"/>
  <c r="E74" i="2" s="1"/>
  <c r="C72" i="2"/>
  <c r="E72" i="2" s="1"/>
  <c r="C60" i="2"/>
  <c r="E60" i="2" s="1"/>
  <c r="C90" i="2"/>
  <c r="E90" i="2" s="1"/>
  <c r="C92" i="2"/>
  <c r="E92" i="2" s="1"/>
  <c r="C93" i="2"/>
  <c r="E93" i="2" s="1"/>
  <c r="C104" i="2"/>
  <c r="E104" i="2" s="1"/>
  <c r="C91" i="2"/>
  <c r="E91" i="2" s="1"/>
  <c r="C94" i="2"/>
  <c r="E94" i="2" s="1"/>
  <c r="C95" i="2"/>
  <c r="E95" i="2" s="1"/>
  <c r="C97" i="2"/>
  <c r="E97" i="2" s="1"/>
  <c r="C98" i="2"/>
  <c r="E98" i="2" s="1"/>
  <c r="C96" i="2"/>
  <c r="E96" i="2" s="1"/>
  <c r="C101" i="2"/>
  <c r="E101" i="2" s="1"/>
  <c r="C102" i="2"/>
  <c r="E102" i="2" s="1"/>
  <c r="C106" i="2"/>
  <c r="E106" i="2" s="1"/>
  <c r="C107" i="2"/>
  <c r="E107" i="2" s="1"/>
  <c r="C116" i="2"/>
  <c r="E116" i="2" s="1"/>
  <c r="C545" i="2"/>
  <c r="E545" i="2" s="1"/>
  <c r="C257" i="2"/>
  <c r="E257" i="2" s="1"/>
  <c r="C256" i="2"/>
  <c r="E256" i="2" s="1"/>
  <c r="C259" i="2"/>
  <c r="E259" i="2" s="1"/>
  <c r="C272" i="2"/>
  <c r="E272" i="2" s="1"/>
  <c r="C271" i="2"/>
  <c r="E271" i="2" s="1"/>
  <c r="C273" i="2"/>
  <c r="E273" i="2" s="1"/>
  <c r="C276" i="2"/>
  <c r="E276" i="2" s="1"/>
  <c r="C280" i="2"/>
  <c r="E280" i="2" s="1"/>
  <c r="C341" i="2"/>
  <c r="E341" i="2" s="1"/>
  <c r="C342" i="2"/>
  <c r="E342" i="2" s="1"/>
  <c r="C461" i="2"/>
  <c r="E461" i="2" s="1"/>
  <c r="C475" i="2"/>
  <c r="E475" i="2" s="1"/>
  <c r="C510" i="2"/>
  <c r="E510" i="2" s="1"/>
  <c r="C468" i="2"/>
  <c r="E468" i="2" s="1"/>
  <c r="C514" i="2"/>
  <c r="E514" i="2" s="1"/>
  <c r="C512" i="2"/>
  <c r="E512" i="2" s="1"/>
  <c r="C529" i="2"/>
  <c r="E529" i="2" s="1"/>
  <c r="C530" i="2"/>
  <c r="E530" i="2" s="1"/>
  <c r="C531" i="2"/>
  <c r="E531" i="2" s="1"/>
  <c r="C532" i="2"/>
  <c r="E532" i="2" s="1"/>
  <c r="C534" i="2"/>
  <c r="E534" i="2" s="1"/>
  <c r="C567" i="2"/>
  <c r="E567" i="2" s="1"/>
  <c r="C568" i="2"/>
  <c r="E568" i="2" s="1"/>
  <c r="C569" i="2"/>
  <c r="E569" i="2" s="1"/>
  <c r="C570" i="2"/>
  <c r="E570" i="2" s="1"/>
  <c r="C572" i="2"/>
  <c r="E572" i="2" s="1"/>
  <c r="C571" i="2"/>
  <c r="E571" i="2" s="1"/>
  <c r="C573" i="2"/>
  <c r="E573" i="2" s="1"/>
  <c r="C574" i="2"/>
  <c r="E574" i="2" s="1"/>
  <c r="C575" i="2"/>
  <c r="E575" i="2" s="1"/>
  <c r="C576" i="2"/>
  <c r="E576" i="2" s="1"/>
  <c r="C577" i="2"/>
  <c r="E577" i="2" s="1"/>
  <c r="C595" i="2"/>
  <c r="E595" i="2" s="1"/>
  <c r="C596" i="2"/>
  <c r="E596" i="2" s="1"/>
  <c r="C597" i="2"/>
  <c r="E597" i="2" s="1"/>
  <c r="C598" i="2"/>
  <c r="E598" i="2" s="1"/>
  <c r="C599" i="2"/>
  <c r="E599" i="2" s="1"/>
  <c r="C600" i="2"/>
  <c r="E600" i="2" s="1"/>
  <c r="C601" i="2"/>
  <c r="E601" i="2" s="1"/>
  <c r="C602" i="2"/>
  <c r="E602" i="2" s="1"/>
  <c r="C603" i="2"/>
  <c r="E603" i="2" s="1"/>
  <c r="C592" i="2"/>
  <c r="E592" i="2" s="1"/>
  <c r="C593" i="2"/>
  <c r="E593" i="2" s="1"/>
  <c r="C594" i="2"/>
  <c r="E594" i="2" s="1"/>
  <c r="C604" i="2"/>
  <c r="E604" i="2" s="1"/>
  <c r="C605" i="2"/>
  <c r="E605" i="2" s="1"/>
  <c r="C414" i="2" l="1"/>
  <c r="E414" i="2" s="1"/>
  <c r="C452" i="2"/>
  <c r="E452" i="2" s="1"/>
  <c r="C453" i="2"/>
  <c r="E453" i="2" s="1"/>
  <c r="C431" i="2"/>
  <c r="E431" i="2" s="1"/>
  <c r="C418" i="2"/>
  <c r="E418" i="2" s="1"/>
  <c r="C455" i="2"/>
  <c r="E455" i="2" s="1"/>
  <c r="C410" i="2"/>
  <c r="E410" i="2" s="1"/>
  <c r="C404" i="2"/>
  <c r="E404" i="2" s="1"/>
  <c r="C439" i="2"/>
  <c r="E439" i="2" s="1"/>
  <c r="C440" i="2"/>
  <c r="E440" i="2" s="1"/>
  <c r="C408" i="2"/>
  <c r="E408" i="2" s="1"/>
  <c r="C441" i="2"/>
  <c r="E441" i="2" s="1"/>
  <c r="C442" i="2"/>
  <c r="E442" i="2" s="1"/>
  <c r="C412" i="2"/>
  <c r="E412" i="2" s="1"/>
  <c r="C429" i="2"/>
  <c r="E429" i="2" s="1"/>
  <c r="C443" i="2"/>
  <c r="E443" i="2" s="1"/>
  <c r="C444" i="2"/>
  <c r="E444" i="2" s="1"/>
  <c r="C432" i="2"/>
  <c r="E432" i="2" s="1"/>
  <c r="C445" i="2"/>
  <c r="E445" i="2" s="1"/>
  <c r="C447" i="2"/>
  <c r="E447" i="2" s="1"/>
  <c r="C446" i="2"/>
  <c r="E446" i="2" s="1"/>
  <c r="C451" i="2"/>
  <c r="E451" i="2" s="1"/>
  <c r="C448" i="2"/>
  <c r="E448" i="2" s="1"/>
  <c r="C456" i="2"/>
  <c r="E456" i="2" s="1"/>
  <c r="C417" i="2"/>
  <c r="E417" i="2" s="1"/>
  <c r="C396" i="2"/>
  <c r="E396" i="2" s="1"/>
  <c r="C419" i="2"/>
  <c r="E419" i="2" s="1"/>
  <c r="C433" i="2"/>
  <c r="E433" i="2" s="1"/>
  <c r="C434" i="2"/>
  <c r="E434" i="2" s="1"/>
  <c r="C435" i="2"/>
  <c r="E435" i="2" s="1"/>
  <c r="C436" i="2"/>
  <c r="E436" i="2" s="1"/>
  <c r="C437" i="2"/>
  <c r="E437" i="2" s="1"/>
  <c r="C438" i="2"/>
  <c r="E438" i="2" s="1"/>
  <c r="C230" i="2" l="1"/>
  <c r="E230" i="2" s="1"/>
  <c r="C234" i="2"/>
  <c r="E234" i="2" s="1"/>
  <c r="C232" i="2"/>
  <c r="E232" i="2" s="1"/>
  <c r="C233" i="2"/>
  <c r="E233" i="2" s="1"/>
  <c r="C229" i="2"/>
  <c r="E229" i="2" s="1"/>
  <c r="C231" i="2"/>
  <c r="E231" i="2" s="1"/>
  <c r="C183" i="2"/>
  <c r="E183" i="2" s="1"/>
  <c r="C179" i="2"/>
  <c r="E179" i="2" s="1"/>
  <c r="C146" i="2"/>
  <c r="E146" i="2" s="1"/>
  <c r="C145" i="2"/>
  <c r="E145" i="2" s="1"/>
  <c r="C163" i="2"/>
  <c r="E163" i="2" s="1"/>
  <c r="C168" i="2"/>
  <c r="E168" i="2" s="1"/>
  <c r="C184" i="2"/>
  <c r="E184" i="2" s="1"/>
  <c r="C154" i="2"/>
  <c r="E154" i="2" s="1"/>
  <c r="C142" i="2"/>
  <c r="E142" i="2" s="1"/>
  <c r="C181" i="2"/>
  <c r="E181" i="2" s="1"/>
  <c r="C155" i="2"/>
  <c r="E155" i="2" s="1"/>
  <c r="C160" i="2"/>
  <c r="E160" i="2" s="1"/>
  <c r="C175" i="2"/>
  <c r="E175" i="2" s="1"/>
  <c r="C164" i="2"/>
  <c r="E164" i="2" s="1"/>
  <c r="C167" i="2"/>
  <c r="E167" i="2" s="1"/>
  <c r="C170" i="2"/>
  <c r="E170" i="2" s="1"/>
  <c r="C171" i="2"/>
  <c r="E171" i="2" s="1"/>
  <c r="C174" i="2"/>
  <c r="E174" i="2" s="1"/>
  <c r="C188" i="2"/>
  <c r="E188" i="2" s="1"/>
  <c r="C186" i="2"/>
  <c r="E186" i="2" s="1"/>
  <c r="C237" i="2"/>
  <c r="E237" i="2" s="1"/>
  <c r="C185" i="2"/>
  <c r="E185" i="2" s="1"/>
  <c r="C189" i="2"/>
  <c r="E189" i="2" s="1"/>
  <c r="C158" i="2"/>
  <c r="E158" i="2" s="1"/>
  <c r="C195" i="2"/>
  <c r="E195" i="2" s="1"/>
  <c r="C201" i="2"/>
  <c r="E201" i="2" s="1"/>
  <c r="C191" i="2"/>
  <c r="E191" i="2" s="1"/>
  <c r="C157" i="2"/>
  <c r="E157" i="2" s="1"/>
  <c r="C205" i="2"/>
  <c r="E205" i="2" s="1"/>
  <c r="C190" i="2"/>
  <c r="E190" i="2" s="1"/>
  <c r="C180" i="2"/>
  <c r="E180" i="2" s="1"/>
  <c r="C177" i="2"/>
  <c r="E177" i="2" s="1"/>
  <c r="C241" i="2"/>
  <c r="E241" i="2" s="1"/>
  <c r="C198" i="2"/>
  <c r="E198" i="2" s="1"/>
  <c r="C196" i="2"/>
  <c r="E196" i="2" s="1"/>
  <c r="C202" i="2"/>
  <c r="E202" i="2" s="1"/>
  <c r="C204" i="2"/>
  <c r="E204" i="2" s="1"/>
  <c r="C173" i="2"/>
  <c r="E173" i="2" s="1"/>
  <c r="C192" i="2"/>
  <c r="E192" i="2" s="1"/>
  <c r="C148" i="2"/>
  <c r="E148" i="2" s="1"/>
  <c r="C150" i="2"/>
  <c r="E150" i="2" s="1"/>
  <c r="C151" i="2"/>
  <c r="E151" i="2" s="1"/>
  <c r="C147" i="2"/>
  <c r="E147" i="2" s="1"/>
  <c r="C152" i="2"/>
  <c r="E152" i="2" s="1"/>
  <c r="C217" i="2"/>
  <c r="E217" i="2" s="1"/>
  <c r="C149" i="2"/>
  <c r="E149" i="2" s="1"/>
  <c r="C153" i="2"/>
  <c r="E153" i="2" s="1"/>
  <c r="C194" i="2"/>
  <c r="E194" i="2" s="1"/>
  <c r="C200" i="2"/>
  <c r="E200" i="2" s="1"/>
  <c r="C197" i="2"/>
  <c r="E197" i="2" s="1"/>
  <c r="C203" i="2"/>
  <c r="E203" i="2" s="1"/>
  <c r="C172" i="2" l="1"/>
  <c r="E172" i="2" s="1"/>
  <c r="C235" i="2"/>
  <c r="E235" i="2" s="1"/>
  <c r="C193" i="2"/>
  <c r="E193" i="2" s="1"/>
  <c r="C206" i="2" l="1"/>
  <c r="E206" i="2" s="1"/>
  <c r="C208" i="2"/>
  <c r="E208" i="2" s="1"/>
  <c r="C210" i="2" l="1"/>
  <c r="E210" i="2" s="1"/>
  <c r="C238" i="2"/>
  <c r="E238" i="2" s="1"/>
  <c r="C207" i="2"/>
  <c r="E207" i="2" s="1"/>
  <c r="C209" i="2"/>
  <c r="E209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33" i="2" l="1"/>
  <c r="E533" i="2" s="1"/>
  <c r="C547" i="2"/>
  <c r="E547" i="2" s="1"/>
  <c r="C61" i="2"/>
  <c r="E61" i="2" s="1"/>
  <c r="C62" i="2"/>
  <c r="E62" i="2" s="1"/>
  <c r="C34" i="2" l="1"/>
  <c r="E34" i="2" s="1"/>
  <c r="C254" i="2" l="1"/>
  <c r="E254" i="2" s="1"/>
  <c r="C135" i="2" l="1"/>
  <c r="E135" i="2" s="1"/>
  <c r="C536" i="2" l="1"/>
  <c r="E536" i="2" s="1"/>
  <c r="C261" i="2" l="1"/>
  <c r="E261" i="2" s="1"/>
  <c r="C57" i="2" l="1"/>
  <c r="E57" i="2" s="1"/>
  <c r="C58" i="2"/>
  <c r="E58" i="2" s="1"/>
  <c r="C59" i="2"/>
  <c r="E59" i="2" s="1"/>
  <c r="C46" i="2"/>
  <c r="E46" i="2" s="1"/>
  <c r="C47" i="2"/>
  <c r="E47" i="2" s="1"/>
  <c r="C45" i="2"/>
  <c r="E45" i="2" s="1"/>
  <c r="E227" i="3" l="1"/>
  <c r="C387" i="2"/>
  <c r="E387" i="2" s="1"/>
  <c r="C64" i="2" l="1"/>
  <c r="E64" i="2" s="1"/>
  <c r="C274" i="2" l="1"/>
  <c r="E274" i="2" s="1"/>
  <c r="C278" i="2"/>
  <c r="E278" i="2" s="1"/>
  <c r="C279" i="2"/>
  <c r="E279" i="2" s="1"/>
  <c r="C275" i="2"/>
  <c r="E275" i="2" s="1"/>
  <c r="C277" i="2"/>
  <c r="E277" i="2" s="1"/>
  <c r="C84" i="4"/>
  <c r="E84" i="4" s="1"/>
  <c r="C83" i="4"/>
  <c r="E83" i="4" s="1"/>
  <c r="C82" i="4"/>
  <c r="E82" i="4" s="1"/>
  <c r="C80" i="4"/>
  <c r="E80" i="4" s="1"/>
  <c r="C81" i="4"/>
  <c r="E81" i="4" s="1"/>
  <c r="C136" i="2" l="1"/>
  <c r="E136" i="2" s="1"/>
  <c r="C394" i="2" l="1"/>
  <c r="E394" i="2" s="1"/>
  <c r="C99" i="2" l="1"/>
  <c r="E99" i="2" s="1"/>
  <c r="C43" i="2"/>
  <c r="E43" i="2" s="1"/>
  <c r="C44" i="2"/>
  <c r="E44" i="2" s="1"/>
  <c r="C559" i="2" l="1"/>
  <c r="E559" i="2" s="1"/>
  <c r="C38" i="2" l="1"/>
  <c r="E38" i="2" s="1"/>
  <c r="C105" i="2"/>
  <c r="E105" i="2" s="1"/>
  <c r="C390" i="2"/>
  <c r="E390" i="2" s="1"/>
  <c r="C389" i="2" l="1"/>
  <c r="E389" i="2" s="1"/>
  <c r="C338" i="2" l="1"/>
  <c r="E338" i="2" s="1"/>
  <c r="C75" i="4" l="1"/>
  <c r="E75" i="4" s="1"/>
  <c r="C76" i="4"/>
  <c r="E76" i="4" s="1"/>
  <c r="C77" i="4"/>
  <c r="E77" i="4" s="1"/>
  <c r="C78" i="4"/>
  <c r="E78" i="4" s="1"/>
  <c r="C79" i="4"/>
  <c r="E79" i="4" s="1"/>
  <c r="C459" i="2" l="1"/>
  <c r="E459" i="2" s="1"/>
  <c r="C458" i="2"/>
  <c r="E458" i="2" s="1"/>
  <c r="C40" i="2" l="1"/>
  <c r="E40" i="2" s="1"/>
  <c r="C42" i="2"/>
  <c r="E42" i="2" s="1"/>
  <c r="C41" i="2"/>
  <c r="E41" i="2" s="1"/>
  <c r="C462" i="2" l="1"/>
  <c r="E462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03" i="2" l="1"/>
  <c r="E403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97" i="2"/>
  <c r="E397" i="2" s="1"/>
  <c r="C558" i="2" l="1"/>
  <c r="E558" i="2" s="1"/>
  <c r="C37" i="2" l="1"/>
  <c r="E37" i="2" s="1"/>
  <c r="C537" i="2"/>
  <c r="E537" i="2" s="1"/>
  <c r="C391" i="2" l="1"/>
  <c r="E391" i="2" s="1"/>
  <c r="C55" i="2" l="1"/>
  <c r="E55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20" i="2" l="1"/>
  <c r="E120" i="2" s="1"/>
  <c r="C114" i="2"/>
  <c r="E114" i="2" s="1"/>
  <c r="C58" i="4" l="1"/>
  <c r="E58" i="4" s="1"/>
  <c r="C57" i="4"/>
  <c r="E57" i="4" s="1"/>
  <c r="C56" i="4"/>
  <c r="E56" i="4" s="1"/>
  <c r="C53" i="2" l="1"/>
  <c r="E53" i="2" s="1"/>
  <c r="C479" i="2"/>
  <c r="E479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5" i="2" l="1"/>
  <c r="E125" i="2" s="1"/>
  <c r="C353" i="2" l="1"/>
  <c r="E353" i="2" s="1"/>
  <c r="C352" i="2"/>
  <c r="E352" i="2" s="1"/>
  <c r="C351" i="2" l="1"/>
  <c r="E351" i="2" s="1"/>
  <c r="C535" i="2"/>
  <c r="E535" i="2" s="1"/>
  <c r="C550" i="2"/>
  <c r="E550" i="2" s="1"/>
  <c r="C354" i="2" l="1"/>
  <c r="E354" i="2" s="1"/>
  <c r="C108" i="2"/>
  <c r="E108" i="2" s="1"/>
  <c r="C54" i="2" l="1"/>
  <c r="E54" i="2" s="1"/>
  <c r="C138" i="2"/>
  <c r="E138" i="2" s="1"/>
  <c r="C41" i="4" l="1"/>
  <c r="E41" i="4" s="1"/>
  <c r="C119" i="2" l="1"/>
  <c r="E119" i="2" s="1"/>
  <c r="C118" i="2"/>
  <c r="E118" i="2" s="1"/>
  <c r="C117" i="2"/>
  <c r="E117" i="2" s="1"/>
  <c r="C243" i="3"/>
  <c r="E243" i="3" s="1"/>
  <c r="C333" i="2" l="1"/>
  <c r="E333" i="2" s="1"/>
  <c r="C548" i="2" l="1"/>
  <c r="E548" i="2" s="1"/>
  <c r="C549" i="2"/>
  <c r="E549" i="2" s="1"/>
  <c r="C526" i="2"/>
  <c r="E526" i="2" s="1"/>
  <c r="C246" i="3" l="1"/>
  <c r="E246" i="3" s="1"/>
  <c r="C248" i="3"/>
  <c r="E248" i="3" s="1"/>
  <c r="C245" i="3"/>
  <c r="E245" i="3" s="1"/>
  <c r="C89" i="2"/>
  <c r="E89" i="2" s="1"/>
  <c r="C88" i="2"/>
  <c r="E88" i="2" s="1"/>
  <c r="C100" i="2"/>
  <c r="E100" i="2" s="1"/>
  <c r="C565" i="2" l="1"/>
  <c r="E565" i="2" s="1"/>
  <c r="C490" i="2" l="1"/>
  <c r="E49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91" i="2" l="1"/>
  <c r="E591" i="2" s="1"/>
  <c r="C392" i="2" l="1"/>
  <c r="E392" i="2" s="1"/>
  <c r="C388" i="2"/>
  <c r="E388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4" i="2" l="1"/>
  <c r="E124" i="2" s="1"/>
  <c r="C337" i="2" l="1"/>
  <c r="E337" i="2" s="1"/>
  <c r="C509" i="2" l="1"/>
  <c r="E509" i="2" s="1"/>
  <c r="C578" i="2" l="1"/>
  <c r="E578" i="2" s="1"/>
  <c r="C112" i="2" l="1"/>
  <c r="E112" i="2" s="1"/>
  <c r="C113" i="2"/>
  <c r="E113" i="2" s="1"/>
  <c r="C111" i="2"/>
  <c r="E111" i="2" s="1"/>
  <c r="C110" i="2" l="1"/>
  <c r="E110" i="2" s="1"/>
  <c r="C52" i="2"/>
  <c r="E52" i="2" s="1"/>
  <c r="C336" i="2" l="1"/>
  <c r="E336" i="2" s="1"/>
  <c r="C334" i="2"/>
  <c r="E334" i="2" s="1"/>
  <c r="C480" i="2" l="1"/>
  <c r="E480" i="2" s="1"/>
  <c r="C40" i="3"/>
  <c r="E40" i="3" s="1"/>
  <c r="C44" i="3" l="1"/>
  <c r="E44" i="3" s="1"/>
  <c r="C164" i="3"/>
  <c r="E164" i="3" s="1"/>
  <c r="C36" i="2" l="1"/>
  <c r="E36" i="2" s="1"/>
  <c r="C393" i="2" l="1"/>
  <c r="E393" i="2" s="1"/>
  <c r="C45" i="4"/>
  <c r="E45" i="4" s="1"/>
  <c r="C46" i="4"/>
  <c r="E46" i="4" s="1"/>
  <c r="C47" i="4"/>
  <c r="E47" i="4" s="1"/>
  <c r="C262" i="3" l="1"/>
  <c r="E262" i="3" s="1"/>
  <c r="C121" i="2"/>
  <c r="E121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31" i="2" l="1"/>
  <c r="E331" i="2" s="1"/>
  <c r="C2" i="3" l="1"/>
  <c r="E2" i="3" s="1"/>
  <c r="C554" i="2" l="1"/>
  <c r="E554" i="2" s="1"/>
  <c r="C553" i="2" l="1"/>
  <c r="E553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87" i="2" l="1"/>
  <c r="E587" i="2" s="1"/>
  <c r="C590" i="2"/>
  <c r="E590" i="2" s="1"/>
  <c r="C582" i="2"/>
  <c r="E582" i="2" s="1"/>
  <c r="C584" i="2"/>
  <c r="E584" i="2" s="1"/>
  <c r="C583" i="2"/>
  <c r="E583" i="2" s="1"/>
  <c r="C581" i="2"/>
  <c r="E581" i="2" s="1"/>
  <c r="C586" i="2"/>
  <c r="E586" i="2" s="1"/>
  <c r="C585" i="2"/>
  <c r="E585" i="2" s="1"/>
  <c r="C589" i="2"/>
  <c r="E589" i="2" s="1"/>
  <c r="C588" i="2"/>
  <c r="E588" i="2" s="1"/>
  <c r="C270" i="3" l="1"/>
  <c r="E270" i="3" s="1"/>
  <c r="C271" i="3"/>
  <c r="E271" i="3" s="1"/>
  <c r="C26" i="3" l="1"/>
  <c r="E26" i="3" s="1"/>
  <c r="C24" i="3"/>
  <c r="E24" i="3" s="1"/>
  <c r="C123" i="2" l="1"/>
  <c r="E123" i="2" s="1"/>
  <c r="C122" i="2"/>
  <c r="E122" i="2" s="1"/>
  <c r="C115" i="2"/>
  <c r="E115" i="2" s="1"/>
  <c r="C242" i="2" l="1"/>
  <c r="E242" i="2" s="1"/>
  <c r="C63" i="3" l="1"/>
  <c r="E63" i="3" s="1"/>
  <c r="C32" i="3" l="1"/>
  <c r="E32" i="3" s="1"/>
  <c r="C22" i="3"/>
  <c r="E22" i="3" s="1"/>
  <c r="C251" i="3" l="1"/>
  <c r="E251" i="3" s="1"/>
  <c r="C288" i="2" l="1"/>
  <c r="E288" i="2" s="1"/>
  <c r="C291" i="2"/>
  <c r="E291" i="2" s="1"/>
  <c r="C290" i="2"/>
  <c r="E29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4" i="2" l="1"/>
  <c r="E294" i="2" s="1"/>
  <c r="C295" i="2"/>
  <c r="E29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81" i="2" l="1"/>
  <c r="E281" i="2" s="1"/>
  <c r="C282" i="2"/>
  <c r="E282" i="2" s="1"/>
  <c r="C287" i="2"/>
  <c r="E287" i="2" s="1"/>
  <c r="C283" i="2"/>
  <c r="E283" i="2" s="1"/>
  <c r="C284" i="2"/>
  <c r="E284" i="2" s="1"/>
  <c r="C286" i="2"/>
  <c r="E28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85" i="2" l="1"/>
  <c r="E28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<sst xmlns="http://schemas.openxmlformats.org/spreadsheetml/2006/main" count="26471" uniqueCount="14329">
  <si>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</si>
  <si>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</si>
  <si>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</si>
  <si>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</si>
  <si>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</si>
  <si>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</si>
  <si>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</si>
  <si>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</si>
  <si>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</si>
  <si>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</si>
  <si>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</si>
  <si>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</si>
  <si>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</si>
  <si>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</si>
  <si>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</si>
  <si>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</si>
  <si>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</si>
  <si>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</si>
  <si>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</si>
  <si>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</si>
  <si>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</si>
  <si>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</si>
  <si>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</si>
  <si>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</si>
  <si>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</si>
  <si>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</si>
  <si>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</si>
  <si>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</si>
  <si>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</si>
  <si>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</si>
  <si>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</si>
  <si>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</si>
  <si>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</si>
  <si>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</si>
  <si>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</si>
  <si>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</si>
  <si>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</si>
  <si>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</si>
  <si>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</si>
  <si>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</si>
  <si>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</si>
  <si>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</si>
  <si>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</si>
  <si>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</si>
  <si>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</si>
  <si>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</si>
  <si>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</si>
  <si>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</si>
  <si>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</si>
  <si>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</si>
  <si>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</si>
  <si>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</si>
  <si>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</si>
  <si>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</si>
  <si>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</si>
  <si>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</si>
  <si>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</si>
  <si>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</si>
  <si>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</si>
  <si>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</si>
  <si>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</si>
  <si>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</si>
  <si>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</si>
  <si>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</si>
  <si>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</si>
  <si>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</si>
  <si>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</si>
  <si>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</si>
  <si>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</si>
  <si>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</si>
  <si>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</si>
  <si>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</si>
  <si>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</si>
  <si>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</si>
  <si>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</si>
  <si>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</si>
  <si>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</si>
  <si>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</si>
  <si>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</si>
  <si>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</si>
  <si>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</si>
  <si>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</si>
  <si>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</si>
  <si>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</si>
  <si>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</si>
  <si>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</si>
  <si>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</si>
  <si>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</si>
  <si>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</si>
  <si>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</si>
  <si>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</si>
  <si>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</si>
  <si>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</si>
  <si>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</si>
  <si>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</si>
  <si>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</si>
  <si>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</si>
  <si>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</si>
  <si>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</si>
  <si>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</si>
  <si>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</si>
  <si>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</si>
  <si>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</si>
  <si>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</si>
  <si>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</si>
  <si>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</si>
  <si>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</si>
  <si>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</si>
  <si>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</si>
  <si>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</si>
  <si>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</si>
  <si>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</si>
  <si>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</si>
  <si>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</si>
  <si>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</si>
  <si>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</si>
  <si>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</si>
  <si>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</si>
  <si>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</si>
  <si>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</si>
  <si>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</si>
  <si>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</si>
  <si>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</si>
  <si>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</si>
  <si>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</si>
  <si>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</si>
  <si>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</si>
  <si>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</si>
  <si>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</si>
  <si>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</si>
  <si>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</si>
  <si>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</si>
  <si>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</si>
  <si>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</si>
  <si>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</si>
  <si>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</si>
  <si>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</si>
  <si>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</si>
  <si>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</si>
  <si>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</si>
  <si>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</si>
  <si>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</si>
  <si>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</si>
  <si>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</si>
  <si>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</si>
  <si>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</si>
  <si>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</si>
  <si>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</si>
  <si>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</si>
  <si>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</si>
  <si>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</si>
  <si>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</si>
  <si>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</si>
  <si>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</si>
  <si>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</si>
  <si>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</si>
  <si>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</si>
  <si>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</si>
  <si>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</si>
  <si>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</si>
  <si>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</si>
  <si>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</si>
  <si>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</si>
  <si>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</si>
  <si>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</si>
  <si>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</si>
  <si>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</si>
  <si>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</si>
  <si>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</si>
  <si>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</si>
  <si>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</si>
  <si>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</si>
  <si>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</si>
  <si>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</si>
  <si>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</si>
  <si>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</si>
  <si>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</si>
  <si>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</si>
  <si>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</si>
  <si>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</si>
  <si>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</si>
  <si>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</si>
  <si>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</si>
  <si>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</si>
  <si>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</si>
  <si>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</si>
  <si>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</si>
  <si>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</si>
  <si>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</si>
  <si>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</si>
  <si>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</si>
  <si>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</si>
  <si>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</si>
  <si>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</si>
  <si>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</si>
  <si>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</si>
  <si>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</si>
  <si>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</si>
  <si>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</si>
  <si>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</si>
  <si>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</si>
  <si>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</si>
  <si>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</si>
  <si>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</si>
  <si>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</si>
  <si>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</si>
  <si>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</si>
  <si>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</si>
  <si>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</si>
  <si>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</si>
  <si>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</si>
  <si>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</si>
  <si>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</si>
  <si>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</si>
  <si>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</si>
  <si>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</si>
  <si>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</si>
  <si>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</si>
  <si>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</si>
  <si>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</si>
  <si>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</si>
  <si>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</si>
  <si>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</si>
  <si>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</si>
  <si>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</si>
  <si>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</si>
  <si>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</si>
  <si>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</si>
  <si>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</si>
  <si>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</si>
  <si>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</si>
  <si>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</si>
  <si>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</si>
  <si>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</si>
  <si>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</si>
  <si>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</si>
  <si>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</si>
  <si>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</si>
  <si>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</si>
  <si>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</si>
  <si>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</si>
  <si>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</si>
  <si>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</si>
  <si>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</si>
  <si>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</si>
  <si>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</si>
  <si>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</si>
  <si>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</si>
  <si>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</si>
  <si>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</si>
  <si>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</si>
  <si>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</si>
  <si>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</si>
  <si>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</si>
  <si>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</si>
  <si>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</si>
  <si>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</si>
  <si>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</si>
  <si>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</si>
  <si>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</si>
  <si>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</si>
  <si>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</si>
  <si>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</si>
  <si>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</si>
  <si>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</si>
  <si>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</si>
  <si>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</si>
  <si>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</si>
  <si>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</si>
  <si>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</si>
  <si>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</si>
  <si>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</si>
  <si>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</si>
  <si>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</si>
  <si>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</si>
  <si>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</si>
  <si>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</si>
  <si>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</si>
  <si>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</si>
  <si>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</si>
  <si>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</si>
  <si>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</si>
  <si>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</si>
  <si>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</si>
  <si>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</si>
  <si>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</si>
  <si>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</si>
  <si>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</si>
  <si>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</si>
  <si>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</si>
  <si>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</si>
  <si>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</si>
  <si>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</si>
  <si>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</si>
  <si>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</si>
  <si>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</si>
  <si>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</si>
  <si>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</si>
  <si>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</si>
  <si>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</si>
  <si>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</si>
  <si>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</si>
  <si>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</si>
  <si>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</si>
  <si>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</si>
  <si>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</si>
  <si>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</si>
  <si>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</si>
  <si>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</si>
  <si>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</si>
  <si>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</si>
  <si>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</si>
  <si>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</si>
  <si>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</si>
  <si>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</si>
  <si>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</si>
  <si>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</si>
  <si>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</si>
  <si>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</si>
  <si>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</si>
  <si>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</si>
  <si>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</si>
  <si>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</si>
  <si>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</si>
  <si>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</si>
  <si>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</si>
  <si>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</si>
  <si>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</si>
  <si>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</si>
  <si>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</si>
  <si>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</si>
  <si>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</si>
  <si>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</si>
  <si>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</si>
  <si>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</si>
  <si>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</si>
  <si>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</si>
  <si>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</si>
  <si>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</si>
  <si>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</si>
  <si>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</si>
  <si>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</si>
  <si>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</si>
  <si>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</si>
  <si>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</si>
  <si>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</si>
  <si>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</si>
  <si>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</si>
  <si>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</si>
  <si>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</si>
  <si>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</si>
  <si>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</si>
  <si>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</si>
  <si>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</si>
  <si>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</si>
  <si>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</si>
  <si>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</si>
  <si>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</si>
  <si>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</si>
  <si>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</si>
  <si>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</si>
  <si>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</si>
  <si>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</si>
  <si>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</si>
  <si>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</si>
  <si>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</si>
  <si>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</si>
  <si>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</si>
  <si>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</si>
  <si>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</si>
  <si>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</si>
  <si>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</si>
  <si>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</si>
  <si>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</si>
  <si>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</si>
  <si>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</si>
  <si>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</si>
  <si>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</si>
  <si>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</si>
  <si>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</si>
  <si>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</si>
  <si>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</si>
  <si>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</si>
  <si>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</si>
  <si>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</si>
  <si>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</si>
  <si>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</si>
  <si>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</si>
  <si>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</si>
  <si>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</si>
  <si>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</si>
  <si>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</si>
  <si>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</si>
  <si>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</si>
  <si>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</si>
  <si>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</si>
  <si>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</si>
  <si>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</si>
  <si>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</si>
  <si>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</si>
  <si>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</si>
  <si>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</si>
  <si>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</si>
  <si>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</si>
  <si>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</si>
  <si>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</si>
  <si>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</si>
  <si>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</si>
  <si>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</si>
  <si>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</si>
  <si>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</si>
  <si>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</si>
  <si>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</si>
  <si>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</si>
  <si>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</si>
  <si>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</si>
  <si>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</si>
  <si>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</si>
  <si>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</si>
  <si>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</si>
  <si>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</si>
  <si>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</si>
  <si>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</si>
  <si>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</si>
  <si>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</si>
  <si>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</si>
  <si>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</si>
  <si>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</si>
  <si>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</si>
  <si>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</si>
  <si>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</si>
  <si>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</si>
  <si>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</si>
  <si>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</si>
  <si>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</si>
  <si>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</si>
  <si>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</si>
  <si>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</si>
  <si>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</si>
  <si>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</si>
  <si>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</si>
  <si>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</si>
  <si>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</si>
  <si>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</si>
  <si>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</si>
  <si>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</si>
  <si>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</si>
  <si>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</si>
  <si>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</si>
  <si>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</si>
  <si>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</si>
  <si>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</si>
  <si>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</si>
  <si>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</si>
  <si>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</si>
  <si>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</si>
  <si>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</si>
  <si>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</si>
  <si>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</si>
  <si>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</si>
  <si>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</si>
  <si>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</si>
  <si>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</si>
  <si>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</si>
  <si>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</si>
  <si>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</si>
  <si>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</si>
  <si>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</si>
  <si>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</si>
  <si>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</si>
  <si>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</si>
  <si>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</si>
  <si>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</si>
  <si>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</si>
  <si>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</si>
  <si>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</si>
  <si>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</si>
  <si>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</si>
  <si>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</si>
  <si>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</si>
  <si>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</si>
  <si>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</si>
  <si>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</si>
  <si>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</si>
  <si>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</si>
  <si>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</si>
  <si>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</si>
  <si>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</si>
  <si>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</si>
  <si>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</si>
  <si>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</si>
  <si>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</si>
  <si>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</si>
  <si>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</si>
  <si>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</si>
  <si>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</si>
  <si>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</si>
  <si>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</si>
  <si>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</si>
  <si>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</si>
  <si>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</si>
  <si>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</si>
  <si>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</si>
  <si>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</si>
  <si>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</si>
  <si>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</si>
  <si>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</si>
  <si>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</si>
  <si>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</si>
  <si>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</si>
  <si>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</si>
  <si>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</si>
  <si>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</si>
  <si>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</si>
  <si>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</si>
  <si>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</si>
  <si>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</si>
  <si>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</si>
  <si>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</si>
  <si>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</si>
  <si>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</si>
  <si>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</si>
  <si>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</si>
  <si>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</si>
  <si>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</si>
  <si>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</si>
  <si>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</si>
  <si>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</si>
  <si>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</si>
  <si>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</si>
  <si>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</si>
  <si>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</si>
  <si>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</si>
  <si>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</si>
  <si>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</si>
  <si>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</si>
  <si>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</si>
  <si>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</si>
  <si>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</si>
  <si>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</si>
  <si>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</si>
  <si>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</si>
  <si>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</si>
  <si>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</si>
  <si>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</si>
  <si>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</si>
  <si>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</si>
  <si>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</si>
  <si>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</si>
  <si>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</si>
  <si>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</si>
  <si>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</si>
  <si>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</si>
  <si>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</si>
  <si>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</si>
  <si>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</si>
  <si>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</si>
  <si>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</si>
  <si>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</si>
  <si>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</si>
  <si>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</si>
  <si>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</si>
  <si>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</si>
  <si>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</si>
  <si>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</si>
  <si>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</si>
  <si>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</si>
  <si>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</si>
  <si>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</si>
  <si>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</si>
  <si>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</si>
  <si>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</si>
  <si>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</si>
  <si>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</si>
  <si>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</si>
  <si>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</si>
  <si>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</si>
  <si>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</si>
  <si>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</si>
  <si>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</si>
  <si>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</si>
  <si>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</si>
  <si>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</si>
  <si>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</si>
  <si>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</si>
  <si>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</si>
  <si>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</si>
  <si>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</si>
  <si>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</si>
  <si>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</si>
  <si>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</si>
  <si>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</si>
  <si>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</si>
  <si>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</si>
  <si>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</si>
  <si>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</si>
  <si>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</si>
  <si>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</si>
  <si>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</si>
  <si>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</si>
  <si>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</si>
  <si>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</si>
  <si>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</si>
  <si>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</si>
  <si>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</si>
  <si>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</si>
  <si>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</si>
  <si>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</si>
  <si>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</si>
  <si>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</si>
  <si>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</si>
  <si>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</si>
  <si>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</si>
  <si>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</si>
  <si>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</si>
  <si>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</si>
  <si>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</si>
  <si>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</si>
  <si>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</si>
  <si>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</si>
  <si>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</si>
  <si>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</si>
  <si>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</si>
  <si>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</si>
  <si>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</si>
  <si>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</si>
  <si>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</si>
  <si>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</si>
  <si>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</si>
  <si>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</si>
  <si>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</si>
  <si>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</si>
  <si>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</si>
  <si>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</si>
  <si>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</si>
  <si>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</si>
  <si>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</si>
  <si>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</si>
  <si>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</si>
  <si>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</si>
  <si>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</si>
  <si>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</si>
  <si>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</si>
  <si>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</si>
  <si>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</si>
  <si>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</si>
  <si>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</si>
  <si>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</si>
  <si>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</si>
  <si>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</si>
  <si>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</si>
  <si>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</si>
  <si>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</si>
  <si>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</si>
  <si>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</si>
  <si>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</si>
  <si>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</si>
  <si>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</si>
  <si>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</si>
  <si>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</si>
  <si>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</si>
  <si>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</si>
  <si>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</si>
  <si>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</si>
  <si>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</si>
  <si>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</si>
  <si>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</si>
  <si>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</si>
  <si>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</si>
  <si>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</si>
  <si>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</si>
  <si>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</si>
  <si>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</si>
  <si>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</si>
  <si>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</si>
  <si>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</si>
  <si>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</si>
  <si>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</si>
  <si>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</si>
  <si>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</si>
  <si>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</si>
  <si>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</si>
  <si>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</si>
  <si>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</si>
  <si>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</si>
  <si>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</si>
  <si>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</si>
  <si>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</si>
  <si>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</si>
  <si>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</si>
  <si>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</si>
  <si>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</si>
  <si>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</si>
  <si>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</si>
  <si>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</si>
  <si>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</si>
  <si>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</si>
  <si>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</si>
  <si>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</si>
  <si>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</si>
  <si>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</si>
  <si>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</si>
  <si>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</si>
  <si>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</si>
  <si>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</si>
  <si>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</si>
  <si>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</si>
  <si>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</si>
  <si>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</si>
  <si>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</si>
  <si>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</si>
  <si>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</si>
  <si>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</si>
  <si>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</si>
  <si>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</si>
  <si>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</si>
  <si>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</si>
  <si>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</si>
  <si>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</si>
  <si>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</si>
  <si>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</si>
  <si>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</si>
  <si>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</si>
  <si>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</si>
  <si>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</si>
  <si>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</si>
  <si>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</si>
  <si>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</si>
  <si>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</si>
  <si>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</si>
  <si>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</si>
  <si>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</si>
  <si>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</si>
  <si>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</si>
  <si>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</si>
  <si>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</si>
  <si>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</si>
  <si>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</si>
  <si>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</si>
  <si>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</si>
  <si>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</si>
  <si>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</si>
  <si>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</si>
  <si>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</si>
  <si>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</si>
  <si>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</si>
  <si>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</si>
  <si>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</si>
  <si>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</si>
  <si>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</si>
  <si>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</si>
  <si>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</si>
  <si>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</si>
  <si>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</si>
  <si>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</si>
  <si>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</si>
  <si>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</si>
  <si>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</si>
  <si>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</si>
  <si>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</si>
  <si>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</si>
  <si>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</si>
  <si>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</si>
  <si>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</si>
  <si>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</si>
  <si>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</si>
  <si>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</si>
  <si>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</si>
  <si>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</si>
  <si>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</si>
  <si>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</si>
  <si>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</si>
  <si>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</si>
  <si>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</si>
  <si>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</si>
  <si>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</si>
  <si>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</si>
  <si>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</si>
  <si>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</si>
  <si>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</si>
  <si>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</si>
  <si>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</si>
  <si>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</si>
  <si>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</si>
  <si>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</si>
  <si>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</si>
  <si>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</si>
  <si>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</si>
  <si>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</si>
  <si>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</si>
  <si>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</si>
  <si>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</si>
  <si>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</si>
  <si>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</si>
  <si>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</si>
  <si>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</si>
  <si>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</si>
  <si>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</si>
  <si>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</si>
  <si>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</si>
  <si>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</si>
  <si>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</si>
  <si>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</si>
  <si>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</si>
  <si>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</si>
  <si>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</si>
  <si>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</si>
  <si>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</si>
  <si>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</si>
  <si>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</si>
  <si>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</si>
  <si>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</si>
  <si>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</si>
  <si>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</si>
  <si>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</si>
  <si>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</si>
  <si>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</si>
  <si>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</si>
  <si>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</si>
  <si>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</si>
  <si>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</si>
  <si>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</si>
  <si>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</si>
  <si>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</si>
  <si>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</si>
  <si>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</si>
  <si>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</si>
  <si>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</si>
  <si>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</si>
  <si>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</si>
  <si>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</si>
  <si>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</si>
  <si>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</si>
  <si>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</si>
  <si>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</si>
  <si>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</si>
  <si>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</si>
  <si>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</si>
  <si>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</si>
  <si>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</si>
  <si>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</si>
  <si>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</si>
  <si>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</si>
  <si>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</si>
  <si>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</si>
  <si>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</si>
  <si>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</si>
  <si>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</si>
  <si>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</si>
  <si>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</si>
  <si>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</si>
  <si>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</si>
  <si>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</si>
  <si>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</si>
  <si>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</si>
  <si>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</si>
  <si>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</si>
  <si>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</si>
  <si>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</si>
  <si>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</si>
  <si>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</si>
  <si>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</si>
  <si>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</si>
  <si>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</si>
  <si>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</si>
  <si>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</si>
  <si>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</si>
  <si>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</si>
  <si>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</si>
  <si>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</si>
  <si>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</si>
  <si>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</si>
  <si>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</si>
  <si>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</si>
  <si>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</si>
  <si>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</si>
  <si>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</si>
  <si>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</si>
  <si>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</si>
  <si>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</si>
  <si>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</si>
  <si>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</si>
  <si>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</si>
  <si>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</si>
  <si>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</si>
  <si>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</si>
  <si>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</si>
  <si>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</si>
  <si>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</si>
  <si>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</si>
  <si>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</si>
  <si>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</si>
  <si>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</si>
  <si>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</si>
  <si>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</si>
  <si>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</si>
  <si>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</si>
  <si>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</si>
  <si>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</si>
  <si>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</si>
  <si>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</si>
  <si>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</si>
  <si>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</si>
  <si>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</si>
  <si>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</si>
  <si>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</si>
  <si>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</si>
  <si>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</si>
  <si>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</si>
  <si>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</si>
  <si>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</si>
  <si>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</si>
  <si>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</si>
  <si>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</si>
  <si>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</si>
  <si>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</si>
  <si>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</si>
  <si>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</si>
  <si>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</si>
  <si>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</si>
  <si>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</si>
  <si>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</si>
  <si>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</si>
  <si>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</si>
  <si>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</si>
  <si>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</si>
  <si>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</si>
  <si>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</si>
  <si>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</si>
  <si>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</si>
  <si>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</si>
  <si>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</si>
  <si>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</si>
  <si>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</si>
  <si>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</si>
  <si>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</si>
  <si>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</si>
  <si>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</si>
  <si>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</si>
  <si>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</si>
  <si>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</si>
  <si>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</si>
  <si>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</si>
  <si>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</si>
  <si>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</si>
  <si>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</si>
  <si>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</si>
  <si>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</si>
  <si>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</si>
  <si>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</si>
  <si>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</si>
  <si>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</si>
  <si>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</si>
  <si>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</si>
  <si>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</si>
  <si>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</si>
  <si>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</si>
  <si>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</si>
  <si>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</si>
  <si>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</si>
  <si>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</si>
  <si>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</si>
  <si>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</si>
  <si>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</si>
  <si>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</si>
  <si>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</si>
  <si>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</si>
  <si>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</si>
  <si>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</si>
  <si>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</si>
  <si>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</si>
  <si>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</si>
  <si>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</si>
  <si>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</si>
  <si>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</si>
  <si>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</si>
  <si>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</si>
  <si>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</si>
  <si>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</si>
  <si>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</si>
  <si>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</si>
  <si>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</si>
  <si>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</si>
  <si>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</si>
  <si>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</si>
  <si>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</si>
  <si>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</si>
  <si>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</si>
  <si>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</si>
  <si>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</si>
  <si>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</si>
  <si>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</si>
  <si>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</si>
  <si>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</si>
  <si>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</si>
  <si>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</si>
  <si>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</si>
  <si>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</si>
  <si>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</si>
  <si>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</si>
  <si>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</si>
  <si>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</si>
  <si>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</si>
  <si>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</si>
  <si>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</si>
  <si>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</si>
  <si>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</si>
  <si>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</si>
  <si>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</si>
  <si>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</si>
  <si>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</si>
  <si>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</si>
  <si>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</si>
  <si>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</si>
  <si>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</si>
  <si>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</si>
  <si>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</si>
  <si>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</si>
  <si>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</si>
  <si>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</si>
  <si>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</si>
  <si>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</si>
  <si>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</si>
  <si>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</si>
  <si>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</si>
  <si>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</si>
  <si>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</si>
  <si>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</si>
  <si>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</si>
  <si>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</si>
  <si>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</si>
  <si>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</si>
  <si>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</si>
  <si>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</si>
  <si>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</si>
  <si>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</si>
  <si>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</si>
  <si>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</si>
  <si>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</si>
  <si>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</si>
  <si>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</si>
  <si>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</si>
  <si>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</si>
  <si>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</si>
  <si>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</si>
  <si>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</si>
  <si>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</si>
  <si>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</si>
  <si>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</si>
  <si>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</si>
  <si>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</si>
  <si>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</si>
  <si>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</si>
  <si>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</si>
  <si>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</si>
  <si>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</si>
  <si>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</si>
  <si>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</si>
  <si>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</si>
  <si>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</si>
  <si>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</si>
  <si>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</si>
  <si>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</si>
  <si>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</si>
  <si>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</si>
  <si>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</si>
  <si>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</si>
  <si>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</si>
  <si>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</si>
  <si>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</si>
  <si>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</si>
  <si>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</si>
  <si>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</si>
  <si>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</si>
  <si>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</si>
  <si>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</si>
  <si>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</si>
  <si>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</si>
  <si>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</si>
  <si>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</si>
  <si>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</si>
  <si>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</si>
  <si>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</si>
  <si>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</si>
  <si>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</si>
  <si>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</si>
  <si>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</si>
  <si>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</si>
  <si>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</si>
  <si>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</si>
  <si>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</si>
  <si>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</si>
  <si>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</si>
  <si>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</si>
  <si>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</si>
  <si>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</si>
  <si>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</si>
  <si>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</si>
  <si>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</si>
  <si>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</si>
  <si>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</si>
  <si>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</si>
  <si>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</si>
  <si>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</si>
  <si>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</si>
  <si>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</si>
  <si>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</si>
  <si>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</si>
  <si>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</si>
  <si>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</si>
  <si>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</si>
  <si>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</si>
  <si>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</si>
  <si>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</si>
  <si>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</si>
  <si>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</si>
  <si>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</si>
  <si>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</si>
  <si>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</si>
  <si>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</si>
  <si>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</si>
  <si>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</si>
  <si>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</si>
  <si>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</si>
  <si>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</si>
  <si>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</si>
  <si>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</si>
  <si>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</si>
  <si>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</si>
  <si>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</si>
  <si>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</si>
  <si>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</si>
  <si>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</si>
  <si>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</si>
  <si>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</si>
  <si>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</si>
  <si>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</si>
  <si>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</si>
  <si>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</si>
  <si>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</si>
  <si>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</si>
  <si>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</si>
  <si>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</si>
  <si>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</si>
  <si>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</si>
  <si>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</si>
  <si>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</si>
  <si>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</si>
  <si>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</si>
  <si>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</si>
  <si>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</si>
  <si>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</si>
  <si>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</si>
  <si>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</si>
  <si>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</si>
  <si>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</si>
  <si>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</si>
  <si>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</si>
  <si>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</si>
  <si>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</si>
  <si>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</si>
  <si>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</si>
  <si>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</si>
  <si>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</si>
  <si>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</si>
  <si>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</si>
  <si>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</si>
  <si>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</si>
  <si>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</si>
  <si>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</si>
  <si>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</si>
  <si>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</si>
  <si>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</si>
  <si>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</si>
  <si>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</si>
  <si>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</si>
  <si>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</si>
  <si>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</si>
  <si>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</si>
  <si>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</si>
  <si>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</si>
  <si>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</si>
  <si>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</si>
  <si>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</si>
  <si>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</si>
  <si>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</si>
  <si>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</si>
  <si>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</si>
  <si>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</si>
  <si>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</si>
  <si>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</si>
  <si>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</si>
  <si>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</si>
  <si>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</si>
  <si>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</si>
  <si>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</si>
  <si>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</si>
  <si>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</si>
  <si>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</si>
  <si>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</si>
  <si>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</si>
  <si>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</si>
  <si>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</si>
  <si>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</si>
  <si>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</si>
  <si>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</si>
  <si>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</si>
  <si>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</si>
  <si>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</si>
  <si>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</si>
  <si>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</si>
  <si>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</si>
  <si>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</si>
  <si>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</si>
  <si>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</si>
  <si>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</si>
  <si>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</si>
  <si>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</si>
  <si>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</si>
  <si>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</si>
  <si>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</si>
  <si>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</si>
  <si>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</si>
  <si>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</si>
  <si>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</si>
  <si>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</si>
  <si>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</si>
  <si>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</si>
  <si>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</si>
  <si>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</si>
  <si>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</si>
  <si>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</si>
  <si>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</si>
  <si>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</si>
  <si>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</si>
  <si>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</si>
  <si>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</si>
  <si>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</si>
  <si>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</si>
  <si>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</si>
  <si>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</si>
  <si>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</si>
  <si>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</si>
  <si>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</si>
  <si>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</si>
  <si>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</si>
  <si>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</si>
  <si>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</si>
  <si>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</si>
  <si>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</si>
  <si>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</si>
  <si>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</si>
  <si>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</si>
  <si>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</si>
  <si>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</si>
  <si>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</si>
  <si>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</si>
  <si>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</si>
  <si>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</si>
  <si>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</si>
  <si>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</si>
  <si>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</si>
  <si>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</si>
  <si>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</si>
  <si>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</si>
  <si>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</si>
  <si>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</si>
  <si>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</si>
  <si>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</si>
  <si>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</si>
  <si>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</si>
  <si>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</si>
  <si>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</si>
  <si>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</si>
  <si>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</si>
  <si>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</si>
  <si>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</si>
  <si>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</si>
  <si>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</si>
  <si>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</si>
  <si>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</si>
  <si>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</si>
  <si>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</si>
  <si>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</si>
  <si>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</si>
  <si>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</si>
  <si>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</si>
  <si>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</si>
  <si>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</si>
  <si>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</si>
  <si>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</si>
  <si>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</si>
  <si>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</si>
  <si>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</si>
  <si>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</si>
  <si>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</si>
  <si>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</si>
  <si>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</si>
  <si>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</si>
  <si>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</si>
  <si>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</si>
  <si>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</si>
  <si>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</si>
  <si>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</si>
  <si>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</si>
  <si>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</si>
  <si>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</si>
  <si>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</si>
  <si>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</si>
  <si>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</si>
  <si>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</si>
  <si>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</si>
  <si>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</si>
  <si>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</si>
  <si>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</si>
  <si>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</si>
  <si>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</si>
  <si>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</si>
  <si>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</si>
  <si>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</si>
  <si>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</si>
  <si>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</si>
  <si>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</si>
  <si>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</si>
  <si>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</si>
  <si>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</si>
  <si>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</si>
  <si>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</si>
  <si>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</si>
  <si>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</si>
  <si>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</si>
  <si>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</si>
  <si>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</si>
  <si>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</si>
  <si>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</si>
  <si>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</si>
  <si>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</si>
  <si>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</si>
  <si>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</si>
  <si>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</si>
  <si>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</si>
  <si>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</si>
  <si>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</si>
  <si>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</si>
  <si>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</si>
  <si>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</si>
  <si>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</si>
  <si>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</si>
  <si>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</si>
  <si>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</si>
  <si>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</si>
  <si>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</si>
  <si>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</si>
  <si>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</si>
  <si>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</si>
  <si>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</si>
  <si>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</si>
  <si>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</si>
  <si>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</si>
  <si>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</si>
  <si>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</si>
  <si>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</si>
  <si>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</si>
  <si>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</si>
  <si>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</si>
  <si>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</si>
  <si>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</si>
  <si>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</si>
  <si>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</si>
  <si>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</si>
  <si>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</si>
  <si>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</si>
  <si>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</si>
  <si>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</si>
  <si>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</si>
  <si>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</si>
  <si>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</si>
  <si>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</si>
  <si>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</si>
  <si>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</si>
  <si>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</si>
  <si>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</si>
  <si>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</si>
  <si>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</si>
  <si>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</si>
  <si>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</si>
  <si>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</si>
  <si>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</si>
  <si>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</si>
  <si>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</si>
  <si>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</si>
  <si>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</si>
  <si>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</si>
  <si>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</si>
  <si>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</si>
  <si>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</si>
  <si>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</si>
  <si>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</si>
  <si>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</si>
  <si>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</si>
  <si>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</si>
  <si>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</si>
  <si>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</si>
  <si>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</si>
  <si>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</si>
  <si>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</si>
  <si>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</si>
  <si>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</si>
  <si>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</si>
  <si>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</si>
  <si>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</si>
  <si>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</si>
  <si>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</si>
  <si>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</si>
  <si>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</si>
  <si>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</si>
  <si>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</si>
  <si>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</si>
  <si>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</si>
  <si>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</si>
  <si>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</si>
  <si>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</si>
  <si>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</si>
  <si>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</si>
  <si>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</si>
  <si>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</si>
  <si>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</si>
  <si>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</si>
  <si>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</si>
  <si>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</si>
  <si>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</si>
  <si>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</si>
  <si>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</si>
  <si>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</si>
  <si>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</si>
  <si>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</si>
  <si>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</si>
  <si>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</si>
  <si>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</si>
  <si>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</si>
  <si>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</si>
  <si>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</si>
  <si>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</si>
  <si>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</si>
  <si>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</si>
  <si>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</si>
  <si>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</si>
  <si>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</si>
  <si>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</si>
  <si>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</si>
  <si>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</si>
  <si>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</si>
  <si>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</si>
  <si>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</si>
  <si>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</si>
  <si>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</si>
  <si>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</si>
  <si>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</si>
  <si>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</si>
  <si>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</si>
  <si>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</si>
  <si>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</si>
  <si>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</si>
  <si>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</si>
  <si>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</si>
  <si>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</si>
  <si>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</si>
  <si>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</si>
  <si>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</si>
  <si>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</si>
  <si>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</si>
  <si>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</si>
  <si>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</si>
  <si>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</si>
  <si>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</si>
  <si>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</si>
  <si>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</si>
  <si>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</si>
  <si>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</si>
  <si>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</si>
  <si>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</si>
  <si>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</si>
  <si>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</si>
  <si>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</si>
  <si>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</si>
  <si>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</si>
  <si>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</si>
  <si>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</si>
  <si>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</si>
  <si>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</si>
  <si>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</si>
  <si>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</si>
  <si>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</si>
  <si>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</si>
  <si>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</si>
  <si>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</si>
  <si>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</si>
  <si>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</si>
  <si>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</si>
  <si>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</si>
  <si>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</si>
  <si>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</si>
  <si>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</si>
  <si>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</si>
  <si>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</si>
  <si>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</si>
  <si>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</si>
  <si>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</si>
  <si>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</si>
  <si>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</si>
  <si>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</si>
  <si>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</si>
  <si>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</si>
  <si>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</si>
  <si>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</si>
  <si>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</si>
  <si>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</si>
  <si>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</si>
  <si>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</si>
  <si>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</si>
  <si>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</si>
  <si>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</si>
  <si>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</si>
  <si>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</si>
  <si>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</si>
  <si>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</si>
  <si>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</si>
  <si>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</si>
  <si>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</si>
  <si>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</si>
  <si>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</si>
  <si>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</si>
  <si>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</si>
  <si>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</si>
  <si>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</si>
  <si>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</si>
  <si>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</si>
  <si>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</si>
  <si>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</si>
  <si>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</si>
  <si>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</si>
  <si>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</si>
  <si>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</si>
  <si>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</si>
  <si>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</si>
  <si>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</si>
  <si>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</si>
  <si>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</si>
  <si>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</si>
  <si>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</si>
  <si>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</si>
  <si>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</si>
  <si>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</si>
  <si>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</si>
  <si>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</si>
  <si>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</si>
  <si>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</si>
  <si>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</si>
  <si>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</si>
  <si>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</si>
  <si>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</si>
  <si>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</si>
  <si>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</si>
  <si>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</si>
  <si>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</si>
  <si>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</si>
  <si>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</si>
  <si>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</si>
  <si>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</si>
  <si>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</si>
  <si>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</si>
  <si>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</si>
  <si>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</si>
  <si>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</si>
  <si>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</si>
  <si>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</si>
  <si>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</si>
  <si>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</si>
  <si>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</si>
  <si>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</si>
  <si>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</si>
  <si>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</si>
  <si>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</si>
  <si>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</si>
  <si>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</si>
  <si>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</si>
  <si>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</si>
  <si>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</si>
  <si>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</si>
  <si>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</si>
  <si>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</si>
  <si>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</si>
  <si>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</si>
  <si>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</si>
  <si>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</si>
  <si>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</si>
  <si>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</si>
  <si>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</si>
  <si>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</si>
  <si>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</si>
  <si>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</si>
  <si>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</si>
  <si>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</si>
  <si>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</si>
  <si>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</si>
  <si>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</si>
  <si>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</si>
  <si>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</si>
  <si>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</si>
  <si>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</si>
  <si>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</si>
  <si>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</si>
  <si>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</si>
  <si>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</si>
  <si>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</si>
  <si>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</si>
  <si>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</si>
  <si>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</si>
  <si>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</si>
  <si>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</si>
  <si>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</si>
  <si>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</si>
  <si>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</si>
  <si>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</si>
  <si>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</si>
  <si>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</si>
  <si>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</si>
  <si>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</si>
  <si>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</si>
  <si>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</si>
  <si>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</si>
  <si>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</si>
  <si>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</si>
  <si>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</si>
  <si>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</si>
  <si>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</si>
  <si>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</si>
  <si>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</si>
  <si>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</si>
  <si>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</si>
  <si>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</si>
  <si>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</si>
  <si>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</si>
  <si>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</si>
  <si>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</si>
  <si>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</si>
  <si>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</si>
  <si>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</si>
  <si>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</si>
  <si>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</si>
  <si>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</si>
  <si>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</si>
  <si>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</si>
  <si>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</si>
  <si>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</si>
  <si>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</si>
  <si>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</si>
  <si>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</si>
  <si>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</si>
  <si>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</si>
  <si>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</si>
  <si>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</si>
  <si>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</si>
  <si>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</si>
  <si>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</si>
  <si>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</si>
  <si>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</si>
  <si>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</si>
  <si>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</si>
  <si>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</si>
  <si>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</si>
  <si>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</si>
  <si>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</si>
  <si>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</si>
  <si>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</si>
  <si>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</si>
  <si>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</si>
  <si>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</si>
  <si>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</si>
  <si>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</si>
  <si>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</si>
  <si>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</si>
  <si>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</si>
  <si>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</si>
  <si>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</si>
  <si>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</si>
  <si>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</si>
  <si>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</si>
  <si>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</si>
  <si>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</si>
  <si>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</si>
  <si>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</si>
  <si>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</si>
  <si>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</si>
  <si>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</si>
  <si>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</si>
  <si>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</si>
  <si>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</si>
  <si>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</si>
  <si>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</si>
  <si>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</si>
  <si>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</si>
  <si>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</si>
  <si>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</si>
  <si>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</si>
  <si>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</si>
  <si>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</si>
  <si>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</si>
  <si>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</si>
  <si>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</si>
  <si>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</si>
  <si>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</si>
  <si>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</si>
  <si>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</si>
  <si>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</si>
  <si>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</si>
  <si>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</si>
  <si>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</si>
  <si>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</si>
  <si>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</si>
  <si>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</si>
  <si>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</si>
  <si>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</si>
  <si>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</si>
  <si>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</si>
  <si>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</si>
  <si>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</si>
  <si>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</si>
  <si>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</si>
  <si>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</si>
  <si>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</si>
  <si>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</si>
  <si>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</si>
  <si>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</si>
  <si>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</si>
  <si>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</si>
  <si>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</si>
  <si>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</si>
  <si>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</si>
  <si>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</si>
  <si>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</si>
  <si>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</si>
  <si>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</si>
  <si>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</si>
  <si>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</si>
  <si>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</si>
  <si>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</si>
  <si>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</si>
  <si>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</si>
  <si>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</si>
  <si>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</si>
  <si>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</si>
  <si>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</si>
  <si>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</si>
  <si>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</si>
  <si>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</si>
  <si>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</si>
  <si>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</si>
  <si>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</si>
  <si>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</si>
  <si>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</si>
  <si>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</si>
  <si>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</si>
  <si>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</si>
  <si>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</si>
  <si>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</si>
  <si>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</si>
  <si>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</si>
  <si>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</si>
  <si>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</si>
  <si>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</si>
  <si>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</si>
  <si>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</si>
  <si>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</si>
  <si>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</si>
  <si>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</si>
  <si>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</si>
  <si>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</si>
  <si>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</si>
  <si>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</si>
  <si>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</si>
  <si>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</si>
  <si>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</si>
  <si>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</si>
  <si>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</si>
  <si>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</si>
  <si>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</si>
  <si>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</si>
  <si>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</si>
  <si>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</si>
  <si>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</si>
  <si>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</si>
  <si>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</si>
  <si>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</si>
  <si>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</si>
  <si>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</si>
  <si>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</si>
  <si>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</si>
  <si>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</si>
  <si>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</si>
  <si>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</si>
  <si>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</si>
  <si>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</si>
  <si>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</si>
  <si>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</si>
  <si>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</si>
  <si>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</si>
  <si>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</si>
  <si>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</si>
  <si>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</si>
  <si>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</si>
  <si>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</si>
  <si>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</si>
  <si>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</si>
  <si>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</si>
  <si>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</si>
  <si>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</si>
  <si>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</si>
  <si>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</si>
  <si>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</si>
  <si>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</si>
  <si>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</si>
  <si>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</si>
  <si>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</si>
  <si>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</si>
  <si>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</si>
  <si>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</si>
  <si>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</si>
  <si>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</si>
  <si>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</si>
  <si>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</si>
  <si>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</si>
  <si>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</si>
  <si>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</si>
  <si>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</si>
  <si>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</si>
  <si>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</si>
  <si>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</si>
  <si>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</si>
  <si>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</si>
  <si>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</si>
  <si>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</si>
  <si>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</si>
  <si>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</si>
  <si>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</si>
  <si>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</si>
  <si>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</si>
  <si>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</si>
  <si>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</si>
  <si>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</si>
  <si>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</si>
  <si>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</si>
  <si>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</si>
  <si>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</si>
  <si>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</si>
  <si>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</si>
  <si>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</si>
  <si>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</si>
  <si>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</si>
  <si>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</si>
  <si>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</si>
  <si>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</si>
  <si>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</si>
  <si>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</si>
  <si>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</si>
  <si>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</si>
  <si>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</si>
  <si>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</si>
  <si>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</si>
  <si>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</si>
  <si>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</si>
  <si>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</si>
  <si>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</si>
  <si>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</si>
  <si>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</si>
  <si>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</si>
  <si>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</si>
  <si>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</si>
  <si>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</si>
  <si>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</si>
  <si>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</si>
  <si>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</si>
  <si>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</si>
  <si>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</si>
  <si>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</si>
  <si>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</si>
  <si>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</si>
  <si>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</si>
  <si>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</si>
  <si>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</si>
  <si>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</si>
  <si>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</si>
  <si>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</si>
  <si>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</si>
  <si>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</si>
  <si>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</si>
  <si>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</si>
  <si>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</si>
  <si>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</si>
  <si>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</si>
  <si>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</si>
  <si>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</si>
  <si>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</si>
  <si>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</si>
  <si>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</si>
  <si>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</si>
  <si>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</si>
  <si>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</si>
  <si>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</si>
  <si>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</si>
  <si>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</si>
  <si>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</si>
  <si>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</si>
  <si>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</si>
  <si>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</si>
  <si>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</si>
  <si>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</si>
  <si>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</si>
  <si>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</si>
  <si>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</si>
  <si>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</si>
  <si>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</si>
  <si>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</si>
  <si>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</si>
  <si>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</si>
  <si>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</si>
  <si>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</si>
  <si>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</si>
  <si>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</si>
  <si>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</si>
  <si>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</si>
  <si>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</si>
  <si>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</si>
  <si>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</si>
  <si>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</si>
  <si>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</si>
  <si>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</si>
  <si>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</si>
  <si>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</si>
  <si>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</si>
  <si>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</si>
  <si>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</si>
  <si>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</si>
  <si>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</si>
  <si>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</si>
  <si>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</si>
  <si>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</si>
  <si>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</si>
  <si>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</si>
  <si>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</si>
  <si>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</si>
  <si>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</si>
  <si>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</si>
  <si>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</si>
  <si>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</si>
  <si>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</si>
  <si>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</si>
  <si>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</si>
  <si>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</si>
  <si>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</si>
  <si>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</si>
  <si>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</si>
  <si>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</si>
  <si>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</si>
  <si>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</si>
  <si>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</si>
  <si>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</si>
  <si>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</si>
  <si>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</si>
  <si>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</si>
  <si>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</si>
  <si>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</si>
  <si>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</si>
  <si>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</si>
  <si>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</si>
  <si>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</si>
  <si>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</si>
  <si>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</si>
  <si>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</si>
  <si>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</si>
  <si>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</si>
  <si>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</si>
  <si>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</si>
  <si>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</si>
  <si>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</si>
  <si>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</si>
  <si>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</si>
  <si>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</si>
  <si>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</si>
  <si>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</si>
  <si>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</si>
  <si>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</si>
  <si>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</si>
  <si>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</si>
  <si>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</si>
  <si>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</si>
  <si>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</si>
  <si>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</si>
  <si>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</si>
  <si>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</si>
  <si>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</si>
  <si>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</si>
  <si>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</si>
  <si>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</si>
  <si>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</si>
  <si>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</si>
  <si>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</si>
  <si>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</si>
  <si>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</si>
  <si>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</si>
  <si>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</si>
  <si>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</si>
  <si>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</si>
  <si>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</si>
  <si>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</si>
  <si>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</si>
  <si>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</si>
  <si>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</si>
  <si>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</si>
  <si>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</si>
  <si>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</si>
  <si>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</si>
  <si>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</si>
  <si>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</si>
  <si>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</si>
  <si>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</si>
  <si>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</si>
  <si>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</si>
  <si>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</si>
  <si>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</si>
  <si>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</si>
  <si>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</si>
  <si>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</si>
  <si>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</si>
  <si>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</si>
  <si>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</si>
  <si>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</si>
  <si>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</si>
  <si>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</si>
  <si>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</si>
  <si>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</si>
  <si>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</si>
  <si>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</si>
  <si>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</si>
  <si>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</si>
  <si>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</si>
  <si>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</si>
  <si>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</si>
  <si>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</si>
  <si>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</si>
  <si>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</si>
  <si>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</si>
  <si>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</si>
  <si>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</si>
  <si>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</si>
  <si>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</si>
  <si>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</si>
  <si>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</si>
  <si>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</si>
  <si>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</si>
  <si>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</si>
  <si>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</si>
  <si>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</si>
  <si>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</si>
  <si>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</si>
  <si>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</si>
  <si>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</si>
  <si>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</si>
  <si>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</si>
  <si>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</si>
  <si>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</si>
  <si>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</si>
  <si>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</si>
  <si>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</si>
  <si>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</si>
  <si>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</si>
  <si>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</si>
  <si>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</si>
  <si>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</si>
  <si>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</si>
  <si>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</si>
  <si>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</si>
  <si>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</si>
  <si>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</si>
  <si>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</si>
  <si>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</si>
  <si>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</si>
  <si>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</si>
  <si>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</si>
  <si>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</si>
  <si>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</si>
  <si>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</si>
  <si>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</si>
  <si>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</si>
  <si>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</si>
  <si>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</si>
  <si>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</si>
  <si>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</si>
  <si>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</si>
  <si>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</si>
  <si>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</si>
  <si>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</si>
  <si>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</si>
  <si>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</si>
  <si>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</si>
  <si>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</si>
  <si>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</si>
  <si>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</si>
  <si>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</si>
  <si>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</si>
  <si>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</si>
  <si>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</si>
  <si>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</si>
  <si>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</si>
  <si>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</si>
  <si>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</si>
  <si>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</si>
  <si>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</si>
  <si>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</si>
  <si>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</si>
  <si>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</si>
  <si>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</si>
  <si>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</si>
  <si>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</si>
  <si>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</si>
  <si>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</si>
  <si>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</si>
  <si>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</si>
  <si>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</si>
  <si>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</si>
  <si>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</si>
  <si>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</si>
  <si>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</si>
  <si>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</si>
  <si>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</si>
  <si>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</si>
  <si>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</si>
  <si>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</si>
  <si>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</si>
  <si>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</si>
  <si>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</si>
  <si>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</si>
  <si>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</si>
  <si>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</si>
  <si>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</si>
  <si>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</si>
  <si>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</si>
  <si>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</si>
  <si>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</si>
  <si>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</si>
  <si>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</si>
  <si>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</si>
  <si>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</si>
  <si>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</si>
  <si>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</si>
  <si>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</si>
  <si>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</si>
  <si>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</si>
  <si>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</si>
  <si>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</si>
  <si>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</si>
  <si>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</si>
  <si>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</si>
  <si>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</si>
  <si>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</si>
  <si>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</si>
  <si>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</si>
  <si>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</si>
  <si>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</si>
  <si>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</si>
  <si>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</si>
  <si>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</si>
  <si>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</si>
  <si>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</si>
  <si>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</si>
  <si>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</si>
  <si>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</si>
  <si>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</si>
  <si>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</si>
  <si>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</si>
  <si>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</si>
  <si>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</si>
  <si>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</si>
  <si>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</si>
  <si>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</si>
  <si>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</si>
  <si>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</si>
  <si>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</si>
  <si>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</si>
  <si>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</si>
  <si>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</si>
  <si>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</si>
  <si>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</si>
  <si>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</si>
  <si>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</si>
  <si>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</si>
  <si>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</si>
  <si>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</si>
  <si>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</si>
  <si>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</si>
  <si>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</si>
  <si>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</si>
  <si>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</si>
  <si>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</si>
  <si>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</si>
  <si>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</si>
  <si>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</si>
  <si>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</si>
  <si>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</si>
  <si>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</si>
  <si>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</si>
  <si>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</si>
  <si>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</si>
  <si>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</si>
  <si>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</si>
  <si>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</si>
  <si>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</si>
  <si>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</si>
  <si>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</si>
  <si>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</si>
  <si>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</si>
  <si>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</si>
  <si>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</si>
  <si>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</si>
  <si>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</si>
  <si>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</si>
  <si>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</si>
  <si>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</si>
  <si>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</si>
  <si>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</si>
  <si>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</si>
  <si>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</si>
  <si>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</si>
  <si>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</si>
  <si>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</si>
  <si>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</si>
  <si>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</si>
  <si>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</si>
  <si>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</si>
  <si>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</si>
  <si>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</si>
  <si>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</si>
  <si>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</si>
  <si>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</si>
  <si>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</si>
  <si>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</si>
  <si>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</si>
  <si>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</si>
  <si>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</si>
  <si>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</si>
  <si>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</si>
  <si>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</si>
  <si>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</si>
  <si>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</si>
  <si>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</si>
  <si>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</si>
  <si>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</si>
  <si>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</si>
  <si>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</si>
  <si>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</si>
  <si>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</si>
  <si>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</si>
  <si>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</si>
  <si>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</si>
  <si>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</si>
  <si>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</si>
  <si>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</si>
  <si>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</si>
  <si>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</si>
  <si>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</si>
  <si>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</si>
  <si>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</si>
  <si>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</si>
  <si>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</si>
  <si>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</si>
  <si>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</si>
  <si>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</si>
  <si>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</si>
  <si>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</si>
  <si>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</si>
  <si>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</si>
  <si>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</si>
  <si>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</si>
  <si>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</si>
  <si>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</si>
  <si>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</si>
  <si>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</si>
  <si>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</si>
  <si>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</si>
  <si>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</si>
  <si>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</si>
  <si>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</si>
  <si>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</si>
  <si>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</si>
  <si>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</si>
  <si>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</si>
  <si>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</si>
  <si>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</si>
  <si>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</si>
  <si>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</si>
  <si>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</si>
  <si>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</si>
  <si>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</si>
  <si>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</si>
  <si>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</si>
  <si>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</si>
  <si>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</si>
  <si>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</si>
  <si>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</si>
  <si>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</si>
  <si>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</si>
  <si>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</si>
  <si>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</si>
  <si>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</si>
  <si>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</si>
  <si>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</si>
  <si>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</si>
  <si>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</si>
  <si>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</si>
  <si>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</si>
  <si>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</si>
  <si>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</si>
  <si>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</si>
  <si>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</si>
  <si>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</si>
  <si>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</si>
  <si>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</si>
  <si>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</si>
  <si>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</si>
  <si>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</si>
  <si>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</si>
  <si>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</si>
  <si>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</si>
  <si>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</si>
  <si>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</si>
  <si>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</si>
  <si>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</si>
  <si>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</si>
  <si>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</si>
  <si>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</si>
  <si>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</si>
  <si>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</si>
  <si>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</si>
  <si>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</si>
  <si>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</si>
  <si>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</si>
  <si>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</si>
  <si>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</si>
  <si>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</si>
  <si>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</si>
  <si>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</si>
  <si>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</si>
  <si>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</si>
  <si>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</si>
  <si>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</si>
  <si>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</si>
  <si>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</si>
  <si>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</si>
  <si>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</si>
  <si>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</si>
  <si>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</si>
  <si>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</si>
  <si>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</si>
  <si>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</si>
  <si>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</si>
  <si>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</si>
  <si>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</si>
  <si>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</si>
  <si>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</si>
  <si>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</si>
  <si>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</si>
  <si>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</si>
  <si>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</si>
  <si>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</si>
  <si>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</si>
  <si>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</si>
  <si>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</si>
  <si>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</si>
  <si>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</si>
  <si>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</si>
  <si>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</si>
  <si>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</si>
  <si>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</si>
  <si>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</si>
  <si>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</si>
  <si>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</si>
  <si>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</si>
  <si>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</si>
  <si>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</si>
  <si>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</si>
  <si>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</si>
  <si>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</si>
  <si>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</si>
  <si>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</si>
  <si>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</si>
  <si>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</si>
  <si>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</si>
  <si>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</si>
  <si>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</si>
  <si>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</si>
  <si>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</si>
  <si>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</si>
  <si>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</si>
  <si>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</si>
  <si>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</si>
  <si>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</si>
  <si>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</si>
  <si>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</si>
  <si>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</si>
  <si>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</si>
  <si>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</si>
  <si>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</si>
  <si>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</si>
  <si>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</si>
  <si>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</si>
  <si>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</si>
  <si>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</si>
  <si>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</si>
  <si>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</si>
  <si>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</si>
  <si>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</si>
  <si>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</si>
  <si>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</si>
  <si>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</si>
  <si>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</si>
  <si>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</si>
  <si>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</si>
  <si>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</si>
  <si>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</si>
  <si>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</si>
  <si>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</si>
  <si>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</si>
  <si>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</si>
  <si>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</si>
  <si>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</si>
  <si>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</si>
  <si>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</si>
  <si>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</si>
  <si>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</si>
  <si>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</si>
  <si>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</si>
  <si>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</si>
  <si>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</si>
  <si>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</si>
  <si>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</si>
  <si>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</si>
  <si>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</si>
  <si>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</si>
  <si>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</si>
  <si>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</si>
  <si>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</si>
  <si>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</si>
  <si>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</si>
  <si>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</si>
  <si>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</si>
  <si>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</si>
  <si>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</si>
  <si>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</si>
  <si>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</si>
  <si>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</si>
  <si>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</si>
  <si>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</si>
  <si>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</si>
  <si>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</si>
  <si>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</si>
  <si>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</si>
  <si>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</si>
  <si>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</si>
  <si>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</si>
  <si>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</si>
  <si>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</si>
  <si>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</si>
  <si>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</si>
  <si>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</si>
  <si>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</si>
  <si>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</si>
  <si>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</si>
  <si>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</si>
  <si>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</si>
  <si>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</si>
  <si>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</si>
  <si>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</si>
  <si>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</si>
  <si>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</si>
  <si>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</si>
  <si>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</si>
  <si>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</si>
  <si>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</si>
  <si>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</si>
  <si>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</si>
  <si>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</si>
  <si>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</si>
  <si>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</si>
  <si>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</si>
  <si>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</si>
  <si>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</si>
  <si>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</si>
  <si>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</si>
  <si>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</si>
  <si>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</si>
  <si>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</si>
  <si>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</si>
  <si>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</si>
  <si>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</si>
  <si>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</si>
  <si>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</si>
  <si>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</si>
  <si>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</si>
  <si>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</si>
  <si>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</si>
  <si>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</si>
  <si>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</si>
  <si>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</si>
  <si>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</si>
  <si>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</si>
  <si>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</si>
  <si>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</si>
  <si>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</si>
  <si>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</si>
  <si>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</si>
  <si>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</si>
  <si>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</si>
  <si>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</si>
  <si>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</si>
  <si>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</si>
  <si>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</si>
  <si>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</si>
  <si>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</si>
  <si>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</si>
  <si>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</si>
  <si>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</si>
  <si>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</si>
  <si>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</si>
  <si>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</si>
  <si>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</si>
  <si>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</si>
  <si>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</si>
  <si>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</si>
  <si>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</si>
  <si>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</si>
  <si>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</si>
  <si>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</si>
  <si>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</si>
  <si>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</si>
  <si>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</si>
  <si>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</si>
  <si>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</si>
  <si>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</si>
  <si>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</si>
  <si>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</si>
  <si>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</si>
  <si>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</si>
  <si>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</si>
  <si>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</si>
  <si>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</si>
  <si>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</si>
  <si>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</si>
  <si>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</si>
  <si>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</si>
  <si>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</si>
  <si>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</si>
  <si>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</si>
  <si>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</si>
  <si>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</si>
  <si>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</si>
  <si>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</si>
  <si>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</si>
  <si>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</si>
  <si>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</si>
  <si>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</si>
  <si>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</si>
  <si>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</si>
  <si>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</si>
  <si>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</si>
  <si>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</si>
  <si>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</si>
  <si>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</si>
  <si>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</si>
  <si>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</si>
  <si>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</si>
  <si>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</si>
  <si>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</si>
  <si>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</si>
  <si>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</si>
  <si>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</si>
  <si>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</si>
  <si>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</si>
  <si>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</si>
  <si>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</si>
  <si>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</si>
  <si>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</si>
  <si>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</si>
  <si>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</si>
  <si>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</si>
  <si>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</si>
  <si>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</si>
  <si>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</si>
  <si>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</si>
  <si>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</si>
  <si>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</si>
  <si>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</si>
  <si>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</si>
  <si>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</si>
  <si>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</si>
  <si>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</si>
  <si>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</si>
  <si>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</si>
  <si>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</si>
  <si>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</si>
  <si>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</si>
  <si>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</si>
  <si>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</si>
  <si>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</si>
  <si>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</si>
  <si>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</si>
  <si>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</si>
  <si>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</si>
  <si>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</si>
  <si>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</si>
  <si>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</si>
  <si>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</si>
  <si>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</si>
  <si>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</si>
  <si>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</si>
  <si>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</si>
  <si>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</si>
  <si>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</si>
  <si>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</si>
  <si>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</si>
  <si>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</si>
  <si>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</si>
  <si>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</si>
  <si>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</si>
  <si>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</si>
  <si>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</si>
  <si>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</si>
  <si>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</si>
  <si>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</si>
  <si>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</si>
  <si>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</si>
  <si>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</si>
  <si>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</si>
  <si>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</si>
  <si>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</si>
  <si>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</si>
  <si>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</si>
  <si>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</si>
  <si>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</si>
  <si>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</si>
  <si>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</si>
  <si>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</si>
  <si>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</si>
  <si>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</si>
  <si>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</si>
  <si>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</si>
  <si>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</si>
  <si>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</si>
  <si>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</si>
  <si>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</si>
  <si>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</si>
  <si>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</si>
  <si>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</si>
  <si>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</si>
  <si>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</si>
  <si>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</si>
  <si>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</si>
  <si>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</si>
  <si>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</si>
  <si>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</si>
  <si>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</si>
  <si>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</si>
  <si>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</si>
  <si>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</si>
  <si>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</si>
  <si>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</si>
  <si>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</si>
  <si>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</si>
  <si>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</si>
  <si>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</si>
  <si>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</si>
  <si>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</si>
  <si>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</si>
  <si>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</si>
  <si>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</si>
  <si>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</si>
  <si>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</si>
  <si>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</si>
  <si>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</si>
  <si>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</si>
  <si>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</si>
  <si>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</si>
  <si>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</si>
  <si>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</si>
  <si>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</si>
  <si>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</si>
  <si>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</si>
  <si>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</si>
  <si>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</si>
  <si>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</si>
  <si>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</si>
  <si>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</si>
  <si>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</si>
  <si>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</si>
  <si>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</si>
  <si>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</si>
  <si>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</si>
  <si>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</si>
  <si>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</si>
  <si>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</si>
  <si>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</si>
  <si>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</si>
  <si>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</si>
  <si>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</si>
  <si>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</si>
  <si>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</si>
  <si>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</si>
  <si>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</si>
  <si>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</si>
  <si>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</si>
  <si>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</si>
  <si>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</si>
  <si>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</si>
  <si>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</si>
  <si>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</si>
  <si>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</si>
  <si>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</si>
  <si>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</si>
  <si>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</si>
  <si>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</si>
  <si>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</si>
  <si>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</si>
  <si>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</si>
  <si>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</si>
  <si>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</si>
  <si>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</si>
  <si>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</si>
  <si>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</si>
  <si>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</si>
  <si>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</si>
  <si>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</si>
  <si>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</si>
  <si>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</si>
  <si>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</si>
  <si>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</si>
  <si>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</si>
  <si>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</si>
  <si>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</si>
  <si>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</si>
  <si>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</si>
  <si>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</si>
  <si>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</si>
  <si>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</si>
  <si>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</si>
  <si>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</si>
  <si>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</si>
  <si>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</si>
  <si>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</si>
  <si>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</si>
  <si>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</si>
  <si>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</si>
  <si>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</si>
  <si>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</si>
  <si>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</si>
  <si>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</si>
  <si>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</si>
  <si>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</si>
  <si>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</si>
  <si>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</si>
  <si>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</si>
  <si>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</si>
  <si>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</si>
  <si>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</si>
  <si>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</si>
  <si>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</si>
  <si>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</si>
  <si>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</si>
  <si>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</si>
  <si>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</si>
  <si>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</si>
  <si>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</si>
  <si>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</si>
  <si>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</si>
  <si>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</si>
  <si>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</si>
  <si>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</si>
  <si>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</si>
  <si>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</si>
  <si>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</si>
  <si>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</si>
  <si>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</si>
  <si>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</si>
  <si>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</si>
  <si>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</si>
  <si>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</si>
  <si>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</si>
  <si>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</si>
  <si>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</si>
  <si>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</si>
  <si>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</si>
  <si>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</si>
  <si>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</si>
  <si>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</si>
  <si>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</si>
  <si>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</si>
  <si>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</si>
  <si>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</si>
  <si>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</si>
  <si>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</si>
  <si>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</si>
  <si>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</si>
  <si>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</si>
  <si>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</si>
  <si>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</si>
  <si>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</si>
  <si>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</si>
  <si>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</si>
  <si>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</si>
  <si>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</si>
  <si>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</si>
  <si>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</si>
  <si>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</si>
  <si>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</si>
  <si>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</si>
  <si>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</si>
  <si>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</si>
  <si>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</si>
  <si>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</si>
  <si>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</si>
  <si>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</si>
  <si>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</si>
  <si>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</si>
  <si>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</si>
  <si>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</si>
  <si>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</si>
  <si>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</si>
  <si>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</si>
  <si>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</si>
  <si>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</si>
  <si>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</si>
  <si>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</si>
  <si>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</si>
  <si>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</si>
  <si>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</si>
  <si>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</si>
  <si>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</si>
  <si>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</si>
  <si>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</si>
  <si>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</si>
  <si>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</si>
  <si>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</si>
  <si>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</si>
  <si>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</si>
  <si>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</si>
  <si>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</si>
  <si>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</si>
  <si>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</si>
  <si>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</si>
  <si>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</si>
  <si>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</si>
  <si>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</si>
  <si>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</si>
  <si>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</si>
  <si>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</si>
  <si>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</si>
  <si>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</si>
  <si>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</si>
  <si>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</si>
  <si>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</si>
  <si>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</si>
  <si>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</si>
  <si>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</si>
  <si>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</si>
  <si>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</si>
  <si>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</si>
  <si>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</si>
  <si>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</si>
  <si>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</si>
  <si>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</si>
  <si>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</si>
  <si>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</si>
  <si>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</si>
  <si>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</si>
  <si>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</si>
  <si>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</si>
  <si>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</si>
  <si>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</si>
  <si>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</si>
  <si>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</si>
  <si>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</si>
  <si>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</si>
  <si>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</si>
  <si>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</si>
  <si>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</si>
  <si>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</si>
  <si>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</si>
  <si>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</si>
  <si>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</si>
  <si>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</si>
  <si>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</si>
  <si>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</si>
  <si>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</si>
  <si>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</si>
  <si>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</si>
  <si>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</si>
  <si>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</si>
  <si>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</si>
  <si>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</si>
  <si>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</si>
  <si>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</si>
  <si>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</si>
  <si>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</si>
  <si>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</si>
  <si>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</si>
  <si>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</si>
  <si>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</si>
  <si>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</si>
  <si>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</si>
  <si>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</si>
  <si>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</si>
  <si>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</si>
  <si>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</si>
  <si>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</si>
  <si>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</si>
  <si>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</si>
  <si>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</si>
  <si>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</si>
  <si>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</si>
  <si>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</si>
  <si>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</si>
  <si>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</si>
  <si>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</si>
  <si>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</si>
  <si>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</si>
  <si>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</si>
  <si>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</si>
  <si>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</si>
  <si>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</si>
  <si>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</si>
  <si>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</si>
  <si>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</si>
  <si>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</si>
  <si>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</si>
  <si>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</si>
  <si>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</si>
  <si>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</si>
  <si>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</si>
  <si>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</si>
  <si>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</si>
  <si>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</si>
  <si>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</si>
  <si>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</si>
  <si>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</si>
  <si>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</si>
  <si>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</si>
  <si>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</si>
  <si>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</si>
  <si>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</si>
  <si>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</si>
  <si>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</si>
  <si>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</si>
  <si>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</si>
  <si>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</si>
  <si>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</si>
  <si>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</si>
  <si>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</si>
  <si>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</si>
  <si>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</si>
  <si>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</si>
  <si>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</si>
  <si>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</si>
  <si>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</si>
  <si>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</si>
  <si>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</si>
  <si>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</si>
  <si>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</si>
  <si>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</si>
  <si>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</si>
  <si>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</si>
  <si>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</si>
  <si>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</si>
  <si>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</si>
  <si>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</si>
  <si>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</si>
  <si>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</si>
  <si>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</si>
  <si>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</si>
  <si>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</si>
  <si>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</si>
  <si>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</si>
  <si>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</si>
  <si>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</si>
  <si>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</si>
  <si>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</si>
  <si>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</si>
  <si>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</si>
  <si>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</si>
  <si>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</si>
  <si>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</si>
  <si>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</si>
  <si>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</si>
  <si>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</si>
  <si>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</si>
  <si>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</si>
  <si>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</si>
  <si>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</si>
  <si>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</si>
  <si>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</si>
  <si>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</si>
  <si>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</si>
  <si>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</si>
  <si>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</si>
  <si>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</si>
  <si>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</si>
  <si>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</si>
  <si>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</si>
  <si>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</si>
  <si>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</si>
  <si>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</si>
  <si>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</si>
  <si>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</si>
  <si>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</si>
  <si>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</si>
  <si>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</si>
  <si>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</si>
  <si>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</si>
  <si>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</si>
  <si>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</si>
  <si>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</si>
  <si>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</si>
  <si>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</si>
  <si>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</si>
  <si>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</si>
  <si>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</si>
  <si>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</si>
  <si>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</si>
  <si>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</si>
  <si>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</si>
  <si>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</si>
  <si>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</si>
  <si>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</si>
  <si>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</si>
  <si>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</si>
  <si>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</si>
  <si>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</si>
  <si>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</si>
  <si>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</si>
  <si>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</si>
  <si>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</si>
  <si>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</si>
  <si>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</si>
  <si>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</si>
  <si>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</si>
  <si>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</si>
  <si>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</si>
  <si>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</si>
  <si>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</si>
  <si>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</si>
  <si>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</si>
  <si>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</si>
  <si>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</si>
  <si>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</si>
  <si>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</si>
  <si>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</si>
  <si>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</si>
  <si>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</si>
  <si>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</si>
  <si>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</si>
  <si>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</si>
  <si>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</si>
  <si>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</si>
  <si>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</si>
  <si>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</si>
  <si>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</si>
  <si>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</si>
  <si>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</si>
  <si>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</si>
  <si>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</si>
  <si>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</si>
  <si>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</si>
  <si>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</si>
  <si>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</si>
  <si>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</si>
  <si>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</si>
  <si>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</si>
  <si>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</si>
  <si>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</si>
  <si>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</si>
  <si>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</si>
  <si>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</si>
  <si>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</si>
  <si>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</si>
  <si>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</si>
  <si>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</si>
  <si>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</si>
  <si>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</si>
  <si>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</si>
  <si>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</si>
  <si>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</si>
  <si>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</si>
  <si>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</si>
  <si>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</si>
  <si>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</si>
  <si>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</si>
  <si>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</si>
  <si>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</si>
  <si>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</si>
  <si>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</si>
  <si>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</si>
  <si>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</si>
  <si>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</si>
  <si>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</si>
  <si>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</si>
  <si>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</si>
  <si>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</si>
  <si>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</si>
  <si>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</si>
  <si>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</si>
  <si>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</si>
  <si>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</si>
  <si>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</si>
  <si>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</si>
  <si>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</si>
  <si>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</si>
  <si>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</si>
  <si>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</si>
  <si>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</si>
  <si>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</si>
  <si>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</si>
  <si>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</si>
  <si>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</si>
  <si>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</si>
  <si>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</si>
  <si>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</si>
  <si>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</si>
  <si>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</si>
  <si>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</si>
  <si>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</si>
  <si>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</si>
  <si>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</si>
  <si>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</si>
  <si>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</si>
  <si>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</si>
  <si>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</si>
  <si>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</si>
  <si>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</si>
  <si>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</si>
  <si>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</si>
  <si>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</si>
  <si>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</si>
  <si>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</si>
  <si>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</si>
  <si>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</si>
  <si>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</si>
  <si>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</si>
  <si>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</si>
  <si>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</si>
  <si>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</si>
  <si>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</si>
  <si>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</si>
  <si>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</si>
  <si>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</si>
  <si>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</si>
  <si>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</si>
  <si>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</si>
  <si>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</si>
  <si>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</si>
  <si>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</si>
  <si>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</si>
  <si>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</si>
  <si>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</si>
  <si>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</si>
  <si>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</si>
  <si>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</si>
  <si>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</si>
  <si>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</si>
  <si>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</si>
  <si>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</si>
  <si>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</si>
  <si>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</si>
  <si>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</si>
  <si>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</si>
  <si>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</si>
  <si>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</si>
  <si>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</si>
  <si>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</si>
  <si>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</si>
  <si>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</si>
  <si>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</si>
  <si>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</si>
  <si>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</si>
  <si>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</si>
  <si>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</si>
  <si>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</si>
  <si>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</si>
  <si>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</si>
  <si>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</si>
  <si>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</si>
  <si>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</si>
  <si>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</si>
  <si>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</si>
  <si>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</si>
  <si>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</si>
  <si>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</si>
  <si>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</si>
  <si>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</si>
  <si>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</si>
  <si>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</si>
  <si>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</si>
  <si>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</si>
  <si>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</si>
  <si>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</si>
  <si>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</si>
  <si>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</si>
  <si>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</si>
  <si>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</si>
  <si>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</si>
  <si>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</si>
  <si>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</si>
  <si>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</si>
  <si>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</si>
  <si>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</si>
  <si>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</si>
  <si>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</si>
  <si>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</si>
  <si>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</si>
  <si>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</si>
  <si>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</si>
  <si>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</si>
  <si>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</si>
  <si>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</si>
  <si>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</si>
  <si>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</si>
  <si>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</si>
  <si>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</si>
  <si>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</si>
  <si>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</si>
  <si>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</si>
  <si>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</si>
  <si>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</si>
  <si>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</si>
  <si>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</si>
  <si>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</si>
  <si>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</si>
  <si>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</si>
  <si>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</si>
  <si>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</si>
  <si>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</si>
  <si>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</si>
  <si>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</si>
  <si>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</si>
  <si>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</si>
  <si>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</si>
  <si>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</si>
  <si>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</si>
  <si>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</si>
  <si>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</si>
  <si>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</si>
  <si>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</si>
  <si>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</si>
  <si>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</si>
  <si>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</si>
  <si>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</si>
  <si>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</si>
  <si>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</si>
  <si>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</si>
  <si>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</si>
  <si>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</si>
  <si>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</si>
  <si>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</si>
  <si>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</si>
  <si>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</si>
  <si>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</si>
  <si>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</si>
  <si>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</si>
  <si>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</si>
  <si>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</si>
  <si>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</si>
  <si>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</si>
  <si>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</si>
  <si>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</si>
  <si>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</si>
  <si>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</si>
  <si>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</si>
  <si>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</si>
  <si>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</si>
  <si>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</si>
  <si>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</si>
  <si>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</si>
  <si>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</si>
  <si>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</si>
  <si>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</si>
  <si>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</si>
  <si>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</si>
  <si>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</si>
  <si>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</si>
  <si>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</si>
  <si>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</si>
  <si>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</si>
  <si>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</si>
  <si>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</si>
  <si>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</si>
  <si>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</si>
  <si>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</si>
  <si>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</si>
  <si>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</si>
  <si>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</si>
  <si>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</si>
  <si>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</si>
  <si>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</si>
  <si>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</si>
  <si>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</si>
  <si>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</si>
  <si>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</si>
  <si>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</si>
  <si>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</si>
  <si>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</si>
  <si>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</si>
  <si>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</si>
  <si>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</si>
  <si>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</si>
  <si>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</si>
  <si>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</si>
  <si>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</si>
  <si>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</si>
  <si>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</si>
  <si>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</si>
  <si>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</si>
  <si>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</si>
  <si>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</si>
  <si>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</si>
  <si>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</si>
  <si>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</si>
  <si>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</si>
  <si>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</si>
  <si>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</si>
  <si>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</si>
  <si>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</si>
  <si>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</si>
  <si>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</si>
  <si>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</si>
  <si>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</si>
  <si>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</si>
  <si>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</si>
  <si>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</si>
  <si>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</si>
  <si>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</si>
  <si>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</si>
  <si>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</si>
  <si>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</si>
  <si>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</si>
  <si>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</si>
  <si>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</si>
  <si>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</si>
  <si>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</si>
  <si>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</si>
  <si>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</si>
  <si>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</si>
  <si>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</si>
  <si>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</si>
  <si>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</si>
  <si>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</si>
  <si>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</si>
  <si>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</si>
  <si>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</si>
  <si>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</si>
  <si>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</si>
  <si>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</si>
  <si>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</si>
  <si>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</si>
  <si>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</si>
  <si>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</si>
  <si>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</si>
  <si>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</si>
  <si>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</si>
  <si>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</si>
  <si>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</si>
  <si>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</si>
  <si>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</si>
  <si>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</si>
  <si>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</si>
  <si>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</si>
  <si>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</si>
  <si>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</si>
  <si>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</si>
  <si>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</si>
  <si>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</si>
  <si>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</si>
  <si>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</si>
  <si>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</si>
  <si>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</si>
  <si>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</si>
  <si>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</si>
  <si>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</si>
  <si>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</si>
  <si>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</si>
  <si>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</si>
  <si>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</si>
  <si>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</si>
  <si>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</si>
  <si>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</si>
  <si>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</si>
  <si>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</si>
  <si>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</si>
  <si>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</si>
  <si>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</si>
  <si>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</si>
  <si>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</si>
  <si>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</si>
  <si>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</si>
  <si>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</si>
  <si>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</si>
  <si>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</si>
  <si>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</si>
  <si>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</si>
  <si>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</si>
  <si>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</si>
  <si>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</si>
  <si>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</si>
  <si>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</si>
  <si>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</si>
  <si>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</si>
  <si>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</si>
  <si>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</si>
  <si>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</si>
  <si>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</si>
  <si>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</si>
  <si>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</si>
  <si>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</si>
  <si>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</si>
  <si>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</si>
  <si>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</si>
  <si>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</si>
  <si>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</si>
  <si>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</si>
  <si>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</si>
  <si>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</si>
  <si>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</si>
  <si>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</si>
  <si>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</si>
  <si>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</si>
  <si>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</si>
  <si>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</si>
  <si>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</si>
  <si>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</si>
  <si>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</si>
  <si>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</si>
  <si>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</si>
  <si>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</si>
  <si>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</si>
  <si>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</si>
  <si>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</si>
  <si>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</si>
  <si>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</si>
  <si>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</si>
  <si>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</si>
  <si>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</si>
  <si>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</si>
  <si>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</si>
  <si>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</si>
  <si>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</si>
  <si>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</si>
  <si>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</si>
  <si>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</si>
  <si>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</si>
  <si>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</si>
  <si>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</si>
  <si>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</si>
  <si>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</si>
  <si>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</si>
  <si>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</si>
  <si>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</si>
  <si>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</si>
  <si>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</si>
  <si>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</si>
  <si>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</si>
  <si>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</si>
  <si>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</si>
  <si>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</si>
  <si>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</si>
  <si>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</si>
  <si>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</si>
  <si>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</si>
  <si>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</si>
  <si>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</si>
  <si>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</si>
  <si>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</si>
  <si>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</si>
  <si>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</si>
  <si>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</si>
  <si>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</si>
  <si>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</si>
  <si>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</si>
  <si>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</si>
  <si>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</si>
  <si>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</si>
  <si>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</si>
  <si>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</si>
  <si>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</si>
  <si>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</si>
  <si>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</si>
  <si>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</si>
  <si>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</si>
  <si>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</si>
  <si>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</si>
  <si>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</si>
  <si>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</si>
  <si>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</si>
  <si>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</si>
  <si>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</si>
  <si>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</si>
  <si>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</si>
  <si>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</si>
  <si>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</si>
  <si>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</si>
  <si>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</si>
  <si>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</si>
  <si>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</si>
  <si>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</si>
  <si>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</si>
  <si>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</si>
  <si>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</si>
  <si>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</si>
  <si>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</si>
  <si>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</si>
  <si>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</si>
  <si>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</si>
  <si>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</si>
  <si>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</si>
  <si>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</si>
  <si>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</si>
  <si>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</si>
  <si>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</si>
  <si>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</si>
  <si>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</si>
  <si>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</si>
  <si>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</si>
  <si>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</si>
  <si>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</si>
  <si>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</si>
  <si>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</si>
  <si>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</si>
  <si>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</si>
  <si>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</si>
  <si>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</si>
  <si>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</si>
  <si>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</si>
  <si>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</si>
  <si>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</si>
  <si>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</si>
  <si>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</si>
  <si>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</si>
  <si>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</si>
  <si>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</si>
  <si>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</si>
  <si>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</si>
  <si>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</si>
  <si>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</si>
  <si>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</si>
  <si>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</si>
  <si>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</si>
  <si>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</si>
  <si>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</si>
  <si>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</si>
  <si>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</si>
  <si>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</si>
  <si>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</si>
  <si>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</si>
  <si>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</si>
  <si>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</si>
  <si>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</si>
  <si>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</si>
  <si>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</si>
  <si>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</si>
  <si>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</si>
  <si>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</si>
  <si>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</si>
  <si>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</si>
  <si>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</si>
  <si>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</si>
  <si>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</si>
  <si>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</si>
  <si>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</si>
  <si>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</si>
  <si>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</si>
  <si>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</si>
  <si>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</si>
  <si>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</si>
  <si>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</si>
  <si>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</si>
  <si>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</si>
  <si>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</si>
  <si>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</si>
  <si>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</si>
  <si>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</si>
  <si>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</si>
  <si>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</si>
  <si>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</si>
  <si>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</si>
  <si>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</si>
  <si>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</si>
  <si>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</si>
  <si>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</si>
  <si>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</si>
  <si>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</si>
  <si>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</si>
  <si>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</si>
  <si>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</si>
  <si>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</si>
  <si>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</si>
  <si>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</si>
  <si>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</si>
  <si>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</si>
  <si>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</si>
  <si>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</si>
  <si>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</si>
  <si>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</si>
  <si>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</si>
  <si>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</si>
  <si>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</si>
  <si>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</si>
  <si>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</si>
  <si>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</si>
  <si>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</si>
  <si>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</si>
  <si>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</si>
  <si>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</si>
  <si>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</si>
  <si>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</si>
  <si>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</si>
  <si>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</si>
  <si>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</si>
  <si>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</si>
  <si>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</si>
  <si>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</si>
  <si>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</si>
  <si>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</si>
  <si>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</si>
  <si>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</si>
  <si>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</si>
  <si>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</si>
  <si>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</si>
  <si>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</si>
  <si>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</si>
  <si>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</si>
  <si>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</si>
  <si>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</si>
  <si>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</si>
  <si>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</si>
  <si>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</si>
  <si>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</si>
  <si>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</si>
  <si>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</si>
  <si>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</si>
  <si>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</si>
  <si>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</si>
  <si>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</si>
  <si>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</si>
  <si>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</si>
  <si>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</si>
  <si>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</si>
  <si>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</si>
  <si>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</si>
  <si>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</si>
  <si>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</si>
  <si>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</si>
  <si>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</si>
  <si>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</si>
  <si>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</si>
  <si>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</si>
  <si>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</si>
  <si>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</si>
  <si>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</si>
  <si>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</si>
  <si>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</si>
  <si>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</si>
  <si>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</si>
  <si>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</si>
  <si>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</si>
  <si>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</si>
  <si>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</si>
  <si>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</si>
  <si>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</si>
  <si>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</si>
  <si>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</si>
  <si>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</si>
  <si>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</si>
  <si>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</si>
  <si>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</si>
  <si>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</si>
  <si>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</si>
  <si>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</si>
  <si>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</si>
  <si>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</si>
  <si>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</si>
  <si>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</si>
  <si>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</si>
  <si>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</si>
  <si>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</si>
  <si>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</si>
  <si>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</si>
  <si>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</si>
  <si>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</si>
  <si>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</si>
  <si>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</si>
  <si>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</si>
  <si>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</si>
  <si>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</si>
  <si>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</si>
  <si>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</si>
  <si>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</si>
  <si>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</si>
  <si>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</si>
  <si>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</si>
  <si>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</si>
  <si>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</si>
  <si>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</si>
  <si>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</si>
  <si>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</si>
  <si>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</si>
  <si>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</si>
  <si>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</si>
  <si>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</si>
  <si>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</si>
  <si>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</si>
  <si>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</si>
  <si>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</si>
  <si>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</si>
  <si>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</si>
  <si>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</si>
  <si>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</si>
  <si>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</si>
  <si>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</si>
  <si>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</si>
  <si>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</si>
  <si>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</si>
  <si>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</si>
  <si>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</si>
  <si>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</si>
  <si>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</si>
  <si>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</si>
  <si>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</si>
  <si>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</si>
  <si>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</si>
  <si>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</si>
  <si>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</si>
  <si>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</si>
  <si>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</si>
  <si>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</si>
  <si>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</si>
  <si>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</si>
  <si>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</si>
  <si>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</si>
  <si>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</si>
  <si>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</si>
  <si>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</si>
  <si>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</si>
  <si>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</si>
  <si>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</si>
  <si>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</si>
  <si>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</si>
  <si>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</si>
  <si>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</si>
  <si>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</si>
  <si>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</si>
  <si>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</si>
  <si>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</si>
  <si>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</si>
  <si>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</si>
  <si>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</si>
  <si>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</si>
  <si>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</si>
  <si>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</si>
  <si>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</si>
  <si>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</si>
  <si>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</si>
  <si>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</si>
  <si>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</si>
  <si>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</si>
  <si>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</si>
  <si>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</si>
  <si>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</si>
  <si>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</si>
  <si>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</si>
  <si>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</si>
  <si>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</si>
  <si>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</si>
  <si>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</si>
  <si>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</si>
  <si>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</si>
  <si>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</si>
  <si>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</si>
  <si>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</si>
  <si>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</si>
  <si>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</si>
  <si>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</si>
  <si>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</si>
  <si>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</si>
  <si>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</si>
  <si>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</si>
  <si>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</si>
  <si>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</si>
  <si>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</si>
  <si>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</si>
  <si>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</si>
  <si>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</si>
  <si>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</si>
  <si>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</si>
  <si>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</si>
  <si>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</si>
  <si>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</si>
  <si>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</si>
  <si>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</si>
  <si>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</si>
  <si>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</si>
  <si>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</si>
  <si>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</si>
  <si>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</si>
  <si>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</si>
  <si>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</si>
  <si>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</si>
  <si>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</si>
  <si>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</si>
  <si>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</si>
  <si>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</si>
  <si>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</si>
  <si>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</si>
  <si>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</si>
  <si>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</si>
  <si>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</si>
  <si>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</si>
  <si>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</si>
  <si>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</si>
  <si>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</si>
  <si>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</si>
  <si>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</si>
  <si>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</si>
  <si>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</si>
  <si>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</si>
  <si>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</si>
  <si>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</si>
  <si>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</si>
  <si>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</si>
  <si>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</si>
  <si>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</si>
  <si>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</si>
  <si>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</si>
  <si>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</si>
  <si>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</si>
  <si>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</si>
  <si>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</si>
  <si>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</si>
  <si>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</si>
  <si>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</si>
  <si>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</si>
  <si>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</si>
  <si>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</si>
  <si>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</si>
  <si>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</si>
  <si>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</si>
  <si>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</si>
  <si>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</si>
  <si>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</si>
  <si>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</si>
  <si>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</si>
  <si>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</si>
  <si>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</si>
  <si>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</si>
  <si>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</si>
  <si>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</si>
  <si>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</si>
  <si>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</si>
  <si>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</si>
  <si>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</si>
  <si>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</si>
  <si>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</si>
  <si>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</si>
  <si>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</si>
  <si>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</si>
  <si>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</si>
  <si>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</si>
  <si>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</si>
  <si>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</si>
  <si>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</si>
  <si>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</si>
  <si>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</si>
  <si>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</si>
  <si>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</si>
  <si>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</si>
  <si>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</si>
  <si>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</si>
  <si>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</si>
  <si>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</si>
  <si>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</si>
  <si>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</si>
  <si>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</si>
  <si>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</si>
  <si>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</si>
  <si>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</si>
  <si>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</si>
  <si>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</si>
  <si>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</si>
  <si>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</si>
  <si>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</si>
  <si>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</si>
  <si>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</si>
  <si>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</si>
  <si>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</si>
  <si>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</si>
  <si>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</si>
  <si>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</si>
  <si>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</si>
  <si>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</si>
  <si>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</si>
  <si>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</si>
  <si>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</si>
  <si>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</si>
  <si>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</si>
  <si>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</si>
  <si>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</si>
  <si>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</si>
  <si>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</si>
  <si>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</si>
  <si>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</si>
  <si>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</si>
  <si>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</si>
  <si>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</si>
  <si>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</si>
  <si>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</si>
  <si>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</si>
  <si>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</si>
  <si>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</si>
  <si>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</si>
  <si>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</si>
  <si>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</si>
  <si>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</si>
  <si>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</si>
  <si>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</si>
  <si>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</si>
  <si>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</si>
  <si>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</si>
  <si>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</si>
  <si>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</si>
  <si>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</si>
  <si>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</si>
  <si>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</si>
  <si>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</si>
  <si>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</si>
  <si>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</si>
  <si>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</si>
  <si>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</si>
  <si>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</si>
  <si>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</si>
  <si>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</si>
  <si>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</si>
  <si>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</si>
  <si>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</si>
  <si>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</si>
  <si>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</si>
  <si>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</si>
  <si>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</si>
  <si>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</si>
  <si>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</si>
  <si>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</si>
  <si>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</si>
  <si>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</si>
  <si>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</si>
  <si>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</si>
  <si>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</si>
  <si>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</si>
  <si>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</si>
  <si>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</si>
  <si>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</si>
  <si>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</si>
  <si>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</si>
  <si>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</si>
  <si>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</si>
  <si>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</si>
  <si>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</si>
  <si>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</si>
  <si>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</si>
  <si>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</si>
  <si>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</si>
  <si>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</si>
  <si>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</si>
  <si>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</si>
  <si>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</si>
  <si>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</si>
  <si>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</si>
  <si>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</si>
  <si>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</si>
  <si>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</si>
  <si>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</si>
  <si>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</si>
  <si>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</si>
  <si>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</si>
  <si>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</si>
  <si>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</si>
  <si>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</si>
  <si>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</si>
  <si>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</si>
  <si>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</si>
  <si>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</si>
  <si>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</si>
  <si>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</si>
  <si>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</si>
  <si>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</si>
  <si>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</si>
  <si>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</si>
  <si>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</si>
  <si>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</si>
  <si>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</si>
  <si>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</si>
  <si>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</si>
  <si>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</si>
  <si>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</si>
  <si>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</si>
  <si>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</si>
  <si>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</si>
  <si>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</si>
  <si>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</si>
  <si>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</si>
  <si>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</si>
  <si>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</si>
  <si>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</si>
  <si>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</si>
  <si>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</si>
  <si>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</si>
  <si>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</si>
  <si>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</si>
  <si>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</si>
  <si>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</si>
  <si>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</si>
  <si>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</si>
  <si>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</si>
  <si>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</si>
  <si>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</si>
  <si>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</si>
  <si>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</si>
  <si>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</si>
  <si>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</si>
  <si>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</si>
  <si>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</si>
  <si>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</si>
  <si>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</si>
  <si>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</si>
  <si>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</si>
  <si>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</si>
  <si>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</si>
  <si>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</si>
  <si>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</si>
  <si>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</si>
  <si>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</si>
  <si>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</si>
  <si>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</si>
  <si>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</si>
  <si>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</si>
  <si>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</si>
  <si>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</si>
  <si>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</si>
  <si>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</si>
  <si>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</si>
  <si>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</si>
  <si>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</si>
  <si>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</si>
  <si>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</si>
  <si>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</si>
  <si>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</si>
  <si>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</si>
  <si>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</si>
  <si>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</si>
  <si>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</si>
  <si>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</si>
  <si>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</si>
  <si>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</si>
  <si>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</si>
  <si>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</si>
  <si>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</si>
  <si>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</si>
  <si>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</si>
  <si>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</si>
  <si>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</si>
  <si>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</si>
  <si>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</si>
  <si>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</si>
  <si>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</si>
  <si>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</si>
  <si>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</si>
  <si>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</si>
  <si>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</si>
  <si>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</si>
  <si>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</si>
  <si>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</si>
  <si>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</si>
  <si>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</si>
  <si>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</si>
  <si>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</si>
  <si>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</si>
  <si>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</si>
  <si>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</si>
  <si>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</si>
  <si>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</si>
  <si>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</si>
  <si>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</si>
  <si>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</si>
  <si>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</si>
  <si>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</si>
  <si>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</si>
  <si>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</si>
  <si>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</si>
  <si>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</si>
  <si>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</si>
  <si>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</si>
  <si>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</si>
  <si>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</si>
  <si>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</si>
  <si>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</si>
  <si>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</si>
  <si>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</si>
  <si>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</si>
  <si>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</si>
  <si>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</si>
  <si>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</si>
  <si>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</si>
  <si>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</si>
  <si>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</si>
  <si>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</si>
  <si>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</si>
  <si>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</si>
  <si>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</si>
  <si>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</si>
  <si>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</si>
  <si>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</si>
  <si>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</si>
  <si>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</si>
  <si>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</si>
  <si>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</si>
  <si>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</si>
  <si>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</si>
  <si>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</si>
  <si>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</si>
  <si>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</si>
  <si>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</si>
  <si>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</si>
  <si>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</si>
  <si>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</si>
  <si>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</si>
  <si>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</si>
  <si>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</si>
  <si>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</si>
  <si>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</si>
  <si>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</si>
  <si>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</si>
  <si>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</si>
  <si>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</si>
  <si>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</si>
  <si>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</si>
  <si>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</si>
  <si>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</si>
  <si>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</si>
  <si>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</si>
  <si>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</si>
  <si>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</si>
  <si>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</si>
  <si>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</si>
  <si>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</si>
  <si>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</si>
  <si>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</si>
  <si>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</si>
  <si>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</si>
  <si>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</si>
  <si>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</si>
  <si>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</si>
  <si>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</si>
  <si>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</si>
  <si>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</si>
  <si>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</si>
  <si>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</si>
  <si>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</si>
  <si>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</si>
  <si>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</si>
  <si>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</si>
  <si>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</si>
  <si>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</si>
  <si>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</si>
  <si>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</si>
  <si>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</si>
  <si>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</si>
  <si>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</si>
  <si>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</si>
  <si>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</si>
  <si>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</si>
  <si>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</si>
  <si>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</si>
  <si>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</si>
  <si>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</si>
  <si>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</si>
  <si>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</si>
  <si>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</si>
  <si>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</si>
  <si>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</si>
  <si>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</si>
  <si>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</si>
  <si>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</si>
  <si>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</si>
  <si>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</si>
  <si>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</si>
  <si>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</si>
  <si>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</si>
  <si>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</si>
  <si>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</si>
  <si>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</si>
  <si>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</si>
  <si>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</si>
  <si>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</si>
  <si>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</si>
  <si>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</si>
  <si>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</si>
  <si>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</si>
  <si>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</si>
  <si>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</si>
  <si>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</si>
  <si>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</si>
  <si>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</si>
  <si>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</si>
  <si>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</si>
  <si>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</si>
  <si>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</si>
  <si>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</si>
  <si>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</si>
  <si>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</si>
  <si>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</si>
  <si>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</si>
  <si>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</si>
  <si>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</si>
  <si>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</si>
  <si>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</si>
  <si>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</si>
  <si>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</si>
  <si>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</si>
  <si>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</si>
  <si>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</si>
  <si>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</si>
  <si>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</si>
  <si>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</si>
  <si>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</si>
  <si>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</si>
  <si>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</si>
  <si>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</si>
  <si>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</si>
  <si>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</si>
  <si>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</si>
  <si>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</si>
  <si>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</si>
  <si>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</si>
  <si>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</si>
  <si>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</si>
  <si>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</si>
  <si>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</si>
  <si>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</si>
  <si>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</si>
  <si>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</si>
  <si>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</si>
  <si>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</si>
  <si>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</si>
  <si>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</si>
  <si>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</si>
  <si>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</si>
  <si>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</si>
  <si>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</si>
  <si>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</si>
  <si>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</si>
  <si>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</si>
  <si>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</si>
  <si>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</si>
  <si>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</si>
  <si>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</si>
  <si>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</si>
  <si>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</si>
  <si>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</si>
  <si>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</si>
  <si>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</si>
  <si>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</si>
  <si>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</si>
  <si>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</si>
  <si>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</si>
  <si>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</si>
  <si>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</si>
  <si>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</si>
  <si>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</si>
  <si>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</si>
  <si>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</si>
  <si>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</si>
  <si>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</si>
  <si>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</si>
  <si>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</si>
  <si>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</si>
  <si>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</si>
  <si>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</si>
  <si>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</si>
  <si>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</si>
  <si>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</si>
  <si>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</si>
  <si>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</si>
  <si>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</si>
  <si>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</si>
  <si>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</si>
  <si>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</si>
  <si>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</si>
  <si>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</si>
  <si>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</si>
  <si>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</si>
  <si>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</si>
  <si>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</si>
  <si>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</si>
  <si>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</si>
  <si>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</si>
  <si>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</si>
  <si>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</si>
  <si>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</si>
  <si>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</si>
  <si>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</si>
  <si>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</si>
  <si>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</si>
  <si>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</si>
  <si>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</si>
  <si>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</si>
  <si>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</si>
  <si>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</si>
  <si>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</si>
  <si>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</si>
  <si>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</si>
  <si>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</si>
  <si>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</si>
  <si>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</si>
  <si>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</si>
  <si>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</si>
  <si>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</si>
  <si>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</si>
  <si>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</si>
  <si>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</si>
  <si>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</si>
  <si>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</si>
  <si>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</si>
  <si>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</si>
  <si>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</si>
  <si>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</si>
  <si>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</si>
  <si>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</si>
  <si>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</si>
  <si>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</si>
  <si>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</si>
  <si>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</si>
  <si>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</si>
  <si>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</si>
  <si>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</si>
  <si>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</si>
  <si>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</si>
  <si>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</si>
  <si>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</si>
  <si>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</si>
  <si>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</si>
  <si>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</si>
  <si>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</si>
  <si>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</si>
  <si>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</si>
  <si>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</si>
  <si>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</si>
  <si>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</si>
  <si>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</si>
  <si>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</si>
  <si>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</si>
  <si>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</si>
  <si>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</si>
  <si>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</si>
  <si>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</si>
  <si>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</si>
  <si>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</si>
  <si>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</si>
  <si>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</si>
  <si>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</si>
  <si>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</si>
  <si>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</si>
  <si>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</si>
  <si>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</si>
  <si>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</si>
  <si>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</si>
  <si>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</si>
  <si>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</si>
  <si>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</si>
  <si>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</si>
  <si>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</si>
  <si>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</si>
  <si>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</si>
  <si>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</si>
  <si>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</si>
  <si>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</si>
  <si>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</si>
  <si>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</si>
  <si>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</si>
  <si>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</si>
  <si>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</si>
  <si>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</si>
  <si>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</si>
  <si>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</si>
  <si>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</si>
  <si>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</si>
  <si>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</si>
  <si>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</si>
  <si>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</si>
  <si>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</si>
  <si>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</si>
  <si>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</si>
  <si>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</si>
  <si>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</si>
  <si>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</si>
  <si>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</si>
  <si>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</si>
  <si>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</si>
  <si>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</si>
  <si>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</si>
  <si>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</si>
  <si>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</si>
  <si>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</si>
  <si>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</si>
  <si>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</si>
  <si>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</si>
  <si>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</si>
  <si>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</si>
  <si>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</si>
  <si>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</si>
  <si>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</si>
  <si>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</si>
  <si>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</si>
  <si>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</si>
  <si>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</si>
  <si>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</si>
  <si>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</si>
  <si>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</si>
  <si>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</si>
  <si>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</si>
  <si>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</si>
  <si>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</si>
  <si>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</si>
  <si>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</si>
  <si>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</si>
  <si>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</si>
  <si>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</si>
  <si>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</si>
  <si>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</si>
  <si>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</si>
  <si>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</si>
  <si>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</si>
  <si>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</si>
  <si>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</si>
  <si>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</si>
  <si>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</si>
  <si>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</si>
  <si>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</si>
  <si>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</si>
  <si>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</si>
  <si>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</si>
  <si>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</si>
  <si>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</si>
  <si>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</si>
  <si>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</si>
  <si>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</si>
  <si>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</si>
  <si>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</si>
  <si>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</si>
  <si>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</si>
  <si>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</si>
  <si>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</si>
  <si>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</si>
  <si>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</si>
  <si>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</si>
  <si>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</si>
  <si>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</si>
  <si>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</si>
  <si>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</si>
  <si>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</si>
  <si>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</si>
  <si>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</si>
  <si>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</si>
  <si>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</si>
  <si>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</si>
  <si>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</si>
  <si>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</si>
  <si>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</si>
  <si>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</si>
  <si>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</si>
  <si>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</si>
  <si>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</si>
  <si>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</si>
  <si>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</si>
  <si>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</si>
  <si>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</si>
  <si>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</si>
  <si>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</si>
  <si>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</si>
  <si>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</si>
  <si>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</si>
  <si>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</si>
  <si>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</si>
  <si>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</si>
  <si>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</si>
  <si>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</si>
  <si>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</si>
  <si>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</si>
  <si>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</si>
  <si>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</si>
  <si>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</si>
  <si>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</si>
  <si>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</si>
  <si>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</si>
  <si>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</si>
  <si>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</si>
  <si>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</si>
  <si>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</si>
  <si>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</si>
  <si>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</si>
  <si>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</si>
  <si>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</si>
  <si>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</si>
  <si>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</si>
  <si>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</si>
  <si>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</si>
  <si>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</si>
  <si>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</si>
  <si>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</si>
  <si>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</si>
  <si>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</si>
  <si>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</si>
  <si>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</si>
  <si>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</si>
  <si>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</si>
  <si>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</si>
  <si>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</si>
  <si>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</si>
  <si>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</si>
  <si>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</si>
  <si>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</si>
  <si>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</si>
  <si>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</si>
  <si>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</si>
  <si>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</si>
  <si>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</si>
  <si>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</si>
  <si>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</si>
  <si>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</si>
  <si>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</si>
  <si>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</si>
  <si>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</si>
  <si>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</si>
  <si>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</si>
  <si>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</si>
  <si>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</si>
  <si>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</si>
  <si>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</si>
  <si>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</si>
  <si>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</si>
  <si>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</si>
  <si>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</si>
  <si>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</si>
  <si>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</si>
  <si>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</si>
  <si>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</si>
  <si>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</si>
  <si>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</si>
  <si>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</si>
  <si>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</si>
  <si>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</si>
  <si>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</si>
  <si>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</si>
  <si>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</si>
  <si>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</si>
  <si>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</si>
  <si>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</si>
  <si>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</si>
  <si>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</si>
  <si>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</si>
  <si>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</si>
  <si>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</si>
  <si>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</si>
  <si>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</si>
  <si>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</si>
  <si>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</si>
  <si>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</si>
  <si>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</si>
  <si>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</si>
  <si>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</si>
  <si>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</si>
  <si>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</si>
  <si>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</si>
  <si>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</si>
  <si>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</si>
  <si>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</si>
  <si>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</si>
  <si>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</si>
  <si>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</si>
  <si>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</si>
  <si>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</si>
  <si>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</si>
  <si>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</si>
  <si>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</si>
  <si>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</si>
  <si>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</si>
  <si>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</si>
  <si>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</si>
  <si>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</si>
  <si>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</si>
  <si>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</si>
  <si>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</si>
  <si>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</si>
  <si>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</si>
  <si>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</si>
  <si>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</si>
  <si>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</si>
  <si>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</si>
  <si>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</si>
  <si>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</si>
  <si>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</si>
  <si>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</si>
  <si>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</si>
  <si>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</si>
  <si>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</si>
  <si>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</si>
  <si>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</si>
  <si>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</si>
  <si>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</si>
  <si>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</si>
  <si>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</si>
  <si>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</si>
  <si>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</si>
  <si>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</si>
  <si>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</si>
  <si>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</si>
  <si>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</si>
  <si>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</si>
  <si>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</si>
  <si>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</si>
  <si>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</si>
  <si>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</si>
  <si>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</si>
  <si>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</si>
  <si>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</si>
  <si>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</si>
  <si>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</si>
  <si>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</si>
  <si>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</si>
  <si>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</si>
  <si>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</si>
  <si>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</si>
  <si>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</si>
  <si>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</si>
  <si>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</si>
  <si>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</si>
  <si>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</si>
  <si>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</si>
  <si>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</si>
  <si>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</si>
  <si>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</si>
  <si>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</si>
  <si>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</si>
  <si>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</si>
  <si>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</si>
  <si>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</si>
  <si>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</si>
  <si>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</si>
  <si>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</si>
  <si>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</si>
  <si>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</si>
  <si>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</si>
  <si>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</si>
  <si>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</si>
  <si>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</si>
  <si>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</si>
  <si>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</si>
  <si>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</si>
  <si>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</si>
  <si>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</si>
  <si>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</si>
  <si>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</si>
  <si>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</si>
  <si>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</si>
  <si>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</si>
  <si>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</si>
  <si>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</si>
  <si>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</si>
  <si>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</si>
  <si>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</si>
  <si>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</si>
  <si>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</si>
  <si>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</si>
  <si>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</si>
  <si>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</si>
  <si>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</si>
  <si>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</si>
  <si>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</si>
  <si>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</si>
  <si>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</si>
  <si>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</si>
  <si>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</si>
  <si>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</si>
  <si>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</si>
  <si>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</si>
  <si>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</si>
  <si>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</si>
  <si>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</si>
  <si>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</si>
  <si>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</si>
  <si>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</si>
  <si>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</si>
  <si>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</si>
  <si>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</si>
  <si>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</si>
  <si>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</si>
  <si>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</si>
  <si>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</si>
  <si>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</si>
  <si>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</si>
  <si>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</si>
  <si>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</si>
  <si>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</si>
  <si>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</si>
  <si>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</si>
  <si>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</si>
  <si>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</si>
  <si>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</si>
  <si>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</si>
  <si>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</si>
  <si>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</si>
  <si>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</si>
  <si>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</si>
  <si>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</si>
  <si>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</si>
  <si>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</si>
  <si>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</si>
  <si>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</si>
  <si>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</si>
  <si>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</si>
  <si>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</si>
  <si>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</si>
  <si>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</si>
  <si>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</si>
  <si>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</si>
  <si>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</si>
  <si>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</si>
  <si>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</si>
  <si>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</si>
  <si>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</si>
  <si>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</si>
  <si>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</si>
  <si>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</si>
  <si>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</si>
  <si>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</si>
  <si>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</si>
  <si>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</si>
  <si>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</si>
  <si>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</si>
  <si>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</si>
  <si>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</si>
  <si>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</si>
  <si>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</si>
  <si>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</si>
  <si>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</si>
  <si>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</si>
  <si>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</si>
  <si>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</si>
  <si>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</si>
  <si>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</si>
  <si>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</si>
  <si>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</si>
  <si>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</si>
  <si>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</si>
  <si>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</si>
  <si>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</si>
  <si>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</si>
  <si>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</si>
  <si>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</si>
  <si>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</si>
  <si>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</si>
  <si>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</si>
  <si>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</si>
  <si>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</si>
  <si>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</si>
  <si>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</si>
  <si>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</si>
  <si>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</si>
  <si>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</si>
  <si>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</si>
  <si>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</si>
  <si>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</si>
  <si>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</si>
  <si>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</si>
  <si>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</si>
  <si>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</si>
  <si>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</si>
  <si>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</si>
  <si>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</si>
  <si>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</si>
  <si>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</si>
  <si>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</si>
  <si>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</si>
  <si>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</si>
  <si>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</si>
  <si>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</si>
  <si>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</si>
  <si>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</si>
  <si>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</si>
  <si>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</si>
  <si>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</si>
  <si>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</si>
  <si>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</si>
  <si>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</si>
  <si>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</si>
  <si>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</si>
  <si>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</si>
  <si>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</si>
  <si>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</si>
  <si>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</si>
  <si>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</si>
  <si>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</si>
  <si>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</si>
  <si>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</si>
  <si>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</si>
  <si>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</si>
  <si>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</si>
  <si>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</si>
  <si>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</si>
  <si>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</si>
  <si>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</si>
  <si>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</si>
  <si>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</si>
  <si>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</si>
  <si>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</si>
  <si>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</si>
  <si>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</si>
  <si>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</si>
  <si>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</si>
  <si>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</si>
  <si>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</si>
  <si>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</si>
  <si>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</si>
  <si>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</si>
  <si>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</si>
  <si>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</si>
  <si>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</si>
  <si>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</si>
  <si>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</si>
  <si>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</si>
  <si>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</si>
  <si>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</si>
  <si>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</si>
  <si>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</si>
  <si>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</si>
  <si>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</si>
  <si>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</si>
  <si>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</si>
  <si>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</si>
  <si>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</si>
  <si>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</si>
  <si>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</si>
  <si>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</si>
  <si>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</si>
  <si>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</si>
  <si>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</si>
  <si>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</si>
  <si>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</si>
  <si>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</si>
  <si>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</si>
  <si>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</si>
  <si>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</si>
  <si>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</si>
  <si>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</si>
  <si>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</si>
  <si>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</si>
  <si>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</si>
  <si>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</si>
  <si>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</si>
  <si>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</si>
  <si>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</si>
  <si>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</si>
  <si>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</si>
  <si>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</si>
  <si>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</si>
  <si>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</si>
  <si>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</si>
  <si>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</si>
  <si>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</si>
  <si>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</si>
  <si>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</si>
  <si>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</si>
  <si>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</si>
  <si>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</si>
  <si>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</si>
  <si>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</si>
  <si>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</si>
  <si>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</si>
  <si>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</si>
  <si>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</si>
  <si>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</si>
  <si>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</si>
  <si>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</si>
  <si>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</si>
  <si>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</si>
  <si>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</si>
  <si>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</si>
  <si>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</si>
  <si>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</si>
  <si>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</si>
  <si>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</si>
  <si>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</si>
  <si>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</si>
  <si>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</si>
  <si>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</si>
  <si>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</si>
  <si>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</si>
  <si>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</si>
  <si>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</si>
  <si>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</si>
  <si>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</si>
  <si>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</si>
  <si>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</si>
  <si>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</si>
  <si>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</si>
  <si>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</si>
  <si>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</si>
  <si>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</si>
  <si>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</si>
  <si>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</si>
  <si>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</si>
  <si>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</si>
  <si>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</si>
  <si>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</si>
  <si>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</si>
  <si>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</si>
  <si>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</si>
  <si>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</si>
  <si>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</si>
  <si>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</si>
  <si>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</si>
  <si>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</si>
  <si>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</si>
  <si>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</si>
  <si>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</si>
  <si>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</si>
  <si>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</si>
  <si>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</si>
  <si>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</si>
  <si>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</si>
  <si>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</si>
  <si>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</si>
  <si>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</si>
  <si>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</si>
  <si>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</si>
  <si>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</si>
  <si>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</si>
  <si>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</si>
  <si>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</si>
  <si>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</si>
  <si>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</si>
  <si>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</si>
  <si>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</si>
  <si>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</si>
  <si>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</si>
  <si>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</si>
  <si>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</si>
  <si>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</si>
  <si>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</si>
  <si>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</si>
  <si>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</si>
  <si>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</si>
  <si>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</si>
  <si>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</si>
  <si>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</si>
  <si>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</si>
  <si>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</si>
  <si>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</si>
  <si>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</si>
  <si>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</si>
  <si>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</si>
  <si>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</si>
  <si>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</si>
  <si>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</si>
  <si>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</si>
  <si>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</si>
  <si>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</si>
  <si>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</si>
  <si>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</si>
  <si>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</si>
  <si>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</si>
  <si>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</si>
  <si>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</si>
  <si>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</si>
  <si>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</si>
  <si>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</si>
  <si>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</si>
  <si>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</si>
  <si>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</si>
  <si>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</si>
  <si>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</si>
  <si>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</si>
  <si>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</si>
  <si>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</si>
  <si>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</si>
  <si>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</si>
  <si>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</si>
  <si>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</si>
  <si>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</si>
  <si>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</si>
  <si>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</si>
  <si>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</si>
  <si>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</si>
  <si>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</si>
  <si>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</si>
  <si>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</si>
  <si>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</si>
  <si>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</si>
  <si>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</si>
  <si>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</si>
  <si>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</si>
  <si>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</si>
  <si>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</si>
  <si>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</si>
  <si>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</si>
  <si>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</si>
  <si>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</si>
  <si>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</si>
  <si>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</si>
  <si>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</si>
  <si>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</si>
  <si>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</si>
  <si>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</si>
  <si>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</si>
  <si>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</si>
  <si>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</si>
  <si>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</si>
  <si>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</si>
  <si>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</si>
  <si>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</si>
  <si>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</si>
  <si>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</si>
  <si>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</si>
  <si>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</si>
  <si>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</si>
  <si>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</si>
  <si>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</si>
  <si>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</si>
  <si>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</si>
  <si>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</si>
  <si>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</si>
  <si>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</si>
  <si>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</si>
  <si>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</si>
  <si>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</si>
  <si>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</si>
  <si>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</si>
  <si>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</si>
  <si>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</si>
  <si>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</si>
  <si>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</si>
  <si>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</si>
  <si>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</si>
  <si>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</si>
  <si>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</si>
  <si>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</si>
  <si>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</si>
  <si>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</si>
  <si>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</si>
  <si>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</si>
  <si>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</si>
  <si>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</si>
  <si>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</si>
  <si>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</si>
  <si>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</si>
  <si>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</si>
  <si>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</si>
  <si>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</si>
  <si>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</si>
  <si>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</si>
  <si>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</si>
  <si>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</si>
  <si>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</si>
  <si>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</si>
  <si>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</si>
  <si>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</si>
  <si>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</si>
  <si>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</si>
  <si>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</si>
  <si>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</si>
  <si>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</si>
  <si>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</si>
  <si>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</si>
  <si>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</si>
  <si>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</si>
  <si>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</si>
  <si>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</si>
  <si>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</si>
  <si>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</si>
  <si>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</si>
  <si>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</si>
  <si>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</si>
  <si>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</si>
  <si>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</si>
  <si>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</si>
  <si>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</si>
  <si>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</si>
  <si>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</si>
  <si>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</si>
  <si>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</si>
  <si>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</si>
  <si>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</si>
  <si>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</si>
  <si>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</si>
  <si>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</si>
  <si>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</si>
  <si>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</si>
  <si>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</si>
  <si>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</si>
  <si>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</si>
  <si>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</si>
  <si>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</si>
  <si>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</si>
  <si>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</si>
  <si>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</si>
  <si>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</si>
  <si>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</si>
  <si>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</si>
  <si>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</si>
  <si>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</si>
  <si>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</si>
  <si>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</si>
  <si>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</si>
  <si>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</si>
  <si>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</si>
  <si>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</si>
  <si>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</si>
  <si>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</si>
  <si>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</si>
  <si>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</si>
  <si>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</si>
  <si>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</si>
  <si>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</si>
  <si>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</si>
  <si>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</si>
  <si>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</si>
  <si>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</si>
  <si>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</si>
  <si>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</si>
  <si>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</si>
  <si>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</si>
  <si>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</si>
  <si>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</si>
  <si>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</si>
  <si>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</si>
  <si>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</si>
  <si>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</si>
  <si>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</si>
  <si>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</si>
  <si>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</si>
  <si>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</si>
  <si>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</si>
  <si>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</si>
  <si>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</si>
  <si>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</si>
  <si>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</si>
  <si>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</si>
  <si>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</si>
  <si>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</si>
  <si>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</si>
  <si>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</si>
  <si>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</si>
  <si>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</si>
  <si>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</si>
  <si>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</si>
  <si>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</si>
  <si>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</si>
  <si>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</si>
  <si>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</si>
  <si>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</si>
  <si>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</si>
  <si>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</si>
  <si>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</si>
  <si>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</si>
  <si>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</si>
  <si>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</si>
  <si>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</si>
  <si>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</si>
  <si>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</si>
  <si>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</si>
  <si>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</si>
  <si>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</si>
  <si>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</si>
  <si>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</si>
  <si>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</si>
  <si>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</si>
  <si>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</si>
  <si>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</si>
  <si>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</si>
  <si>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</si>
  <si>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</si>
  <si>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</si>
  <si>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</si>
  <si>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</si>
  <si>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</si>
  <si>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</si>
  <si>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</si>
  <si>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</si>
  <si>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</si>
  <si>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</si>
  <si>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</si>
  <si>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</si>
  <si>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</si>
  <si>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</si>
  <si>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</si>
  <si>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</si>
  <si>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</si>
  <si>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</si>
  <si>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</si>
  <si>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</si>
  <si>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</si>
  <si>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</si>
  <si>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</si>
  <si>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</si>
  <si>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</si>
  <si>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</si>
  <si>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</si>
  <si>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</si>
  <si>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</si>
  <si>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</si>
  <si>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</si>
  <si>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</si>
  <si>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</si>
  <si>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</si>
  <si>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</si>
  <si>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</si>
  <si>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</si>
  <si>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</si>
  <si>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</si>
  <si>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</si>
  <si>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</si>
  <si>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</si>
  <si>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</si>
  <si>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</si>
  <si>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</si>
  <si>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</si>
  <si>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</si>
  <si>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</si>
  <si>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</si>
  <si>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</si>
  <si>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</si>
  <si>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</si>
  <si>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</si>
  <si>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</si>
  <si>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</si>
  <si>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</si>
  <si>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</si>
  <si>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</si>
  <si>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</si>
  <si>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</si>
  <si>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</si>
  <si>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</si>
  <si>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</si>
  <si>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</si>
  <si>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</si>
  <si>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</si>
  <si>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</si>
  <si>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</si>
  <si>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</si>
  <si>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</si>
  <si>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</si>
  <si>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</si>
  <si>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</si>
  <si>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</si>
  <si>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</si>
  <si>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</si>
  <si>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</si>
  <si>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</si>
  <si>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</si>
  <si>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</si>
  <si>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</si>
  <si>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</si>
  <si>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</si>
  <si>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</si>
  <si>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</si>
  <si>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</si>
  <si>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</si>
  <si>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</si>
  <si>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</si>
  <si>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</si>
  <si>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</si>
  <si>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</si>
  <si>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</si>
  <si>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</si>
  <si>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</si>
  <si>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</si>
  <si>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</si>
  <si>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</si>
  <si>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</si>
  <si>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</si>
  <si>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</si>
  <si>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</si>
  <si>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</si>
  <si>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</si>
  <si>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</si>
  <si>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</si>
  <si>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</si>
  <si>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</si>
  <si>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</si>
  <si>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</si>
  <si>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</si>
  <si>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</si>
  <si>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</si>
  <si>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</si>
  <si>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</si>
  <si>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</si>
  <si>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</si>
  <si>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</si>
  <si>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</si>
  <si>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</si>
  <si>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</si>
  <si>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</si>
  <si>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</si>
  <si>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</si>
  <si>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</si>
  <si>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</si>
  <si>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</si>
  <si>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</si>
  <si>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</si>
  <si>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</si>
  <si>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</si>
  <si>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</si>
  <si>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</si>
  <si>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</si>
  <si>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</si>
  <si>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</si>
  <si>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</si>
  <si>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</si>
  <si>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</si>
  <si>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</si>
  <si>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</si>
  <si>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</si>
  <si>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</si>
  <si>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</si>
  <si>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</si>
  <si>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</si>
  <si>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</si>
  <si>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</si>
  <si>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</si>
  <si>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</si>
  <si>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</si>
  <si>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</si>
  <si>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</si>
  <si>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</si>
  <si>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</si>
  <si>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</si>
  <si>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</si>
  <si>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</si>
  <si>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</si>
  <si>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</si>
  <si>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</si>
  <si>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</si>
  <si>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</si>
  <si>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</si>
  <si>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</si>
  <si>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</si>
  <si>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</si>
  <si>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</si>
  <si>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</si>
  <si>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</si>
  <si>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</si>
  <si>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</si>
  <si>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</si>
  <si>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</si>
  <si>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</si>
  <si>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</si>
  <si>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</si>
  <si>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</si>
  <si>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</si>
  <si>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</si>
  <si>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</si>
  <si>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</si>
  <si>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</si>
  <si>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</si>
  <si>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</si>
  <si>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</si>
  <si>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</si>
  <si>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</si>
  <si>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</si>
  <si>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</si>
  <si>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</si>
  <si>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</si>
  <si>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</si>
  <si>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</si>
  <si>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</si>
  <si>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</si>
  <si>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</si>
  <si>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</si>
  <si>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</si>
  <si>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</si>
  <si>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</si>
  <si>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</si>
  <si>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</si>
  <si>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</si>
  <si>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</si>
  <si>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</si>
  <si>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</si>
  <si>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</si>
  <si>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</si>
  <si>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</si>
  <si>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</si>
  <si>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</si>
  <si>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</si>
  <si>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</si>
  <si>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</si>
  <si>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</si>
  <si>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</si>
  <si>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</si>
  <si>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</si>
  <si>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</si>
  <si>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</si>
  <si>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</si>
  <si>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</si>
  <si>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</si>
  <si>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</si>
  <si>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</si>
  <si>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</si>
  <si>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</si>
  <si>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</si>
  <si>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</si>
  <si>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</si>
  <si>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</si>
  <si>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</si>
  <si>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</si>
  <si>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</si>
  <si>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</si>
  <si>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</si>
  <si>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</si>
  <si>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</si>
  <si>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</si>
  <si>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</si>
  <si>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</si>
  <si>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</si>
  <si>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</si>
  <si>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</si>
  <si>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</si>
  <si>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</si>
  <si>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</si>
  <si>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</si>
  <si>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</si>
  <si>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</si>
  <si>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</si>
  <si>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</si>
  <si>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</si>
  <si>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</si>
  <si>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</si>
  <si>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</si>
  <si>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</si>
  <si>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</si>
  <si>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</si>
  <si>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</si>
  <si>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</si>
  <si>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</si>
  <si>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</si>
  <si>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</si>
  <si>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</si>
  <si>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</si>
  <si>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</si>
  <si>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</si>
  <si>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</si>
  <si>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</si>
  <si>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</si>
  <si>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</si>
  <si>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</si>
  <si>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</si>
  <si>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</si>
  <si>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</si>
  <si>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</si>
  <si>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</si>
  <si>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</si>
  <si>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</si>
  <si>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</si>
  <si>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</si>
  <si>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</si>
  <si>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</si>
  <si>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</si>
  <si>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</si>
  <si>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</si>
  <si>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</si>
  <si>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</si>
  <si>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</si>
  <si>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</si>
  <si>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</si>
  <si>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</si>
  <si>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</si>
  <si>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</si>
  <si>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</si>
  <si>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</si>
  <si>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</si>
  <si>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</si>
  <si>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</si>
  <si>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</si>
  <si>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</si>
  <si>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</si>
  <si>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</si>
  <si>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</si>
  <si>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</si>
  <si>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</si>
  <si>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</si>
  <si>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</si>
  <si>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</si>
  <si>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</si>
  <si>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</si>
  <si>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</si>
  <si>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</si>
  <si>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</si>
  <si>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</si>
  <si>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</si>
  <si>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</si>
  <si>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</si>
  <si>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</si>
  <si>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</si>
  <si>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</si>
  <si>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</si>
  <si>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</si>
  <si>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</si>
  <si>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</si>
  <si>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</si>
  <si>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</si>
  <si>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</si>
  <si>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</si>
  <si>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</si>
  <si>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</si>
  <si>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</si>
  <si>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</si>
  <si>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</si>
  <si>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</si>
  <si>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</si>
  <si>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</si>
  <si>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</si>
  <si>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</si>
  <si>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</si>
  <si>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</si>
  <si>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</si>
  <si>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</si>
  <si>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</si>
  <si>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</si>
  <si>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</si>
  <si>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</si>
  <si>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</si>
  <si>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</si>
  <si>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</si>
  <si>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</si>
  <si>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</si>
  <si>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</si>
  <si>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</si>
  <si>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</si>
  <si>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</si>
  <si>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</si>
  <si>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</si>
  <si>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</si>
  <si>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</si>
  <si>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</si>
  <si>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</si>
  <si>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</si>
  <si>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</si>
  <si>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</si>
  <si>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</si>
  <si>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</si>
  <si>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</si>
  <si>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</si>
  <si>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</si>
  <si>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</si>
  <si>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</si>
  <si>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</si>
  <si>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</si>
  <si>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</si>
  <si>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</si>
  <si>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</si>
  <si>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</si>
  <si>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</si>
  <si>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</si>
  <si>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</si>
  <si>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</si>
  <si>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</si>
  <si>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</si>
  <si>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</si>
  <si>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</si>
  <si>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</si>
  <si>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</si>
  <si>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</si>
  <si>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</si>
  <si>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</si>
  <si>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</si>
  <si>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</si>
  <si>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</si>
  <si>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</si>
  <si>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</si>
  <si>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</si>
  <si>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</si>
  <si>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</si>
  <si>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</si>
  <si>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</si>
  <si>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</si>
  <si>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</si>
  <si>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</si>
  <si>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</si>
  <si>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</si>
  <si>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</si>
  <si>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</si>
  <si>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</si>
  <si>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</si>
  <si>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</si>
  <si>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</si>
  <si>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</si>
  <si>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</si>
  <si>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</si>
  <si>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</si>
  <si>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</si>
  <si>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</si>
  <si>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</si>
  <si>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</si>
  <si>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</si>
  <si>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</si>
  <si>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</si>
  <si>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</si>
  <si>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</si>
  <si>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</si>
  <si>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</si>
  <si>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</si>
  <si>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</si>
  <si>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</si>
  <si>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</si>
  <si>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</si>
  <si>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</si>
  <si>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</si>
  <si>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</si>
  <si>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</si>
  <si>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</si>
  <si>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</si>
  <si>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</si>
  <si>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</si>
  <si>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</si>
  <si>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</si>
  <si>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</si>
  <si>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</si>
  <si>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</si>
  <si>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</si>
  <si>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</si>
  <si>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</si>
  <si>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</si>
  <si>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</si>
  <si>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</si>
  <si>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</si>
  <si>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</si>
  <si>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</si>
  <si>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</si>
  <si>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</si>
  <si>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</si>
  <si>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</si>
  <si>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</si>
  <si>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</si>
  <si>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</si>
  <si>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</si>
  <si>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</si>
  <si>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</si>
  <si>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</si>
  <si>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</si>
  <si>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</si>
  <si>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</si>
  <si>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</si>
  <si>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</si>
  <si>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</si>
  <si>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</si>
  <si>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</si>
  <si>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</si>
  <si>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</si>
  <si>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</si>
  <si>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</si>
  <si>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</si>
  <si>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</si>
  <si>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</si>
  <si>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</si>
  <si>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</si>
  <si>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</si>
  <si>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</si>
  <si>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</si>
  <si>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</si>
  <si>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</si>
  <si>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</si>
  <si>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</si>
  <si>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</si>
  <si>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</si>
  <si>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</si>
  <si>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</si>
  <si>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</si>
  <si>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</si>
  <si>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</si>
  <si>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</si>
  <si>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</si>
  <si>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</si>
  <si>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</si>
  <si>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</si>
  <si>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</si>
  <si>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</si>
  <si>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</si>
  <si>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</si>
  <si>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</si>
  <si>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</si>
  <si>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</si>
  <si>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</si>
  <si>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</si>
  <si>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</si>
  <si>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</si>
  <si>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</si>
  <si>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</si>
  <si>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</si>
  <si>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</si>
  <si>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</si>
  <si>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</si>
  <si>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</si>
  <si>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</si>
  <si>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</si>
  <si>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</si>
  <si>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</si>
  <si>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</si>
  <si>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</si>
  <si>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</si>
  <si>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</si>
  <si>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</si>
  <si>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</si>
  <si>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</si>
  <si>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</si>
  <si>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</si>
  <si>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</si>
  <si>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</si>
  <si>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</si>
  <si>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</si>
  <si>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</si>
  <si>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</si>
  <si>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</si>
  <si>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</si>
  <si>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</si>
  <si>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</si>
  <si>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</si>
  <si>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</si>
  <si>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</si>
  <si>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</si>
  <si>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</si>
  <si>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</si>
  <si>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</si>
  <si>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</si>
  <si>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</si>
  <si>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</si>
  <si>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</si>
  <si>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</si>
  <si>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</si>
  <si>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</si>
  <si>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</si>
  <si>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</si>
  <si>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</si>
  <si>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</si>
  <si>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</si>
  <si>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</si>
  <si>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</si>
  <si>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</si>
  <si>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</si>
  <si>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</si>
  <si>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</si>
  <si>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</si>
  <si>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</si>
  <si>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</si>
  <si>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</si>
  <si>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</si>
  <si>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</si>
  <si>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</si>
  <si>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</si>
  <si>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</si>
  <si>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</si>
  <si>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</si>
  <si>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</si>
  <si>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</si>
  <si>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</si>
  <si>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</si>
  <si>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</si>
  <si>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</si>
  <si>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</si>
  <si>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</si>
  <si>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</si>
  <si>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</si>
  <si>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</si>
  <si>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</si>
  <si>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</si>
  <si>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</si>
  <si>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</si>
  <si>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</si>
  <si>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</si>
  <si>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</si>
  <si>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</si>
  <si>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</si>
  <si>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</si>
  <si>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</si>
  <si>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</si>
  <si>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</si>
  <si>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</si>
  <si>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</si>
  <si>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</si>
  <si>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</si>
  <si>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</si>
  <si>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</si>
  <si>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</si>
  <si>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</si>
  <si>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</si>
  <si>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</si>
  <si>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</si>
  <si>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</si>
  <si>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</si>
  <si>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</si>
  <si>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</si>
  <si>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</si>
  <si>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</si>
  <si>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</si>
  <si>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</si>
  <si>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</si>
  <si>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</si>
  <si>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</si>
  <si>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</si>
  <si>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</si>
  <si>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</si>
  <si>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</si>
  <si>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</si>
  <si>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</si>
  <si>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</si>
  <si>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</si>
  <si>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</si>
  <si>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</si>
  <si>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</si>
  <si>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</si>
  <si>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</si>
  <si>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</si>
  <si>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</si>
  <si>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</si>
  <si>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</si>
  <si>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</si>
  <si>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</si>
  <si>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</si>
  <si>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</si>
  <si>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</si>
  <si>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</si>
  <si>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</si>
  <si>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</si>
  <si>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</si>
  <si>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</si>
  <si>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</si>
  <si>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</si>
  <si>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</si>
  <si>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</si>
  <si>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</si>
  <si>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</si>
  <si>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</si>
  <si>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</si>
  <si>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</si>
  <si>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</si>
  <si>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</si>
  <si>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</si>
  <si>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</si>
  <si>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</si>
  <si>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</si>
  <si>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</si>
  <si>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</si>
  <si>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</si>
  <si>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</si>
  <si>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</si>
  <si>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</si>
  <si>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</si>
  <si>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</si>
  <si>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</si>
  <si>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</si>
  <si>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</si>
  <si>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</si>
  <si>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</si>
  <si>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</si>
  <si>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</si>
  <si>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</si>
  <si>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</si>
  <si>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</si>
  <si>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</si>
  <si>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</si>
  <si>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</si>
  <si>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</si>
  <si>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</si>
  <si>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</si>
  <si>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</si>
  <si>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</si>
  <si>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</si>
  <si>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</si>
  <si>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</si>
  <si>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</si>
  <si>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</si>
  <si>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</si>
  <si>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</si>
  <si>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</si>
  <si>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</si>
  <si>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</si>
  <si>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</si>
  <si>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</si>
  <si>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</si>
  <si>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</si>
  <si>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</si>
  <si>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</si>
  <si>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</si>
  <si>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</si>
  <si>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</si>
  <si>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</si>
  <si>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</si>
  <si>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</si>
  <si>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</si>
  <si>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</si>
  <si>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</si>
  <si>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</si>
  <si>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</si>
  <si>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</si>
  <si>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</si>
  <si>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</si>
  <si>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</si>
  <si>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</si>
  <si>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</si>
  <si>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</si>
  <si>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</si>
  <si>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</si>
  <si>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</si>
  <si>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</si>
  <si>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</si>
  <si>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</si>
  <si>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</si>
  <si>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</si>
  <si>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</si>
  <si>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</si>
  <si>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</si>
  <si>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</si>
  <si>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</si>
  <si>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</si>
  <si>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</si>
  <si>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</si>
  <si>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</si>
  <si>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</si>
  <si>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</si>
  <si>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</si>
  <si>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</si>
  <si>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</si>
  <si>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</si>
  <si>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</si>
  <si>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</si>
  <si>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</si>
  <si>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</si>
  <si>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</si>
  <si>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</si>
  <si>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</si>
  <si>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</si>
  <si>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</si>
  <si>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</si>
  <si>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</si>
  <si>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</si>
  <si>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</si>
  <si>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</si>
  <si>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</si>
  <si>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</si>
  <si>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</si>
  <si>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</si>
  <si>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</si>
  <si>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</si>
  <si>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</si>
  <si>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</si>
  <si>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</si>
  <si>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</si>
  <si>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</si>
  <si>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</si>
  <si>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</si>
  <si>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</si>
  <si>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</si>
  <si>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</si>
  <si>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</si>
  <si>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</si>
  <si>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</si>
  <si>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</si>
  <si>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</si>
  <si>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</si>
  <si>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</si>
  <si>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</si>
  <si>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</si>
  <si>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</si>
  <si>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</si>
  <si>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</si>
  <si>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</si>
  <si>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</si>
  <si>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</si>
  <si>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</si>
  <si>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</si>
  <si>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</si>
  <si>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</si>
  <si>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</si>
  <si>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</si>
  <si>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</si>
  <si>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</si>
  <si>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</si>
  <si>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</si>
  <si>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</si>
  <si>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</si>
  <si>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</si>
  <si>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</si>
  <si>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</si>
  <si>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</si>
  <si>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</si>
  <si>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</si>
  <si>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</si>
  <si>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</si>
  <si>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</si>
  <si>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</si>
  <si>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</si>
  <si>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</si>
  <si>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</si>
  <si>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</si>
  <si>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</si>
  <si>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</si>
  <si>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</si>
  <si>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</si>
  <si>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</si>
  <si>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</si>
  <si>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</si>
  <si>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</si>
  <si>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</si>
  <si>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</si>
  <si>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</si>
  <si>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</si>
  <si>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</si>
  <si>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</si>
  <si>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</si>
  <si>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</si>
  <si>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</si>
  <si>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</si>
  <si>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</si>
  <si>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</si>
  <si>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</si>
  <si>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</si>
  <si>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</si>
  <si>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</si>
  <si>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</si>
  <si>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</si>
  <si>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</si>
  <si>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</si>
  <si>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</si>
  <si>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</si>
  <si>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</si>
  <si>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</si>
  <si>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</si>
  <si>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</si>
  <si>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</si>
  <si>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</si>
  <si>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</si>
  <si>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</si>
  <si>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</si>
  <si>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</si>
  <si>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</si>
  <si>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</si>
  <si>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</si>
  <si>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</si>
  <si>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</si>
  <si>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</si>
  <si>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</si>
  <si>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</si>
  <si>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</si>
  <si>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</si>
  <si>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</si>
  <si>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</si>
  <si>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</si>
  <si>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</si>
  <si>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</si>
  <si>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</si>
  <si>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</si>
  <si>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</si>
  <si>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</si>
  <si>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</si>
  <si>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</si>
  <si>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</si>
  <si>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</si>
  <si>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</si>
  <si>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</si>
  <si>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</si>
  <si>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</si>
  <si>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</si>
  <si>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</si>
  <si>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</si>
  <si>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</si>
  <si>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</si>
  <si>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</si>
  <si>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</si>
  <si>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</si>
  <si>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</si>
  <si>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</si>
  <si>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</si>
  <si>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</si>
  <si>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</si>
  <si>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</si>
  <si>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</si>
  <si>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</si>
  <si>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</si>
  <si>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</si>
  <si>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</si>
  <si>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</si>
  <si>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</si>
  <si>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</si>
  <si>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</si>
  <si>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</si>
  <si>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</si>
  <si>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</si>
  <si>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</si>
  <si>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</si>
  <si>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</si>
  <si>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</si>
  <si>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</si>
  <si>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</si>
  <si>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</si>
  <si>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</si>
  <si>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</si>
  <si>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</si>
  <si>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</si>
  <si>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</si>
  <si>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</si>
  <si>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</si>
  <si>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</si>
  <si>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</si>
  <si>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</si>
  <si>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</si>
  <si>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</si>
  <si>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</si>
  <si>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</si>
  <si>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</si>
  <si>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</si>
  <si>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</si>
  <si>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</si>
  <si>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</si>
  <si>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</si>
  <si>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</si>
  <si>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</si>
  <si>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</si>
  <si>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</si>
  <si>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</si>
  <si>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</si>
  <si>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</si>
  <si>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</si>
  <si>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</si>
  <si>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</si>
  <si>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</si>
  <si>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</si>
  <si>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</si>
  <si>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</si>
  <si>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</si>
  <si>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</si>
  <si>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</si>
  <si>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</si>
  <si>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</si>
  <si>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</si>
  <si>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</si>
  <si>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</si>
  <si>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</si>
  <si>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</si>
  <si>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</si>
  <si>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</si>
  <si>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</si>
  <si>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</si>
  <si>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</si>
  <si>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</si>
  <si>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</si>
  <si>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</si>
  <si>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</si>
  <si>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</si>
  <si>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</si>
  <si>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</si>
  <si>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</si>
  <si>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</si>
  <si>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</si>
  <si>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</si>
  <si>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</si>
  <si>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</si>
  <si>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</si>
  <si>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</si>
  <si>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</si>
  <si>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</si>
  <si>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</si>
  <si>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</si>
  <si>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</si>
  <si>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</si>
  <si>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</si>
  <si>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</si>
  <si>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</si>
  <si>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</si>
  <si>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</si>
  <si>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</si>
  <si>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</si>
  <si>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</si>
  <si>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</si>
  <si>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</si>
  <si>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</si>
  <si>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</si>
  <si>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</si>
  <si>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</si>
  <si>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</si>
  <si>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</si>
  <si>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</si>
  <si>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</si>
  <si>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</si>
  <si>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</si>
  <si>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</si>
  <si>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</si>
  <si>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</si>
  <si>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</si>
  <si>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</si>
  <si>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</si>
  <si>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</si>
  <si>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</si>
  <si>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</si>
  <si>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</si>
  <si>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</si>
  <si>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</si>
  <si>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</si>
  <si>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</si>
  <si>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</si>
  <si>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</si>
  <si>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</si>
  <si>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</si>
  <si>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</si>
  <si>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</si>
  <si>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</si>
  <si>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</si>
  <si>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</si>
  <si>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</si>
  <si>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</si>
  <si>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</si>
  <si>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</si>
  <si>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</si>
  <si>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</si>
  <si>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</si>
  <si>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</si>
  <si>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</si>
  <si>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</si>
  <si>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</si>
  <si>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</si>
  <si>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</si>
  <si>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</si>
  <si>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</si>
  <si>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</si>
  <si>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</si>
  <si>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</si>
  <si>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</si>
  <si>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</si>
  <si>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</si>
  <si>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</si>
  <si>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</si>
  <si>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</si>
  <si>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</si>
  <si>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</si>
  <si>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</si>
  <si>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</si>
  <si>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</si>
  <si>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</si>
  <si>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</si>
  <si>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</si>
  <si>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</si>
  <si>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</si>
  <si>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</si>
  <si>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</si>
  <si>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</si>
  <si>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</si>
  <si>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</si>
  <si>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</si>
  <si>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</si>
  <si>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</si>
  <si>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</si>
  <si>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</si>
  <si>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</si>
  <si>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</si>
  <si>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</si>
  <si>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</si>
  <si>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</si>
  <si>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</si>
  <si>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</si>
  <si>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</si>
  <si>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</si>
  <si>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</si>
  <si>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</si>
  <si>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</si>
  <si>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</si>
  <si>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</si>
  <si>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</si>
  <si>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</si>
  <si>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</si>
  <si>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</si>
  <si>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</si>
  <si>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</si>
  <si>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</si>
  <si>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</si>
  <si>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</si>
  <si>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</si>
  <si>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</si>
  <si>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</si>
  <si>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</si>
  <si>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</si>
  <si>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</si>
  <si>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</si>
  <si>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</si>
  <si>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</si>
  <si>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</si>
  <si>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</si>
  <si>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</si>
  <si>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</si>
  <si>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</si>
  <si>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</si>
  <si>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</si>
  <si>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</si>
  <si>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</si>
  <si>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</si>
  <si>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</si>
  <si>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</si>
  <si>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</si>
  <si>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</si>
  <si>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</si>
  <si>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</si>
  <si>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</si>
  <si>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</si>
  <si>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</si>
  <si>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</si>
  <si>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</si>
  <si>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</si>
  <si>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</si>
  <si>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</si>
  <si>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</si>
  <si>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</si>
  <si>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</si>
  <si>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</si>
  <si>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</si>
  <si>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</si>
  <si>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</si>
  <si>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</si>
  <si>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</si>
  <si>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</si>
  <si>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</si>
  <si>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</si>
  <si>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</si>
  <si>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</si>
  <si>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</si>
  <si>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</si>
  <si>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</si>
  <si>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</si>
  <si>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</si>
  <si>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</si>
  <si>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</si>
  <si>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</si>
  <si>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</si>
  <si>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</si>
  <si>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</si>
  <si>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</si>
  <si>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</si>
  <si>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</si>
  <si>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</si>
  <si>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</si>
  <si>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</si>
  <si>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</si>
  <si>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</si>
  <si>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</si>
  <si>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</si>
  <si>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</si>
  <si>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</si>
  <si>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</si>
  <si>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</si>
  <si>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</si>
  <si>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</si>
  <si>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</si>
  <si>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</si>
  <si>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</si>
  <si>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</si>
  <si>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</si>
  <si>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</si>
  <si>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</si>
  <si>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</si>
  <si>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</si>
  <si>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</si>
  <si>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</si>
  <si>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</si>
  <si>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</si>
  <si>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</si>
  <si>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</si>
  <si>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</si>
  <si>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</si>
  <si>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</si>
  <si>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</si>
  <si>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</si>
  <si>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</si>
  <si>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</si>
  <si>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</si>
  <si>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</si>
  <si>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</si>
  <si>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</si>
  <si>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</si>
  <si>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</si>
  <si>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</si>
  <si>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</si>
  <si>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</si>
  <si>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</si>
  <si>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</si>
  <si>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</si>
  <si>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</si>
  <si>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</si>
  <si>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</si>
  <si>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</si>
  <si>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</si>
  <si>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</si>
  <si>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</si>
  <si>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</si>
  <si>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</si>
  <si>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</si>
  <si>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</si>
  <si>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</si>
  <si>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</si>
  <si>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</si>
  <si>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</si>
  <si>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</si>
  <si>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</si>
  <si>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</si>
  <si>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</si>
  <si>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</si>
  <si>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</si>
  <si>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</si>
  <si>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</si>
  <si>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</si>
  <si>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</si>
  <si>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</si>
  <si>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</si>
  <si>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</si>
  <si>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</si>
  <si>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</si>
  <si>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</si>
  <si>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</si>
  <si>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</si>
  <si>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</si>
  <si>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</si>
  <si>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</si>
  <si>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</si>
  <si>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</si>
  <si>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</si>
  <si>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</si>
  <si>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</si>
  <si>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</si>
  <si>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</si>
  <si>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</si>
  <si>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</si>
  <si>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</si>
  <si>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</si>
  <si>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</si>
  <si>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</si>
  <si>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</si>
  <si>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</si>
  <si>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</si>
  <si>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</si>
  <si>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</si>
  <si>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</si>
  <si>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</si>
  <si>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</si>
  <si>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</si>
  <si>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</si>
  <si>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</si>
  <si>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</si>
  <si>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</si>
  <si>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</si>
  <si>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</si>
  <si>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</si>
  <si>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</si>
  <si>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</si>
  <si>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</si>
  <si>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</si>
  <si>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</si>
  <si>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</si>
  <si>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</si>
  <si>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</si>
  <si>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</si>
  <si>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</si>
  <si>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</si>
  <si>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</si>
  <si>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</si>
  <si>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</si>
  <si>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</si>
  <si>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</si>
  <si>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</si>
  <si>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</si>
  <si>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</si>
  <si>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</si>
  <si>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</si>
  <si>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</si>
  <si>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</si>
  <si>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</si>
  <si>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</si>
  <si>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</si>
  <si>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</si>
  <si>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</si>
  <si>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</si>
  <si>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</si>
  <si>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</si>
  <si>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</si>
  <si>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</si>
  <si>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</si>
  <si>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</si>
  <si>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</si>
  <si>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</si>
  <si>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</si>
  <si>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</si>
  <si>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</si>
  <si>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</si>
  <si>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</si>
  <si>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</si>
  <si>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</si>
  <si>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</si>
  <si>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</si>
  <si>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</si>
  <si>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</si>
  <si>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</si>
  <si>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</si>
  <si>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</si>
  <si>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</si>
  <si>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</si>
  <si>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</si>
  <si>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</si>
  <si>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</si>
  <si>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</si>
  <si>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</si>
  <si>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</si>
  <si>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</si>
  <si>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</si>
  <si>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</si>
  <si>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</si>
  <si>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</si>
  <si>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</si>
  <si>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</si>
  <si>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</si>
  <si>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</si>
  <si>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</si>
  <si>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</si>
  <si>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</si>
  <si>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</si>
  <si>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</si>
  <si>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</si>
  <si>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</si>
  <si>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</si>
  <si>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</si>
  <si>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</si>
  <si>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</si>
  <si>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</si>
  <si>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</si>
  <si>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</si>
  <si>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</si>
  <si>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</si>
  <si>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</si>
  <si>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</si>
  <si>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</si>
  <si>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</si>
  <si>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</si>
  <si>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</si>
  <si>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</si>
  <si>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</si>
  <si>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</si>
  <si>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</si>
  <si>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</si>
  <si>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</si>
  <si>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</si>
  <si>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</si>
  <si>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</si>
  <si>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</si>
  <si>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</si>
  <si>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</si>
  <si>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</si>
  <si>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</si>
  <si>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</si>
  <si>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</si>
  <si>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</si>
  <si>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</si>
  <si>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</si>
  <si>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</si>
  <si>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</si>
  <si>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</si>
  <si>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</si>
  <si>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</si>
  <si>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</si>
  <si>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</si>
  <si>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</si>
  <si>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</si>
  <si>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</si>
  <si>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</si>
  <si>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</si>
  <si>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</si>
  <si>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</si>
  <si>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</si>
  <si>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</si>
  <si>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</si>
  <si>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</si>
  <si>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</si>
  <si>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</si>
  <si>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</si>
  <si>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</si>
  <si>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</si>
  <si>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</si>
  <si>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</si>
  <si>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</si>
  <si>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</si>
  <si>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</si>
  <si>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</si>
  <si>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</si>
  <si>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</si>
  <si>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</si>
  <si>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</si>
  <si>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</si>
  <si>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</si>
  <si>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</si>
  <si>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</si>
  <si>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</si>
  <si>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</si>
  <si>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</si>
  <si>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</si>
  <si>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</si>
  <si>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</si>
  <si>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</si>
  <si>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</si>
  <si>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</si>
  <si>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</si>
  <si>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</si>
  <si>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</si>
  <si>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</si>
  <si>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</si>
  <si>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</si>
  <si>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</si>
  <si>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</si>
  <si>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</si>
  <si>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</si>
  <si>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</si>
  <si>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</si>
  <si>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</si>
  <si>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</si>
  <si>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</si>
  <si>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</si>
  <si>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</si>
  <si>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</si>
  <si>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</si>
  <si>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</si>
  <si>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</si>
  <si>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</si>
  <si>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</si>
  <si>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</si>
  <si>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</si>
  <si>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</si>
  <si>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</si>
  <si>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</si>
  <si>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</si>
  <si>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</si>
  <si>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</si>
  <si>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</si>
  <si>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</si>
  <si>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</si>
  <si>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</si>
  <si>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</si>
  <si>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</si>
  <si>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</si>
  <si>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</si>
  <si>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</si>
  <si>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</si>
  <si>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</si>
  <si>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</si>
  <si>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</si>
  <si>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</si>
  <si>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</si>
  <si>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</si>
  <si>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</si>
  <si>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</si>
  <si>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</si>
  <si>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</si>
  <si>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</si>
  <si>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</si>
  <si>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</si>
  <si>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</si>
  <si>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</si>
  <si>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</si>
  <si>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</si>
  <si>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</si>
  <si>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</si>
  <si>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</si>
  <si>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</si>
  <si>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</si>
  <si>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</si>
  <si>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</si>
  <si>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</si>
  <si>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</si>
  <si>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</si>
  <si>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</si>
  <si>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</si>
  <si>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</si>
  <si>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</si>
  <si>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</si>
  <si>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</si>
  <si>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</si>
  <si>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</si>
  <si>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</si>
  <si>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</si>
  <si>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</si>
  <si>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</si>
  <si>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</si>
  <si>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</si>
  <si>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</si>
  <si>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</si>
  <si>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</si>
  <si>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</si>
  <si>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</si>
  <si>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</si>
  <si>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</si>
  <si>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</si>
  <si>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</si>
  <si>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</si>
  <si>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</si>
  <si>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</si>
  <si>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</si>
  <si>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</si>
  <si>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</si>
  <si>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</si>
  <si>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</si>
  <si>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</si>
  <si>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</si>
  <si>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</si>
  <si>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</si>
  <si>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</si>
  <si>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</si>
  <si>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</si>
  <si>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</si>
  <si>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</si>
  <si>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</si>
  <si>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</si>
  <si>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</si>
  <si>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</si>
  <si>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</si>
  <si>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</si>
  <si>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</si>
  <si>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</si>
  <si>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</si>
  <si>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</si>
  <si>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</si>
  <si>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</si>
  <si>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</si>
  <si>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</si>
  <si>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</si>
  <si>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</si>
  <si>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</si>
  <si>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</si>
  <si>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</si>
  <si>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</si>
  <si>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</si>
  <si>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</si>
  <si>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</si>
  <si>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</si>
  <si>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</si>
  <si>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</si>
  <si>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</si>
  <si>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</si>
  <si>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</si>
  <si>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</si>
  <si>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</si>
  <si>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</si>
  <si>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</si>
  <si>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</si>
  <si>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</si>
  <si>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</si>
  <si>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</si>
  <si>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</si>
  <si>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</si>
  <si>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</si>
  <si>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</si>
  <si>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</si>
  <si>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</si>
  <si>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</si>
  <si>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</si>
  <si>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</si>
  <si>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</si>
  <si>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</si>
  <si>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</si>
  <si>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</si>
  <si>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</si>
  <si>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</si>
  <si>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</si>
  <si>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</si>
  <si>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</si>
  <si>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</si>
  <si>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</si>
  <si>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</si>
  <si>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</si>
  <si>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</si>
  <si>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</si>
  <si>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</si>
  <si>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</si>
  <si>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</si>
  <si>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</si>
  <si>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</si>
  <si>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</si>
  <si>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</si>
  <si>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</si>
  <si>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</si>
  <si>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</si>
  <si>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</si>
  <si>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</si>
  <si>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</si>
  <si>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</si>
  <si>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</si>
  <si>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</si>
  <si>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</si>
  <si>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</si>
  <si>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</si>
  <si>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</si>
  <si>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</si>
  <si>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</si>
  <si>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</si>
  <si>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</si>
  <si>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</si>
  <si>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</si>
  <si>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</si>
  <si>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</si>
  <si>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</si>
  <si>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</si>
  <si>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</si>
  <si>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</si>
  <si>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</si>
  <si>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</si>
  <si>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</si>
  <si>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</si>
  <si>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</si>
  <si>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</si>
  <si>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</si>
  <si>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</si>
  <si>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</si>
  <si>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</si>
  <si>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</si>
  <si>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</si>
  <si>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</si>
  <si>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</si>
  <si>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</si>
  <si>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</si>
  <si>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</si>
  <si>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</si>
  <si>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</si>
  <si>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</si>
  <si>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</si>
  <si>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</si>
  <si>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</si>
  <si>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</si>
  <si>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</si>
  <si>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</si>
  <si>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</si>
  <si>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</si>
  <si>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</si>
  <si>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</si>
  <si>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</si>
  <si>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</si>
  <si>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</si>
  <si>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</si>
  <si>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</si>
  <si>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</si>
  <si>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</si>
  <si>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</si>
  <si>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</si>
  <si>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</si>
  <si>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</si>
  <si>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</si>
  <si>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</si>
  <si>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</si>
  <si>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</si>
  <si>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</si>
  <si>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</si>
  <si>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</si>
  <si>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</si>
  <si>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</si>
  <si>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</si>
  <si>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</si>
  <si>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</si>
  <si>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</si>
  <si>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</si>
  <si>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</si>
  <si>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</si>
  <si>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</si>
  <si>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</si>
  <si>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</si>
  <si>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</si>
  <si>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</si>
  <si>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</si>
  <si>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</si>
  <si>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</si>
  <si>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</si>
  <si>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</si>
  <si>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</si>
  <si>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</si>
  <si>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</si>
  <si>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</si>
  <si>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</si>
  <si>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</si>
  <si>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</si>
  <si>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</si>
  <si>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</si>
  <si>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</si>
  <si>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</si>
  <si>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</si>
  <si>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</si>
  <si>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</si>
  <si>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</si>
  <si>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</si>
  <si>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</si>
  <si>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</si>
  <si>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</si>
  <si>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</si>
  <si>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</si>
  <si>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</si>
  <si>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</si>
  <si>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</si>
  <si>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</si>
  <si>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</si>
  <si>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</si>
  <si>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</si>
  <si>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</si>
  <si>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</si>
  <si>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</si>
  <si>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</si>
  <si>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</si>
  <si>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</si>
  <si>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</si>
  <si>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</si>
  <si>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</si>
  <si>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</si>
  <si>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</si>
  <si>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</si>
  <si>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</si>
  <si>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</si>
  <si>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</si>
  <si>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</si>
  <si>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</si>
  <si>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</si>
  <si>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</si>
  <si>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</si>
  <si>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</si>
  <si>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</si>
  <si>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</si>
  <si>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</si>
  <si>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</si>
  <si>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</si>
  <si>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</si>
  <si>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</si>
  <si>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</si>
  <si>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</si>
  <si>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</si>
  <si>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</si>
  <si>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</si>
  <si>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</si>
  <si>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</si>
  <si>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</si>
  <si>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</si>
  <si>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</si>
  <si>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</si>
  <si>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</si>
  <si>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</si>
  <si>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</si>
  <si>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</si>
  <si>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</si>
  <si>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</si>
  <si>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</si>
  <si>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</si>
  <si>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</si>
  <si>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</si>
  <si>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</si>
  <si>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</si>
  <si>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</si>
  <si>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</si>
  <si>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</si>
  <si>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</si>
  <si>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</si>
  <si>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</si>
  <si>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</si>
  <si>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</si>
  <si>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</si>
  <si>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</si>
  <si>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</si>
  <si>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</si>
  <si>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</si>
  <si>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</si>
  <si>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</si>
  <si>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</si>
  <si>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</si>
  <si>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</si>
  <si>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</si>
  <si>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</si>
  <si>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</si>
  <si>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</si>
  <si>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</si>
  <si>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</si>
  <si>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</si>
  <si>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</si>
  <si>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</si>
  <si>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</si>
  <si>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</si>
  <si>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</si>
  <si>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</si>
  <si>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</si>
  <si>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</si>
  <si>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</si>
  <si>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</si>
  <si>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</si>
  <si>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</si>
  <si>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</si>
  <si>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</si>
  <si>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</si>
  <si>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</si>
  <si>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</si>
  <si>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</si>
  <si>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</si>
  <si>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</si>
  <si>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</si>
  <si>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</si>
  <si>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</si>
  <si>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</si>
  <si>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</si>
  <si>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</si>
  <si>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</si>
  <si>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</si>
  <si>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</si>
  <si>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</si>
  <si>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</si>
  <si>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</si>
  <si>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</si>
  <si>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</si>
  <si>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</si>
  <si>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</si>
  <si>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</si>
  <si>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</si>
  <si>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</si>
  <si>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</si>
  <si>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</si>
  <si>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</si>
  <si>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</si>
  <si>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</si>
  <si>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</si>
  <si>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</si>
  <si>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</si>
  <si>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</si>
  <si>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</si>
  <si>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</si>
  <si>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</si>
  <si>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</si>
  <si>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</si>
  <si>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</si>
  <si>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</si>
  <si>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</si>
  <si>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</si>
  <si>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</si>
  <si>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</si>
  <si>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</si>
  <si>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</si>
  <si>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</si>
  <si>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</si>
  <si>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</si>
  <si>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</si>
  <si>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</si>
  <si>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</si>
  <si>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</si>
  <si>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</si>
  <si>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</si>
  <si>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</si>
  <si>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</si>
  <si>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</si>
  <si>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</si>
  <si>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</si>
  <si>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</si>
  <si>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</si>
  <si>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</si>
  <si>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</si>
  <si>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</si>
  <si>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</si>
  <si>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</si>
  <si>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</si>
  <si>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</si>
  <si>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</si>
  <si>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</si>
  <si>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</si>
  <si>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</si>
  <si>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</si>
  <si>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</si>
  <si>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</si>
  <si>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</si>
  <si>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</si>
  <si>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</si>
  <si>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</si>
  <si>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</si>
  <si>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</si>
  <si>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</si>
  <si>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</si>
  <si>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</si>
  <si>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</si>
  <si>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</si>
  <si>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</si>
  <si>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</si>
  <si>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</si>
  <si>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</si>
  <si>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</si>
  <si>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</si>
  <si>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</si>
  <si>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</si>
  <si>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</si>
  <si>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</si>
  <si>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</si>
  <si>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</si>
  <si>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</si>
  <si>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</si>
  <si>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</si>
  <si>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</si>
  <si>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</si>
  <si>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</si>
  <si>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</si>
  <si>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</si>
  <si>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</si>
  <si>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</si>
  <si>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</si>
  <si>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</si>
  <si>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</si>
  <si>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</si>
  <si>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</si>
  <si>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</si>
  <si>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</si>
  <si>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</si>
  <si>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</si>
  <si>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</si>
  <si>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</si>
  <si>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</si>
  <si>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</si>
  <si>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</si>
  <si>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</si>
  <si>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</si>
  <si>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</si>
  <si>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</si>
  <si>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</si>
  <si>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</si>
  <si>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</si>
  <si>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</si>
  <si>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</si>
  <si>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</si>
  <si>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</si>
  <si>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</si>
  <si>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</si>
  <si>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</si>
  <si>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</si>
  <si>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</si>
  <si>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</si>
  <si>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</si>
  <si>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</si>
  <si>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</si>
  <si>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</si>
  <si>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</si>
  <si>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</si>
  <si>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</si>
  <si>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</si>
  <si>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</si>
  <si>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</si>
  <si>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</si>
  <si>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</si>
  <si>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</si>
  <si>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</si>
  <si>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</si>
  <si>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</si>
  <si>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</si>
  <si>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</si>
  <si>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</si>
  <si>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</si>
  <si>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</si>
  <si>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</si>
  <si>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</si>
  <si>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</si>
  <si>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</si>
  <si>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</si>
  <si>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</si>
  <si>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</si>
  <si>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</si>
  <si>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</si>
  <si>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</si>
  <si>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</si>
  <si>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</si>
  <si>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</si>
  <si>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</si>
  <si>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</si>
  <si>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</si>
  <si>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</si>
  <si>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</si>
  <si>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</si>
  <si>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</si>
  <si>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</si>
  <si>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</si>
  <si>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</si>
  <si>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</si>
  <si>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</si>
  <si>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</si>
  <si>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</si>
  <si>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</si>
  <si>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</si>
  <si>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</si>
  <si>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</si>
  <si>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</si>
  <si>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</si>
  <si>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</si>
  <si>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</si>
  <si>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</si>
  <si>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</si>
  <si>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</si>
  <si>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</si>
  <si>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</si>
  <si>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</si>
  <si>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</si>
  <si>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</si>
  <si>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</si>
  <si>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</si>
  <si>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</si>
  <si>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</si>
  <si>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</si>
  <si>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</si>
  <si>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</si>
  <si>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</si>
  <si>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</si>
  <si>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</si>
  <si>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</si>
  <si>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</si>
  <si>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</si>
  <si>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</si>
  <si>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</si>
  <si>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</si>
  <si>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</si>
  <si>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</si>
  <si>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</si>
  <si>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</si>
  <si>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</si>
  <si>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</si>
  <si>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</si>
  <si>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</si>
  <si>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</si>
  <si>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</si>
  <si>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</si>
  <si>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</si>
  <si>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</si>
  <si>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</si>
  <si>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</si>
  <si>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</si>
  <si>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</si>
  <si>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</si>
  <si>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</si>
  <si>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</si>
  <si>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</si>
  <si>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</si>
  <si>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</si>
  <si>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</si>
  <si>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</si>
  <si>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</si>
  <si>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</si>
  <si>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</si>
  <si>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</si>
  <si>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</si>
  <si>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</si>
  <si>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</si>
  <si>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</si>
  <si>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</si>
  <si>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</si>
  <si>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</si>
  <si>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</si>
  <si>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</si>
  <si>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</si>
  <si>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</si>
  <si>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</si>
  <si>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</si>
  <si>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</si>
  <si>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</si>
  <si>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</si>
  <si>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</si>
  <si>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</si>
  <si>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</si>
  <si>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</si>
  <si>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</si>
  <si>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</si>
  <si>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</si>
  <si>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</si>
  <si>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</si>
  <si>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</si>
  <si>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</si>
  <si>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</si>
  <si>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</si>
  <si>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</si>
  <si>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</si>
  <si>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</si>
  <si>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</si>
  <si>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</si>
  <si>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</si>
  <si>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</si>
  <si>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</si>
  <si>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</si>
  <si>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</si>
  <si>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</si>
  <si>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</si>
  <si>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</si>
  <si>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</si>
  <si>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</si>
  <si>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</si>
  <si>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</si>
  <si>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</si>
  <si>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</si>
  <si>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</si>
  <si>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</si>
  <si>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</si>
  <si>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</si>
  <si>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</si>
  <si>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</si>
  <si>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</si>
  <si>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</si>
  <si>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</si>
  <si>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</si>
  <si>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</si>
  <si>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</si>
  <si>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</si>
  <si>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</si>
  <si>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</si>
  <si>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</si>
  <si>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</si>
  <si>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</si>
  <si>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</si>
  <si>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</si>
  <si>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</si>
  <si>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</si>
  <si>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</si>
  <si>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</si>
  <si>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</si>
  <si>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</si>
  <si>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</si>
  <si>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</si>
  <si>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</si>
  <si>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</si>
  <si>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</si>
  <si>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</si>
  <si>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</si>
  <si>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</si>
  <si>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</si>
  <si>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</si>
  <si>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</si>
  <si>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</si>
  <si>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</si>
  <si>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</si>
  <si>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</si>
  <si>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</si>
  <si>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</si>
  <si>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</si>
  <si>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</si>
  <si>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</si>
  <si>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</si>
  <si>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</si>
  <si>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</si>
  <si>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</si>
  <si>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</si>
  <si>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</si>
  <si>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</si>
  <si>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</si>
  <si>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</si>
  <si>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</si>
  <si>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</si>
  <si>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</si>
  <si>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</si>
  <si>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</si>
  <si>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</si>
  <si>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</si>
  <si>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</si>
  <si>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</si>
  <si>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</si>
  <si>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</si>
  <si>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</si>
  <si>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</si>
  <si>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</si>
  <si>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</si>
  <si>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</si>
  <si>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</si>
  <si>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</si>
  <si>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</si>
  <si>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</si>
  <si>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</si>
  <si>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</si>
  <si>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</si>
  <si>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</si>
  <si>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</si>
  <si>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</si>
  <si>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</si>
  <si>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</si>
  <si>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</si>
  <si>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</si>
  <si>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</si>
  <si>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</si>
  <si>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</si>
  <si>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</si>
  <si>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</si>
  <si>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</si>
  <si>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</si>
  <si>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</si>
  <si>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</si>
  <si>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</si>
  <si>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</si>
  <si>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</si>
  <si>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</si>
  <si>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</si>
  <si>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</si>
  <si>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</si>
  <si>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</si>
  <si>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</si>
  <si>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</si>
  <si>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</si>
  <si>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</si>
  <si>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</si>
  <si>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</si>
  <si>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</si>
  <si>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</si>
  <si>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</si>
  <si>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</si>
  <si>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</si>
  <si>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</si>
  <si>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</si>
  <si>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</si>
  <si>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</si>
  <si>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</si>
  <si>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</si>
  <si>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</si>
  <si>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</si>
  <si>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</si>
  <si>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</si>
  <si>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</si>
  <si>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</si>
  <si>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</si>
  <si>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</si>
  <si>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</si>
  <si>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</si>
  <si>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</si>
  <si>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</si>
  <si>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</si>
  <si>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</si>
  <si>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</si>
  <si>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</si>
  <si>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</si>
  <si>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</si>
  <si>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</si>
  <si>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</si>
  <si>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</si>
  <si>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</si>
  <si>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</si>
  <si>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</si>
  <si>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</si>
  <si>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</si>
  <si>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</si>
  <si>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</si>
  <si>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</si>
  <si>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</si>
  <si>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</si>
  <si>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</si>
  <si>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</si>
  <si>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</si>
  <si>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</si>
  <si>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</si>
  <si>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</si>
  <si>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</si>
  <si>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</si>
  <si>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</si>
  <si>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</si>
  <si>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</si>
  <si>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</si>
  <si>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</si>
  <si>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</si>
  <si>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</si>
  <si>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</si>
  <si>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</si>
  <si>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</si>
  <si>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</si>
  <si>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</si>
  <si>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</si>
  <si>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</si>
  <si>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</si>
  <si>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</si>
  <si>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</si>
  <si>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</si>
  <si>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</si>
  <si>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</si>
  <si>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</si>
  <si>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</si>
  <si>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</si>
  <si>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</si>
  <si>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</si>
  <si>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</si>
  <si>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</si>
  <si>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</si>
  <si>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</si>
  <si>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</si>
  <si>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</si>
  <si>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</si>
  <si>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</si>
  <si>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</si>
  <si>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</si>
  <si>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</si>
  <si>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</si>
  <si>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</si>
  <si>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</si>
  <si>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</si>
  <si>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</si>
  <si>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</si>
  <si>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</si>
  <si>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</si>
  <si>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</si>
  <si>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</si>
  <si>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</si>
  <si>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</si>
  <si>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</si>
  <si>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</si>
  <si>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</si>
  <si>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</si>
  <si>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</si>
  <si>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</si>
  <si>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</si>
  <si>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</si>
  <si>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</si>
  <si>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</si>
  <si>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</si>
  <si>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</si>
  <si>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</si>
  <si>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</si>
  <si>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</si>
  <si>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</si>
  <si>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</si>
  <si>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</si>
  <si>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</si>
  <si>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</si>
  <si>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</si>
  <si>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</si>
  <si>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</si>
  <si>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</si>
  <si>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</si>
  <si>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</si>
  <si>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</si>
  <si>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</si>
  <si>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</si>
  <si>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</si>
  <si>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</si>
  <si>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</si>
  <si>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</si>
  <si>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</si>
  <si>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</si>
  <si>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</si>
  <si>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</si>
  <si>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</si>
  <si>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</si>
  <si>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</si>
  <si>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</si>
  <si>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</si>
  <si>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</si>
  <si>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</si>
  <si>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</si>
  <si>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</si>
  <si>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</si>
  <si>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</si>
  <si>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</si>
  <si>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</si>
  <si>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</si>
  <si>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</si>
  <si>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</si>
  <si>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</si>
  <si>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</si>
  <si>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</si>
  <si>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</si>
  <si>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</si>
  <si>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</si>
  <si>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</si>
  <si>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</si>
  <si>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</si>
  <si>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</si>
  <si>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</si>
  <si>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</si>
  <si>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</si>
  <si>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</si>
  <si>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</si>
  <si>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</si>
  <si>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</si>
  <si>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</si>
  <si>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</si>
  <si>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</si>
  <si>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</si>
  <si>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</si>
  <si>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</si>
  <si>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</si>
  <si>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</si>
  <si>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</si>
  <si>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</si>
  <si>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</si>
  <si>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</si>
  <si>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</si>
  <si>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</si>
  <si>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</si>
  <si>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</si>
  <si>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</si>
  <si>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</si>
  <si>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</si>
  <si>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</si>
  <si>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</si>
  <si>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</si>
  <si>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</si>
  <si>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</si>
  <si>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</si>
  <si>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</si>
  <si>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</si>
  <si>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</si>
  <si>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</si>
  <si>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</si>
  <si>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</si>
  <si>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</si>
  <si>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</si>
  <si>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</si>
  <si>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</si>
  <si>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</si>
  <si>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</si>
  <si>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</si>
  <si>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</si>
  <si>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</si>
  <si>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</si>
  <si>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</si>
  <si>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</si>
  <si>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</si>
  <si>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</si>
  <si>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</si>
  <si>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</si>
  <si>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</si>
  <si>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</si>
  <si>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</si>
  <si>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</si>
  <si>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</si>
  <si>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</si>
  <si>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</si>
  <si>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</si>
  <si>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</si>
  <si>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</si>
  <si>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</si>
  <si>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</si>
  <si>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</si>
  <si>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</si>
  <si>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</si>
  <si>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</si>
  <si>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</si>
  <si>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</si>
  <si>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</si>
  <si>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</si>
  <si>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</si>
  <si>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</si>
  <si>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</si>
  <si>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</si>
  <si>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</si>
  <si>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</si>
  <si>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</si>
  <si>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</si>
  <si>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</si>
  <si>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</si>
  <si>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</si>
  <si>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</si>
  <si>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</si>
  <si>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</si>
  <si>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</si>
  <si>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</si>
  <si>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</si>
  <si>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</si>
  <si>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</si>
  <si>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</si>
  <si>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</si>
  <si>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</si>
  <si>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</si>
  <si>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</si>
  <si>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</si>
  <si>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</si>
  <si>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</si>
  <si>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</si>
  <si>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</si>
  <si>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</si>
  <si>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</si>
  <si>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</si>
  <si>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</si>
  <si>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</si>
  <si>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</si>
  <si>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</si>
  <si>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</si>
  <si>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</si>
  <si>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</si>
  <si>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</si>
  <si>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</si>
  <si>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</si>
  <si>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</si>
  <si>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</si>
  <si>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</si>
  <si>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</si>
  <si>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</si>
  <si>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</si>
  <si>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</si>
  <si>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</si>
  <si>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</si>
  <si>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</si>
  <si>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</si>
  <si>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</si>
  <si>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</si>
  <si>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</si>
  <si>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</si>
  <si>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</si>
  <si>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</si>
  <si>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</si>
  <si>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</si>
  <si>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</si>
  <si>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</si>
  <si>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</si>
  <si>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</si>
  <si>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</si>
  <si>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</si>
  <si>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</si>
  <si>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</si>
  <si>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</si>
  <si>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</si>
  <si>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</si>
  <si>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</si>
  <si>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</si>
  <si>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</si>
  <si>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</si>
  <si>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</si>
  <si>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</si>
  <si>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</si>
  <si>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</si>
  <si>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</si>
  <si>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</si>
  <si>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</si>
  <si>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</si>
  <si>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</si>
  <si>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</si>
  <si>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</si>
  <si>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</si>
  <si>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</si>
  <si>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</si>
  <si>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</si>
  <si>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</si>
  <si>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</si>
  <si>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</si>
  <si>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</si>
  <si>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</si>
  <si>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</si>
  <si>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</si>
  <si>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</si>
  <si>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</si>
  <si>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</si>
  <si>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</si>
  <si>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</si>
  <si>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</si>
  <si>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</si>
  <si>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</si>
  <si>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</si>
  <si>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</si>
  <si>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</si>
  <si>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</si>
  <si>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</si>
  <si>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</si>
  <si>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</si>
  <si>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</si>
  <si>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</si>
  <si>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</si>
  <si>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</si>
  <si>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</si>
  <si>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</si>
  <si>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</si>
  <si>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</si>
  <si>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</si>
  <si>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</si>
  <si>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</si>
  <si>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</si>
  <si>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</si>
  <si>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</si>
  <si>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</si>
  <si>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</si>
  <si>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</si>
  <si>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</si>
  <si>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</si>
  <si>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</si>
  <si>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</si>
  <si>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</si>
  <si>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</si>
  <si>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</si>
  <si>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</si>
  <si>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</si>
  <si>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</si>
  <si>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</si>
  <si>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</si>
  <si>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</si>
  <si>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</si>
  <si>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</si>
  <si>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</si>
  <si>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</si>
  <si>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</si>
  <si>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</si>
  <si>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</si>
  <si>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</si>
  <si>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</si>
  <si>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</si>
  <si>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</si>
  <si>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</si>
  <si>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</si>
  <si>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</si>
  <si>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</si>
  <si>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</si>
  <si>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</si>
  <si>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</si>
  <si>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</si>
  <si>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</si>
  <si>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</si>
  <si>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</si>
  <si>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</si>
  <si>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</si>
  <si>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</si>
  <si>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</si>
  <si>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</si>
  <si>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</si>
  <si>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</si>
  <si>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</si>
  <si>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</si>
  <si>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</si>
  <si>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</si>
  <si>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</si>
  <si>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</si>
  <si>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</si>
  <si>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</si>
  <si>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</si>
  <si>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</si>
  <si>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</si>
  <si>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</si>
  <si>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</si>
  <si>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</si>
  <si>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</si>
  <si>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</si>
  <si>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</si>
  <si>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</si>
  <si>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</si>
  <si>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</si>
  <si>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</si>
  <si>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</si>
  <si>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</si>
  <si>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</si>
  <si>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</si>
  <si>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</si>
  <si>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</si>
  <si>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</si>
  <si>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</si>
  <si>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</si>
  <si>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</si>
  <si>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</si>
  <si>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</si>
  <si>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</si>
  <si>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</si>
  <si>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</si>
  <si>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</si>
  <si>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</si>
  <si>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</si>
  <si>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</si>
  <si>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</si>
  <si>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</si>
  <si>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</si>
  <si>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</si>
  <si>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</si>
  <si>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</si>
  <si>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</si>
  <si>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</si>
  <si>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</si>
  <si>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</si>
  <si>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</si>
  <si>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</si>
  <si>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</si>
  <si>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</si>
  <si>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</si>
  <si>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</si>
  <si>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</si>
  <si>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</si>
  <si>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</si>
  <si>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</si>
  <si>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</si>
  <si>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</si>
  <si>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</si>
  <si>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</si>
  <si>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</si>
  <si>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</si>
  <si>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</si>
  <si>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</si>
  <si>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</si>
  <si>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</si>
  <si>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</si>
  <si>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</si>
  <si>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</si>
  <si>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</si>
  <si>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</si>
  <si>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</si>
  <si>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</si>
  <si>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</si>
  <si>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</si>
  <si>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</si>
  <si>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</si>
  <si>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</si>
  <si>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</si>
  <si>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</si>
  <si>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</si>
  <si>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</si>
  <si>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</si>
  <si>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</si>
  <si>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</si>
  <si>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</si>
  <si>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</si>
  <si>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</si>
  <si>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</si>
  <si>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</si>
  <si>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</si>
  <si>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</si>
  <si>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</si>
  <si>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</si>
  <si>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</si>
  <si>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</si>
  <si>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</si>
  <si>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</si>
  <si>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</si>
  <si>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</si>
  <si>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</si>
  <si>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</si>
  <si>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</si>
  <si>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</si>
  <si>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</si>
  <si>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</si>
  <si>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</si>
  <si>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</si>
  <si>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</si>
  <si>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</si>
  <si>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</si>
  <si>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</si>
  <si>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</si>
  <si>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</si>
  <si>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</si>
  <si>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</si>
  <si>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</si>
  <si>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</si>
  <si>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</si>
  <si>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</si>
  <si>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</si>
  <si>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</si>
  <si>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</si>
  <si>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</si>
  <si>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</si>
  <si>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</si>
  <si>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</si>
  <si>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</si>
  <si>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</si>
  <si>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</si>
  <si>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</si>
  <si>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</si>
  <si>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</si>
  <si>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</si>
  <si>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</si>
  <si>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</si>
  <si>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</si>
  <si>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</si>
  <si>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</si>
  <si>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</si>
  <si>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</si>
  <si>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</si>
  <si>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</si>
  <si>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</si>
  <si>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</si>
  <si>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</si>
  <si>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</si>
  <si>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</si>
  <si>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</si>
  <si>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</si>
  <si>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</si>
  <si>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</si>
  <si>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</si>
  <si>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</si>
  <si>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</si>
  <si>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</si>
  <si>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</si>
  <si>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</si>
  <si>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</si>
  <si>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</si>
  <si>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</si>
  <si>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</si>
  <si>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</si>
  <si>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</si>
  <si>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</si>
  <si>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</si>
  <si>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</si>
  <si>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</si>
  <si>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</si>
  <si>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</si>
  <si>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</si>
  <si>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</si>
  <si>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</si>
  <si>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</si>
  <si>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</si>
  <si>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</si>
  <si>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</si>
  <si>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</si>
  <si>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</si>
  <si>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</si>
  <si>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</si>
  <si>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</si>
  <si>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</si>
  <si>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</si>
  <si>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</si>
  <si>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</si>
  <si>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</si>
  <si>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</si>
  <si>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</si>
  <si>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</si>
  <si>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</si>
  <si>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</si>
  <si>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</si>
  <si>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</si>
  <si>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</si>
  <si>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</si>
  <si>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</si>
  <si>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</si>
  <si>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</si>
  <si>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</si>
  <si>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</si>
  <si>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</si>
  <si>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</si>
  <si>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</si>
  <si>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</si>
  <si>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</si>
  <si>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</si>
  <si>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</si>
  <si>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</si>
  <si>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</si>
  <si>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</si>
  <si>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</si>
  <si>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</si>
  <si>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</si>
  <si>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</si>
  <si>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</si>
  <si>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</si>
  <si>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</si>
  <si>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</si>
  <si>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</si>
  <si>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</si>
  <si>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</si>
  <si>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</si>
  <si>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</si>
  <si>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</si>
  <si>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</si>
  <si>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</si>
  <si>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</si>
  <si>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</si>
  <si>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</si>
  <si>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</si>
  <si>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</si>
  <si>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</si>
  <si>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</si>
  <si>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</si>
  <si>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</si>
  <si>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</si>
  <si>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</si>
  <si>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</si>
  <si>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</si>
  <si>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</si>
  <si>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</si>
  <si>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</si>
  <si>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</si>
  <si>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</si>
  <si>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</si>
  <si>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</si>
  <si>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</si>
  <si>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</si>
  <si>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</si>
  <si>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</si>
  <si>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</si>
  <si>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</si>
  <si>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</si>
  <si>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</si>
  <si>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</si>
  <si>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</si>
  <si>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</si>
  <si>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</si>
  <si>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</si>
  <si>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</si>
  <si>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</si>
  <si>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</si>
  <si>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</si>
  <si>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</si>
  <si>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</si>
  <si>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</si>
  <si>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</si>
  <si>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</si>
  <si>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</si>
  <si>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</si>
  <si>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</si>
  <si>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</si>
  <si>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</si>
  <si>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</si>
  <si>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</si>
  <si>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</si>
  <si>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</si>
  <si>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</si>
  <si>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</si>
  <si>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</si>
  <si>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</si>
  <si>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</si>
  <si>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</si>
  <si>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</si>
  <si>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</si>
  <si>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</si>
  <si>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</si>
  <si>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</si>
  <si>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</si>
  <si>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</si>
  <si>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</si>
  <si>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</si>
  <si>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</si>
  <si>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</si>
  <si>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</si>
  <si>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</si>
  <si>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</si>
  <si>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</si>
  <si>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</si>
  <si>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</si>
  <si>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</si>
  <si>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</si>
  <si>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</si>
  <si>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</si>
  <si>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</si>
  <si>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</si>
  <si>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</si>
  <si>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</si>
  <si>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</si>
  <si>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</si>
  <si>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</si>
  <si>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</si>
  <si>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</si>
  <si>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</si>
  <si>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</si>
  <si>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</si>
  <si>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</si>
  <si>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</si>
  <si>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</si>
  <si>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</si>
  <si>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</si>
  <si>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</si>
  <si>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</si>
  <si>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</si>
  <si>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</si>
  <si>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</si>
  <si>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</si>
  <si>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</si>
  <si>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</si>
  <si>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</si>
  <si>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</si>
  <si>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</si>
  <si>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</si>
  <si>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</si>
  <si>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</si>
  <si>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</si>
  <si>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</si>
  <si>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</si>
  <si>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</si>
  <si>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</si>
  <si>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</si>
  <si>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</si>
  <si>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</si>
  <si>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</si>
  <si>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</si>
  <si>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</si>
  <si>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</si>
  <si>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</si>
  <si>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</si>
  <si>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</si>
  <si>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</si>
  <si>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</si>
  <si>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</si>
  <si>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</si>
  <si>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</si>
  <si>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</si>
  <si>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</si>
  <si>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</si>
  <si>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</si>
  <si>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</si>
  <si>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</si>
  <si>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</si>
  <si>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</si>
  <si>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</si>
  <si>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</si>
  <si>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</si>
  <si>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</si>
  <si>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</si>
  <si>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</si>
  <si>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</si>
  <si>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</si>
  <si>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</si>
  <si>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</si>
  <si>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</si>
  <si>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</si>
  <si>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</si>
  <si>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</si>
  <si>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</si>
  <si>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</si>
  <si>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</si>
  <si>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</si>
  <si>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</si>
  <si>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</si>
  <si>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</si>
  <si>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</si>
  <si>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</si>
  <si>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</si>
  <si>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</si>
  <si>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</si>
  <si>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</si>
  <si>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</si>
  <si>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</si>
  <si>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</si>
  <si>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</si>
  <si>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</si>
  <si>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</si>
  <si>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</si>
  <si>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</si>
  <si>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</si>
  <si>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</si>
  <si>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</si>
  <si>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</si>
  <si>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</si>
  <si>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</si>
  <si>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</si>
  <si>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</si>
  <si>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</si>
  <si>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</si>
  <si>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</si>
  <si>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</si>
  <si>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</si>
  <si>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</si>
  <si>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</si>
  <si>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</si>
  <si>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</si>
  <si>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</si>
  <si>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</si>
  <si>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</si>
  <si>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</si>
  <si>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</si>
  <si>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</si>
  <si>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</si>
  <si>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</si>
  <si>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</si>
  <si>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</si>
  <si>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</si>
  <si>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</si>
  <si>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</si>
  <si>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</si>
  <si>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</si>
  <si>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</si>
  <si>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</si>
  <si>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</si>
  <si>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</si>
  <si>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</si>
  <si>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</si>
  <si>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</si>
  <si>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</si>
  <si>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</si>
  <si>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</si>
  <si>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</si>
  <si>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</si>
  <si>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</si>
  <si>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</si>
  <si>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</si>
  <si>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</si>
  <si>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</si>
  <si>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</si>
  <si>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</si>
  <si>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</si>
  <si>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</si>
  <si>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</si>
  <si>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</si>
  <si>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</si>
  <si>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</si>
  <si>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</si>
  <si>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</si>
  <si>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</si>
  <si>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</si>
  <si>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</si>
  <si>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</si>
  <si>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</si>
  <si>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</si>
  <si>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</si>
  <si>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</si>
  <si>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</si>
  <si>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</si>
  <si>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</si>
  <si>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</si>
  <si>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</si>
  <si>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</si>
  <si>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</si>
  <si>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</si>
  <si>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</si>
  <si>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</si>
  <si>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</si>
  <si>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</si>
  <si>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</si>
  <si>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</si>
  <si>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</si>
  <si>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</si>
  <si>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</si>
  <si>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</si>
  <si>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</si>
  <si>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</si>
  <si>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</si>
  <si>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</si>
  <si>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</si>
  <si>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</si>
  <si>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</si>
  <si>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</si>
  <si>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</si>
  <si>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</si>
  <si>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</si>
  <si>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</si>
  <si>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</si>
  <si>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</si>
  <si>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</si>
  <si>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</si>
  <si>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</si>
  <si>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</si>
  <si>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</si>
  <si>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</si>
  <si>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</si>
  <si>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</si>
  <si>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</si>
  <si>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</si>
  <si>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</si>
  <si>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</si>
  <si>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</si>
  <si>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</si>
  <si>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</si>
  <si>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</si>
  <si>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</si>
  <si>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</si>
  <si>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</si>
  <si>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</si>
  <si>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</si>
  <si>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</si>
  <si>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</si>
  <si>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</si>
  <si>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</si>
  <si>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</si>
  <si>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</si>
  <si>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</si>
  <si>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</si>
  <si>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</si>
  <si>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</si>
  <si>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</si>
  <si>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</si>
  <si>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</si>
  <si>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</si>
  <si>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</si>
  <si>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</si>
  <si>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</si>
  <si>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</si>
  <si>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</si>
  <si>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</si>
  <si>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</si>
  <si>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</si>
  <si>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</si>
  <si>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</si>
  <si>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</si>
  <si>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</si>
  <si>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</si>
  <si>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</si>
  <si>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</si>
  <si>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</si>
  <si>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</si>
  <si>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</si>
  <si>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</si>
  <si>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</si>
  <si>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</si>
  <si>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</si>
  <si>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</si>
  <si>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</si>
  <si>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</si>
  <si>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</si>
  <si>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</si>
  <si>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</si>
  <si>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</si>
  <si>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</si>
  <si>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</si>
  <si>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</si>
  <si>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</si>
  <si>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</si>
  <si>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</si>
  <si>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</si>
  <si>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</si>
  <si>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</si>
  <si>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</si>
  <si>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</si>
  <si>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</si>
  <si>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</si>
  <si>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</si>
  <si>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</si>
  <si>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</si>
  <si>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</si>
  <si>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</si>
  <si>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</si>
  <si>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</si>
  <si>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</si>
  <si>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</si>
  <si>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</si>
  <si>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</si>
  <si>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</si>
  <si>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</si>
  <si>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</si>
  <si>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</si>
  <si>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</si>
  <si>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</si>
  <si>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</si>
  <si>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</si>
  <si>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</si>
  <si>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</si>
  <si>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</si>
  <si>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</si>
  <si>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</si>
  <si>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</si>
  <si>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</si>
  <si>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</si>
  <si>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</si>
  <si>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</si>
  <si>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</si>
  <si>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</si>
  <si>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</si>
  <si>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</si>
  <si>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</si>
  <si>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</si>
  <si>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</si>
  <si>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</si>
  <si>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</si>
  <si>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</si>
  <si>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</si>
  <si>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</si>
  <si>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</si>
  <si>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</si>
  <si>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</si>
  <si>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</si>
  <si>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</si>
  <si>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</si>
  <si>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</si>
  <si>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</si>
  <si>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</si>
  <si>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</si>
  <si>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</si>
  <si>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</si>
  <si>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</si>
  <si>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</si>
  <si>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</si>
  <si>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</si>
  <si>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</si>
  <si>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</si>
  <si>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</si>
  <si>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</si>
  <si>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</si>
  <si>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</si>
  <si>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</si>
  <si>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</si>
  <si>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</si>
  <si>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</si>
  <si>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</si>
  <si>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</si>
  <si>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</si>
  <si>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</si>
  <si>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</si>
  <si>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</si>
  <si>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</si>
  <si>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</si>
  <si>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</si>
  <si>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</si>
  <si>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</si>
  <si>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</si>
  <si>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</si>
  <si>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</si>
  <si>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</si>
  <si>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</si>
  <si>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</si>
  <si>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</si>
  <si>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</si>
  <si>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</si>
  <si>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</si>
  <si>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</si>
  <si>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</si>
  <si>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</si>
  <si>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</si>
  <si>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</si>
  <si>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</si>
  <si>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</si>
  <si>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</si>
  <si>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</si>
  <si>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</si>
  <si>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</si>
  <si>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</si>
  <si>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</si>
  <si>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</si>
  <si>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</si>
  <si>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</si>
  <si>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</si>
  <si>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</si>
  <si>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</si>
  <si>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</si>
  <si>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</si>
  <si>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</si>
  <si>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</si>
  <si>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</si>
  <si>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</si>
  <si>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</si>
  <si>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</si>
  <si>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</si>
  <si>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</si>
  <si>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</si>
  <si>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</si>
  <si>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</si>
  <si>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</si>
  <si>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</si>
  <si>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</si>
  <si>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</si>
  <si>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</si>
  <si>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</si>
  <si>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</si>
  <si>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</si>
  <si>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</si>
  <si>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</si>
  <si>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</si>
  <si>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</si>
  <si>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</si>
  <si>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</si>
  <si>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</si>
  <si>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</si>
  <si>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</si>
  <si>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</si>
  <si>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</si>
  <si>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</si>
  <si>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</si>
  <si>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</si>
  <si>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</si>
  <si>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</si>
  <si>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</si>
  <si>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</si>
  <si>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</si>
  <si>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</si>
  <si>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</si>
  <si>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</si>
  <si>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</si>
  <si>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</si>
  <si>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</si>
  <si>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</si>
  <si>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</si>
  <si>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</si>
  <si>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</si>
  <si>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</si>
  <si>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</si>
  <si>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</si>
  <si>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</si>
  <si>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</si>
  <si>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</si>
  <si>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</si>
  <si>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</si>
  <si>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</si>
  <si>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</si>
  <si>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</si>
  <si>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</si>
  <si>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</si>
  <si>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</si>
  <si>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</si>
  <si>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</si>
  <si>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</si>
  <si>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</si>
  <si>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</si>
  <si>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</si>
  <si>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</si>
  <si>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</si>
  <si>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</si>
  <si>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</si>
  <si>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</si>
  <si>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</si>
  <si>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</si>
  <si>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</si>
  <si>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</si>
  <si>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</si>
  <si>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</si>
  <si>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</si>
  <si>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</si>
  <si>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</si>
  <si>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</si>
  <si>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</si>
  <si>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</si>
  <si>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</si>
  <si>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</si>
  <si>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</si>
  <si>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</si>
  <si>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</si>
  <si>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</si>
  <si>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</si>
  <si>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</si>
  <si>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</si>
  <si>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</si>
  <si>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</si>
  <si>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</si>
  <si>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</si>
  <si>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</si>
  <si>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</si>
  <si>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</si>
  <si>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</si>
  <si>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</si>
  <si>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</si>
  <si>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</si>
  <si>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</si>
  <si>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</si>
  <si>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</si>
  <si>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</si>
  <si>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</si>
  <si>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</si>
  <si>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</si>
  <si>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</si>
  <si>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</si>
  <si>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</si>
  <si>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</si>
  <si>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</si>
  <si>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</si>
  <si>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</si>
  <si>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</si>
  <si>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</si>
  <si>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</si>
  <si>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</si>
  <si>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</si>
  <si>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</si>
  <si>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</si>
  <si>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</si>
  <si>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</si>
  <si>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</si>
  <si>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</si>
  <si>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</si>
  <si>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</si>
  <si>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</si>
  <si>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</si>
  <si>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</si>
  <si>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</si>
  <si>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</si>
  <si>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</si>
  <si>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</si>
  <si>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</si>
  <si>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</si>
  <si>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</si>
  <si>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</si>
  <si>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</si>
  <si>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</si>
  <si>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</si>
  <si>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</si>
  <si>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</si>
  <si>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</si>
  <si>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</si>
  <si>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</si>
  <si>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</si>
  <si>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</si>
  <si>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</si>
  <si>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</si>
  <si>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</si>
  <si>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</si>
  <si>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</si>
  <si>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</si>
  <si>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</si>
  <si>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</si>
  <si>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</si>
  <si>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</si>
  <si>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</si>
  <si>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</si>
  <si>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</si>
  <si>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</si>
  <si>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</si>
  <si>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</si>
  <si>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</si>
  <si>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</si>
  <si>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</si>
  <si>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</si>
  <si>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</si>
  <si>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</si>
  <si>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</si>
  <si>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</si>
  <si>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</si>
  <si>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</si>
  <si>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</si>
  <si>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</si>
  <si>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</si>
  <si>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</si>
  <si>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</si>
  <si>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</si>
  <si>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</si>
  <si>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</si>
  <si>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</si>
  <si>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</si>
  <si>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</si>
  <si>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</si>
  <si>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</si>
  <si>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</si>
  <si>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</si>
  <si>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</si>
  <si>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</si>
  <si>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</si>
  <si>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</si>
  <si>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</si>
  <si>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</si>
  <si>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</si>
  <si>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</si>
  <si>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</si>
  <si>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</si>
  <si>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</si>
  <si>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</si>
  <si>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</si>
  <si>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</si>
  <si>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</si>
  <si>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</si>
  <si>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</si>
  <si>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</si>
  <si>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</si>
  <si>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</si>
  <si>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</si>
  <si>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</si>
  <si>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</si>
  <si>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</si>
  <si>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</si>
  <si>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</si>
  <si>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</si>
  <si>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</si>
  <si>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</si>
  <si>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</si>
  <si>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</si>
  <si>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</si>
  <si>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</si>
  <si>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</si>
  <si>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</si>
  <si>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</si>
  <si>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</si>
  <si>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</si>
  <si>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</si>
  <si>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</si>
  <si>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</si>
  <si>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</si>
  <si>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</si>
  <si>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</si>
  <si>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</si>
  <si>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</si>
  <si>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</si>
  <si>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</si>
  <si>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</si>
  <si>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</si>
  <si>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</si>
  <si>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</si>
  <si>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</si>
  <si>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</si>
  <si>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</si>
  <si>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</si>
  <si>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</si>
  <si>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</si>
  <si>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</si>
  <si>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</si>
  <si>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</si>
  <si>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</si>
  <si>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</si>
  <si>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</si>
  <si>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</si>
  <si>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</si>
  <si>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</si>
  <si>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</si>
  <si>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</si>
  <si>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</si>
  <si>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</si>
  <si>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</si>
  <si>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</si>
  <si>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</si>
  <si>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</si>
  <si>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</si>
  <si>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</si>
  <si>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</si>
  <si>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</si>
  <si>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</si>
  <si>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</si>
  <si>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</si>
  <si>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</si>
  <si>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</si>
  <si>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</si>
  <si>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</si>
  <si>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</si>
  <si>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</si>
  <si>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</si>
  <si>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</si>
  <si>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</si>
  <si>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</si>
  <si>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</si>
  <si>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</si>
  <si>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</si>
  <si>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</si>
  <si>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</si>
  <si>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</si>
  <si>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</si>
  <si>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</si>
  <si>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</si>
  <si>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</si>
  <si>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</si>
  <si>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</si>
  <si>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</si>
  <si>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</si>
  <si>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</si>
  <si>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</si>
  <si>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</si>
  <si>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</si>
  <si>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</si>
  <si>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</si>
  <si>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</si>
  <si>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</si>
  <si>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</si>
  <si>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</si>
  <si>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</si>
  <si>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</si>
  <si>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</si>
  <si>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</si>
  <si>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</si>
  <si>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</si>
  <si>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</si>
  <si>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</si>
  <si>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</si>
  <si>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</si>
  <si>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</si>
  <si>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</si>
  <si>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</si>
  <si>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</si>
  <si>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</si>
  <si>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</si>
  <si>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</si>
  <si>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</si>
  <si>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</si>
  <si>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</si>
  <si>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</si>
  <si>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</si>
  <si>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</si>
  <si>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</si>
  <si>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</si>
  <si>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</si>
  <si>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</si>
  <si>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</si>
  <si>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</si>
  <si>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</si>
  <si>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</si>
  <si>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</si>
  <si>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</si>
  <si>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</si>
  <si>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</si>
  <si>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</si>
  <si>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</si>
  <si>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</si>
  <si>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</si>
  <si>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</si>
  <si>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</si>
  <si>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</si>
  <si>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</si>
  <si>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</si>
  <si>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</si>
  <si>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</si>
  <si>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</si>
  <si>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</si>
  <si>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</si>
  <si>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</si>
  <si>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</si>
  <si>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</si>
  <si>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</si>
  <si>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</si>
  <si>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</si>
  <si>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</si>
  <si>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</si>
  <si>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</si>
  <si>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</si>
  <si>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</si>
  <si>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</si>
  <si>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</si>
  <si>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</si>
  <si>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</si>
  <si>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</si>
  <si>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</si>
  <si>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</si>
  <si>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</si>
  <si>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</si>
  <si>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</si>
  <si>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</si>
  <si>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</si>
  <si>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</si>
  <si>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</si>
  <si>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</si>
  <si>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</si>
  <si>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</si>
  <si>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</si>
  <si>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</si>
  <si>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</si>
  <si>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</si>
  <si>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</si>
  <si>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</si>
  <si>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</si>
  <si>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</si>
  <si>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</si>
  <si>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</si>
  <si>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</si>
  <si>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</si>
  <si>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</si>
  <si>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</si>
  <si>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</si>
  <si>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</si>
  <si>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</si>
  <si>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</si>
  <si>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</si>
  <si>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</si>
  <si>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</si>
  <si>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</si>
  <si>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</si>
  <si>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</si>
  <si>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</si>
  <si>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</si>
  <si>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</si>
  <si>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</si>
  <si>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</si>
  <si>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</si>
  <si>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</si>
  <si>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</si>
  <si>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</si>
  <si>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</si>
  <si>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</si>
  <si>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</si>
  <si>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</si>
  <si>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</si>
  <si>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</si>
  <si>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</si>
  <si>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</si>
  <si>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</si>
  <si>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</si>
  <si>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</si>
  <si>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</si>
  <si>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</si>
  <si>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</si>
  <si>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</si>
  <si>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</si>
  <si>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</si>
  <si>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</si>
  <si>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</si>
  <si>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</si>
  <si>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</si>
  <si>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</si>
  <si>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</si>
  <si>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</si>
  <si>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</si>
  <si>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</si>
  <si>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</si>
  <si>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</si>
  <si>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</si>
  <si>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</si>
  <si>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</si>
  <si>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</si>
  <si>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</si>
  <si>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</si>
  <si>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</si>
  <si>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</si>
  <si>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</si>
  <si>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</si>
  <si>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</si>
  <si>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</si>
  <si>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</si>
  <si>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</si>
  <si>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</si>
  <si>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</si>
  <si>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</si>
  <si>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</si>
  <si>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</si>
  <si>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</si>
  <si>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</si>
  <si>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</si>
  <si>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</si>
  <si>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</si>
  <si>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</si>
  <si>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</si>
  <si>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</si>
  <si>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</si>
  <si>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</si>
  <si>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</si>
  <si>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</si>
  <si>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</si>
  <si>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</si>
  <si>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</si>
  <si>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</si>
  <si>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</si>
  <si>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</si>
  <si>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</si>
  <si>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</si>
  <si>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</si>
  <si>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</si>
  <si>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</si>
  <si>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</si>
  <si>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</si>
  <si>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</si>
  <si>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</si>
  <si>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</si>
  <si>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</si>
  <si>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</si>
  <si>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</si>
  <si>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</si>
  <si>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</si>
  <si>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</si>
  <si>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</si>
  <si>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</si>
  <si>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</si>
  <si>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</si>
  <si>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</si>
  <si>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</si>
  <si>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</si>
  <si>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</si>
  <si>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</si>
  <si>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</si>
  <si>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</si>
  <si>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</si>
  <si>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</si>
  <si>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</si>
  <si>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</si>
  <si>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</si>
  <si>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</si>
  <si>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</si>
  <si>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</si>
  <si>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</si>
  <si>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</si>
  <si>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</si>
  <si>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</si>
  <si>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</si>
  <si>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</si>
  <si>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</si>
  <si>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</si>
  <si>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</si>
  <si>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</si>
  <si>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</si>
  <si>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</si>
  <si>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</si>
  <si>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</si>
  <si>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</si>
  <si>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</si>
  <si>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</si>
  <si>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</si>
  <si>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</si>
  <si>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</si>
  <si>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</si>
  <si>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</si>
  <si>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</si>
  <si>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</si>
  <si>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</si>
  <si>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</si>
  <si>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</si>
  <si>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</si>
  <si>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</si>
  <si>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</si>
  <si>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</si>
  <si>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</si>
  <si>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</si>
  <si>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</si>
  <si>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</si>
  <si>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</si>
  <si>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</si>
  <si>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</si>
  <si>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</si>
  <si>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</si>
  <si>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</si>
  <si>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</si>
  <si>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</si>
  <si>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</si>
  <si>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</si>
  <si>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</si>
  <si>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</si>
  <si>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</si>
  <si>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</si>
  <si>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</si>
  <si>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</si>
  <si>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</si>
  <si>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</si>
  <si>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</si>
  <si>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</si>
  <si>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</si>
  <si>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</si>
  <si>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</si>
  <si>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</si>
  <si>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</si>
  <si>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</si>
  <si>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</si>
  <si>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</si>
  <si>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</si>
  <si>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</si>
  <si>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</si>
  <si>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</si>
  <si>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</si>
  <si>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</si>
  <si>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</si>
  <si>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</si>
  <si>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</si>
  <si>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</si>
  <si>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</si>
  <si>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</si>
  <si>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</si>
  <si>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</si>
  <si>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</si>
  <si>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</si>
  <si>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</si>
  <si>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</si>
  <si>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</si>
  <si>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</si>
  <si>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</si>
  <si>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</si>
  <si>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</si>
  <si>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</si>
  <si>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</si>
  <si>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</si>
  <si>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</si>
  <si>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</si>
  <si>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</si>
  <si>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</si>
  <si>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</si>
  <si>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</si>
  <si>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</si>
  <si>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</si>
  <si>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</si>
  <si>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</si>
  <si>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</si>
  <si>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</si>
  <si>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</si>
  <si>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</si>
  <si>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</si>
  <si>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</si>
  <si>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</si>
  <si>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</si>
  <si>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</si>
  <si>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</si>
  <si>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</si>
  <si>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</si>
  <si>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</si>
  <si>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</si>
  <si>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</si>
  <si>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</si>
  <si>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</si>
  <si>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</si>
  <si>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</si>
  <si>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</si>
  <si>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</si>
  <si>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</si>
  <si>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</si>
  <si>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</si>
  <si>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</si>
  <si>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</si>
  <si>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</si>
  <si>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</si>
  <si>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</si>
  <si>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</si>
  <si>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</si>
  <si>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</si>
  <si>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</si>
  <si>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</si>
  <si>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</si>
  <si>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</si>
  <si>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</si>
  <si>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</si>
  <si>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</si>
  <si>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</si>
  <si>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</si>
  <si>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</si>
  <si>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</si>
  <si>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</si>
  <si>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</si>
  <si>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</si>
  <si>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</si>
  <si>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</si>
  <si>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</si>
  <si>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</si>
  <si>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</si>
  <si>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</si>
  <si>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</si>
  <si>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</si>
  <si>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</si>
  <si>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</si>
  <si>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</si>
  <si>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</si>
  <si>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</si>
  <si>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</si>
  <si>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</si>
  <si>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</si>
  <si>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</si>
  <si>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</si>
  <si>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</si>
  <si>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</si>
  <si>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</si>
  <si>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</si>
  <si>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</si>
  <si>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</si>
  <si>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</si>
  <si>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</si>
  <si>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</si>
  <si>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</si>
  <si>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</si>
  <si>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</si>
  <si>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</si>
  <si>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</si>
  <si>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</si>
  <si>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</si>
  <si>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</si>
  <si>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</si>
  <si>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</si>
  <si>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</si>
  <si>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</si>
  <si>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</si>
  <si>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</si>
  <si>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</si>
  <si>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</si>
  <si>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</si>
  <si>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</si>
  <si>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</si>
  <si>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</si>
  <si>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</si>
  <si>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</si>
  <si>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</si>
  <si>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</si>
  <si>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</si>
  <si>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</si>
  <si>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</si>
  <si>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</si>
  <si>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</si>
  <si>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</si>
  <si>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</si>
  <si>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</si>
  <si>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</si>
  <si>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</si>
  <si>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</si>
  <si>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</si>
  <si>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</si>
  <si>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</si>
  <si>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</si>
  <si>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</si>
  <si>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</si>
  <si>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</si>
  <si>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</si>
  <si>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</si>
  <si>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</si>
  <si>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</si>
  <si>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</si>
  <si>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</si>
  <si>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</si>
  <si>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</si>
  <si>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</si>
  <si>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</si>
  <si>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</si>
  <si>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</si>
  <si>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</si>
  <si>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</si>
  <si>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</si>
  <si>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</si>
  <si>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</si>
  <si>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</si>
  <si>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</si>
  <si>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</si>
  <si>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</si>
  <si>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</si>
  <si>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</si>
  <si>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</si>
  <si>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</si>
  <si>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</si>
  <si>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</si>
  <si>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</si>
  <si>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</si>
  <si>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</si>
  <si>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</si>
  <si>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</si>
  <si>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</si>
  <si>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</si>
  <si>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</si>
  <si>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</si>
  <si>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</si>
  <si>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</si>
  <si>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</si>
  <si>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</si>
  <si>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</si>
  <si>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</si>
  <si>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</si>
  <si>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</si>
  <si>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</si>
  <si>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</si>
  <si>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</si>
  <si>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</si>
  <si>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</si>
  <si>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</si>
  <si>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</si>
  <si>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</si>
  <si>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</si>
  <si>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</si>
  <si>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</si>
  <si>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</si>
  <si>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</si>
  <si>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</si>
  <si>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</si>
  <si>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</si>
  <si>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</si>
  <si>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</si>
  <si>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</si>
  <si>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</si>
  <si>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</si>
  <si>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</si>
  <si>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</si>
  <si>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</si>
  <si>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</si>
  <si>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</si>
  <si>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</si>
  <si>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</si>
  <si>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</si>
  <si>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</si>
  <si>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</si>
  <si>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</si>
  <si>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</si>
  <si>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</si>
  <si>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</si>
  <si>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</si>
  <si>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</si>
  <si>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</si>
  <si>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</si>
  <si>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</si>
  <si>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</si>
  <si>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</si>
  <si>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</si>
  <si>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</si>
  <si>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</si>
  <si>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</si>
  <si>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</si>
  <si>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</si>
  <si>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</si>
  <si>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</si>
  <si>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</si>
  <si>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</si>
  <si>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</si>
  <si>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</si>
  <si>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</si>
  <si>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</si>
  <si>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</si>
  <si>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</si>
  <si>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</si>
  <si>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</si>
  <si>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</si>
  <si>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</si>
  <si>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</si>
  <si>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</si>
  <si>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</si>
  <si>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</si>
  <si>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</si>
  <si>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</si>
  <si>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</si>
  <si>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</si>
  <si>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</si>
  <si>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</si>
  <si>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</si>
  <si>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</si>
  <si>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</si>
  <si>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</si>
  <si>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</si>
  <si>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</si>
  <si>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</si>
  <si>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</si>
  <si>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</si>
  <si>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</si>
  <si>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</si>
  <si>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</si>
  <si>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</si>
  <si>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</si>
  <si>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</si>
  <si>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</si>
  <si>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</si>
  <si>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</si>
  <si>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</si>
  <si>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</si>
  <si>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</si>
  <si>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</si>
  <si>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</si>
  <si>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</si>
  <si>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</si>
  <si>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</si>
  <si>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</si>
  <si>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</si>
  <si>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</si>
  <si>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</si>
  <si>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</si>
  <si>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</si>
  <si>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</si>
  <si>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</si>
  <si>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</si>
  <si>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</si>
  <si>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</si>
  <si>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</si>
  <si>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</si>
  <si>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</si>
  <si>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</si>
  <si>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</si>
  <si>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</si>
  <si>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</si>
  <si>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</si>
  <si>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</si>
  <si>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</si>
  <si>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</si>
  <si>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</si>
  <si>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</si>
  <si>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</si>
  <si>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</si>
  <si>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</si>
  <si>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</si>
  <si>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</si>
  <si>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</si>
  <si>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</si>
  <si>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</si>
  <si>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</si>
  <si>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</si>
  <si>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</si>
  <si>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</si>
  <si>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</si>
  <si>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</si>
  <si>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</si>
  <si>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</si>
  <si>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</si>
  <si>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</si>
  <si>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</si>
  <si>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</si>
  <si>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</si>
  <si>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</si>
  <si>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</si>
  <si>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</si>
  <si>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</si>
  <si>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</si>
  <si>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</si>
  <si>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</si>
  <si>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</si>
  <si>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</si>
  <si>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</si>
  <si>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</si>
  <si>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</si>
  <si>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</si>
  <si>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</si>
  <si>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</si>
  <si>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</si>
  <si>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</si>
  <si>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</si>
  <si>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</si>
  <si>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</si>
  <si>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</si>
  <si>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</si>
  <si>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</si>
  <si>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</si>
  <si>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</si>
  <si>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</si>
  <si>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</si>
  <si>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</si>
  <si>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</si>
  <si>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</si>
  <si>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</si>
  <si>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</si>
  <si>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</si>
  <si>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</si>
  <si>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</si>
  <si>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</si>
  <si>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</si>
  <si>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</si>
  <si>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</si>
  <si>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</si>
  <si>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</si>
  <si>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</si>
  <si>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</si>
  <si>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</si>
  <si>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</si>
  <si>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</si>
  <si>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</si>
  <si>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</si>
  <si>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</si>
  <si>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</si>
  <si>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</si>
  <si>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</si>
  <si>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</si>
  <si>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</si>
  <si>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</si>
  <si>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</si>
  <si>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</si>
  <si>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</si>
  <si>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</si>
  <si>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</si>
  <si>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</si>
  <si>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</si>
  <si>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</si>
  <si>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</si>
  <si>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</si>
  <si>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</si>
  <si>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</si>
  <si>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</si>
  <si>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</si>
  <si>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</si>
  <si>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</si>
  <si>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</si>
  <si>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</si>
  <si>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</si>
  <si>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</si>
  <si>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</si>
  <si>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</si>
  <si>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</si>
  <si>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</si>
  <si>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</si>
  <si>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</si>
  <si>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</si>
  <si>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</si>
  <si>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</si>
  <si>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</si>
  <si>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</si>
  <si>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</si>
  <si>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</si>
  <si>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</si>
  <si>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</si>
  <si>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</si>
  <si>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</si>
  <si>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</si>
  <si>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</si>
  <si>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</si>
  <si>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</si>
  <si>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</si>
  <si>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</si>
  <si>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</si>
  <si>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</si>
  <si>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</si>
  <si>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</si>
  <si>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</si>
  <si>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</si>
  <si>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</si>
  <si>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</si>
  <si>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</si>
  <si>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</si>
  <si>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</si>
  <si>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</si>
  <si>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</si>
  <si>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</si>
  <si>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</si>
  <si>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</si>
  <si>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</si>
  <si>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</si>
  <si>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</si>
  <si>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</si>
  <si>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</si>
  <si>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</si>
  <si>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</si>
  <si>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</si>
  <si>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</si>
  <si>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</si>
  <si>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</si>
  <si>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</si>
  <si>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</si>
  <si>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</si>
  <si>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</si>
  <si>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</si>
  <si>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</si>
  <si>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</si>
  <si>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</si>
  <si>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</si>
  <si>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</si>
  <si>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</si>
  <si>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</si>
  <si>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</si>
  <si>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</si>
  <si>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</si>
  <si>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</si>
  <si>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</si>
  <si>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</si>
  <si>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</si>
  <si>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</si>
  <si>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</si>
  <si>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</si>
  <si>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</si>
  <si>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</si>
  <si>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</si>
  <si>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</si>
  <si>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</si>
  <si>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</si>
  <si>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</si>
  <si>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</si>
  <si>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</si>
  <si>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</si>
  <si>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</si>
  <si>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</si>
  <si>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</si>
  <si>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</si>
  <si>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</si>
  <si>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</si>
  <si>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</si>
  <si>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</si>
  <si>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</si>
  <si>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</si>
  <si>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</si>
  <si>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</si>
  <si>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</si>
  <si>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</si>
  <si>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</si>
  <si>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</si>
  <si>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</si>
  <si>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</si>
  <si>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</si>
  <si>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</si>
  <si>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</si>
  <si>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</si>
  <si>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</si>
  <si>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</si>
  <si>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</si>
  <si>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</si>
  <si>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</si>
  <si>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</si>
  <si>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</si>
  <si>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</si>
  <si>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</si>
  <si>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</si>
  <si>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</si>
  <si>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</si>
  <si>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</si>
  <si>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</si>
  <si>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</si>
  <si>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</si>
  <si>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</si>
  <si>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</si>
  <si>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</si>
  <si>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</si>
  <si>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</si>
  <si>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</si>
  <si>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</si>
  <si>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</si>
  <si>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</si>
  <si>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</si>
  <si>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</si>
  <si>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</si>
  <si>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</si>
  <si>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</si>
  <si>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</si>
  <si>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</si>
  <si>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</si>
  <si>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</si>
  <si>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</si>
  <si>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</si>
  <si>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</si>
  <si>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</si>
  <si>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</si>
  <si>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</si>
  <si>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</si>
  <si>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</si>
  <si>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</si>
  <si>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</si>
  <si>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</si>
  <si>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</si>
  <si>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</si>
  <si>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</si>
  <si>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</si>
  <si>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</si>
  <si>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</si>
  <si>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</si>
  <si>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</si>
  <si>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</si>
  <si>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</si>
  <si>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</si>
  <si>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</si>
  <si>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</si>
  <si>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</si>
  <si>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</si>
  <si>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</si>
  <si>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</si>
  <si>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</si>
  <si>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</si>
  <si>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</si>
  <si>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</si>
  <si>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</si>
  <si>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</si>
  <si>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</si>
  <si>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</si>
  <si>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</si>
  <si>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</si>
  <si>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</si>
  <si>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</si>
  <si>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</si>
  <si>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</si>
  <si>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</si>
  <si>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</si>
  <si>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</si>
  <si>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</si>
  <si>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</si>
  <si>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</si>
  <si>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</si>
  <si>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</si>
  <si>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</si>
  <si>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</si>
  <si>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</si>
  <si>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</si>
  <si>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</si>
  <si>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</si>
  <si>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</si>
  <si>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</si>
  <si>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</si>
  <si>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</si>
  <si>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</si>
  <si>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</si>
  <si>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</si>
  <si>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</si>
  <si>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</si>
  <si>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</si>
  <si>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</si>
  <si>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</si>
  <si>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</si>
  <si>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</si>
  <si>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</si>
  <si>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</si>
  <si>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</si>
  <si>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</si>
  <si>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</si>
  <si>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</si>
  <si>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</si>
  <si>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</si>
  <si>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</si>
  <si>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</si>
  <si>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</si>
  <si>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</si>
  <si>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</si>
  <si>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</si>
  <si>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</si>
  <si>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</si>
  <si>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</si>
  <si>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</si>
  <si>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</si>
  <si>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</si>
  <si>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</si>
  <si>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</si>
  <si>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</si>
  <si>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</si>
  <si>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</si>
  <si>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</si>
  <si>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</si>
  <si>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</si>
  <si>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</si>
  <si>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</si>
  <si>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</si>
  <si>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</si>
  <si>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</si>
  <si>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</si>
  <si>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</si>
  <si>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</si>
  <si>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</si>
  <si>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</si>
  <si>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</si>
  <si>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</si>
  <si>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</si>
  <si>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</si>
  <si>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</si>
  <si>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</si>
  <si>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</si>
  <si>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</si>
  <si>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</si>
  <si>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</si>
  <si>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</si>
  <si>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</si>
  <si>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</si>
  <si>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</si>
  <si>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</si>
  <si>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</si>
  <si>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</si>
  <si>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</si>
  <si>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</si>
  <si>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</si>
  <si>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</si>
  <si>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</si>
  <si>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</si>
  <si>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</si>
  <si>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</si>
  <si>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</si>
  <si>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</si>
  <si>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</si>
  <si>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</si>
  <si>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</si>
  <si>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</si>
  <si>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</si>
  <si>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</si>
  <si>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</si>
  <si>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</si>
  <si>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</si>
  <si>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</si>
  <si>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</si>
  <si>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</si>
  <si>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</si>
  <si>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</si>
  <si>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</si>
  <si>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</si>
  <si>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</si>
  <si>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</si>
  <si>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</si>
  <si>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</si>
  <si>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</si>
  <si>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</si>
  <si>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</si>
  <si>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</si>
  <si>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</si>
  <si>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</si>
  <si>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</si>
  <si>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</si>
  <si>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</si>
  <si>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</si>
  <si>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</si>
  <si>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</si>
  <si>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</si>
  <si>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</si>
  <si>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</si>
  <si>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</si>
  <si>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</si>
  <si>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</si>
  <si>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</si>
  <si>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</si>
  <si>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</si>
  <si>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</si>
  <si>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</si>
  <si>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</si>
  <si>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</si>
  <si>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</si>
  <si>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</si>
  <si>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</si>
  <si>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</si>
  <si>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</si>
  <si>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</si>
  <si>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</si>
  <si>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</si>
  <si>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</si>
  <si>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</si>
  <si>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</si>
  <si>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</si>
  <si>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</si>
  <si>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</si>
  <si>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</si>
  <si>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</si>
  <si>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</si>
  <si>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</si>
  <si>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</si>
  <si>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</si>
  <si>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</si>
  <si>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</si>
  <si>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</si>
  <si>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</si>
  <si>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</si>
  <si>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</si>
  <si>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</si>
  <si>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</si>
  <si>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</si>
  <si>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</si>
  <si>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</si>
  <si>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</si>
  <si>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</si>
  <si>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</si>
  <si>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</si>
  <si>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</si>
  <si>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</si>
  <si>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</si>
  <si>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</si>
  <si>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</si>
  <si>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</si>
  <si>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</si>
  <si>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</si>
  <si>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</si>
  <si>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</si>
  <si>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</si>
  <si>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</si>
  <si>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</si>
  <si>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</si>
  <si>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</si>
  <si>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</si>
  <si>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</si>
  <si>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</si>
  <si>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</si>
  <si>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</si>
  <si>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</si>
  <si>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</si>
  <si>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</si>
  <si>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</si>
  <si>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</si>
  <si>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</si>
  <si>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</si>
  <si>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</si>
  <si>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</si>
  <si>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</si>
  <si>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</si>
  <si>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</si>
  <si>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</si>
  <si>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</si>
  <si>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</si>
  <si>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</si>
  <si>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</si>
  <si>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</si>
  <si>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</si>
  <si>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</si>
  <si>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</si>
  <si>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</si>
  <si>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</si>
  <si>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</si>
  <si>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</si>
  <si>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</si>
  <si>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</si>
  <si>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</si>
  <si>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</si>
  <si>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</si>
  <si>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</si>
  <si>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</si>
  <si>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</si>
  <si>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</si>
  <si>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</si>
  <si>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</si>
  <si>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</si>
  <si>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</si>
  <si>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</si>
  <si>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</si>
  <si>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</si>
  <si>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</si>
  <si>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</si>
  <si>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</si>
  <si>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</si>
  <si>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</si>
  <si>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</si>
  <si>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</si>
  <si>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</si>
  <si>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</si>
  <si>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</si>
  <si>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</si>
  <si>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</si>
  <si>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</si>
  <si>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</si>
  <si>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</si>
  <si>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</si>
  <si>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</si>
  <si>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</si>
  <si>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</si>
  <si>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</si>
  <si>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</si>
  <si>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</si>
  <si>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</si>
  <si>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</si>
  <si>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</si>
  <si>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</si>
  <si>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</si>
  <si>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</si>
  <si>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</si>
  <si>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</si>
  <si>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</si>
  <si>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</si>
  <si>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</si>
  <si>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</si>
  <si>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</si>
  <si>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</si>
  <si>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</si>
  <si>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</si>
  <si>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</si>
  <si>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</si>
  <si>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</si>
  <si>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</si>
  <si>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</si>
  <si>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</si>
  <si>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</si>
  <si>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</si>
  <si>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</si>
  <si>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</si>
  <si>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</si>
  <si>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</si>
  <si>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</si>
  <si>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</si>
  <si>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</si>
  <si>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</si>
  <si>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</si>
  <si>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</si>
  <si>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</si>
  <si>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</si>
  <si>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</si>
  <si>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</si>
  <si>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</si>
  <si>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</si>
  <si>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</si>
  <si>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</si>
  <si>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</si>
  <si>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</si>
  <si>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</si>
  <si>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</si>
  <si>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</si>
  <si>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</si>
  <si>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</si>
  <si>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</si>
  <si>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</si>
  <si>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</si>
  <si>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</si>
  <si>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</si>
  <si>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</si>
  <si>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</si>
  <si>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</si>
  <si>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</si>
  <si>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</si>
  <si>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</si>
  <si>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</si>
  <si>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</si>
  <si>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</si>
  <si>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</si>
  <si>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</si>
  <si>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</si>
  <si>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</si>
  <si>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</si>
  <si>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</si>
  <si>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</si>
  <si>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</si>
  <si>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</si>
  <si>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</si>
  <si>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</si>
  <si>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</si>
  <si>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</si>
  <si>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</si>
  <si>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</si>
  <si>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</si>
  <si>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</si>
  <si>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</si>
  <si>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</si>
  <si>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</si>
  <si>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</si>
  <si>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</si>
  <si>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</si>
  <si>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</si>
  <si>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</si>
  <si>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</si>
  <si>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</si>
  <si>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</si>
  <si>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</si>
  <si>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</si>
  <si>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</si>
  <si>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</si>
  <si>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</si>
  <si>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</si>
  <si>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</si>
  <si>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</si>
  <si>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</si>
  <si>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</si>
  <si>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</si>
  <si>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</si>
  <si>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</si>
  <si>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</si>
  <si>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</si>
  <si>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</si>
  <si>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</si>
  <si>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</si>
  <si>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</si>
  <si>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</si>
  <si>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</si>
  <si>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</si>
  <si>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</si>
  <si>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</si>
  <si>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</si>
  <si>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</si>
  <si>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</si>
  <si>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</si>
  <si>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</si>
  <si>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</si>
  <si>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</si>
  <si>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</si>
  <si>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</si>
  <si>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</si>
  <si>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</si>
  <si>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</si>
  <si>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</si>
  <si>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</si>
  <si>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</si>
  <si>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</si>
  <si>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</si>
  <si>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</si>
  <si>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</si>
  <si>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</si>
  <si>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</si>
  <si>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</si>
  <si>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</si>
  <si>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</si>
  <si>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</si>
  <si>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</si>
  <si>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</si>
  <si>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</si>
  <si>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</si>
  <si>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</si>
  <si>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</si>
  <si>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</si>
  <si>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</si>
  <si>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</si>
  <si>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</si>
  <si>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</si>
  <si>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</si>
  <si>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</si>
  <si>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</si>
  <si>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</si>
  <si>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</si>
  <si>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</si>
  <si>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</si>
  <si>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</si>
  <si>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</si>
  <si>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</si>
  <si>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</si>
  <si>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</si>
  <si>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</si>
  <si>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</si>
  <si>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</si>
  <si>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</si>
  <si>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</si>
  <si>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</si>
  <si>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</si>
  <si>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</si>
  <si>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</si>
  <si>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</si>
  <si>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</si>
  <si>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</si>
  <si>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</si>
  <si>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</si>
  <si>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</si>
  <si>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</si>
  <si>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</si>
  <si>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</si>
  <si>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</si>
  <si>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</si>
  <si>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</si>
  <si>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</si>
  <si>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</si>
  <si>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</si>
  <si>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</si>
  <si>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</si>
  <si>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</si>
  <si>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</si>
  <si>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</si>
  <si>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</si>
  <si>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</si>
  <si>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</si>
  <si>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</si>
  <si>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</si>
  <si>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</si>
  <si>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</si>
  <si>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</si>
  <si>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</si>
  <si>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</si>
  <si>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</si>
  <si>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</si>
  <si>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</si>
  <si>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</si>
  <si>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</si>
  <si>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</si>
  <si>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</si>
  <si>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</si>
  <si>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</si>
  <si>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</si>
  <si>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</si>
  <si>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</si>
  <si>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</si>
  <si>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</si>
  <si>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</si>
  <si>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</si>
  <si>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</si>
  <si>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</si>
  <si>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</si>
  <si>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</si>
  <si>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</si>
  <si>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</si>
  <si>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</si>
  <si>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</si>
  <si>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</si>
  <si>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</si>
  <si>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</si>
  <si>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</si>
  <si>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</si>
  <si>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</si>
  <si>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</si>
  <si>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</si>
  <si>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</si>
  <si>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</si>
  <si>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</si>
  <si>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</si>
  <si>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</si>
  <si>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</si>
  <si>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</si>
  <si>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</si>
  <si>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</si>
  <si>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</si>
  <si>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</si>
  <si>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</si>
  <si>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</si>
  <si>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</si>
  <si>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</si>
  <si>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</si>
  <si>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</si>
  <si>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</si>
  <si>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</si>
  <si>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</si>
  <si>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</si>
  <si>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</si>
  <si>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</si>
  <si>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</si>
  <si>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</si>
  <si>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</si>
  <si>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</si>
  <si>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</si>
  <si>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</si>
  <si>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</si>
  <si>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</si>
  <si>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</si>
  <si>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</si>
  <si>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</si>
  <si>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</si>
  <si>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</si>
  <si>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</si>
  <si>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</si>
  <si>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</si>
  <si>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</si>
  <si>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</si>
  <si>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</si>
  <si>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</si>
  <si>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</si>
  <si>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</si>
  <si>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</si>
  <si>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</si>
  <si>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</si>
  <si>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</si>
  <si>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</si>
  <si>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</si>
  <si>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</si>
  <si>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</si>
  <si>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</si>
  <si>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</si>
  <si>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</si>
  <si>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</si>
  <si>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</si>
  <si>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</si>
  <si>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</si>
  <si>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</si>
  <si>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</si>
  <si>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</si>
  <si>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</si>
  <si>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</si>
  <si>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</si>
  <si>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</si>
  <si>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</si>
  <si>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</si>
  <si>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</si>
  <si>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</si>
  <si>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</si>
  <si>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</si>
  <si>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</si>
  <si>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</si>
  <si>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</si>
  <si>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</si>
  <si>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</si>
  <si>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</si>
  <si>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</si>
  <si>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</si>
  <si>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</si>
  <si>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</si>
  <si>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</si>
  <si>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</si>
  <si>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</si>
  <si>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</si>
  <si>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</si>
  <si>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</si>
  <si>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</si>
  <si>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</si>
  <si>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</si>
  <si>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</si>
  <si>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</si>
  <si>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</si>
  <si>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</si>
  <si>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</si>
  <si>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</si>
  <si>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</si>
  <si>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</si>
  <si>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</si>
  <si>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</si>
  <si>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</si>
  <si>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</si>
  <si>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</si>
  <si>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</si>
  <si>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</si>
  <si>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</si>
  <si>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</si>
  <si>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</si>
  <si>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</si>
  <si>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</si>
  <si>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</si>
  <si>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</si>
  <si>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</si>
  <si>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</si>
  <si>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</si>
  <si>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</si>
  <si>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</si>
  <si>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</si>
  <si>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</si>
  <si>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</si>
  <si>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</si>
  <si>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</si>
  <si>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</si>
  <si>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</si>
  <si>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</si>
  <si>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</si>
  <si>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</si>
  <si>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</si>
  <si>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</si>
  <si>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</si>
  <si>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</si>
  <si>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</si>
  <si>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</si>
  <si>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</si>
  <si>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</si>
  <si>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</si>
  <si>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</si>
  <si>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</si>
  <si>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</si>
  <si>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</si>
  <si>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</si>
  <si>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</si>
  <si>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</si>
  <si>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</si>
  <si>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</si>
  <si>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</si>
  <si>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</si>
  <si>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</si>
  <si>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</si>
  <si>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</si>
  <si>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</si>
  <si>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</si>
  <si>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</si>
  <si>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</si>
  <si>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</si>
  <si>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</si>
  <si>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</si>
  <si>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</si>
  <si>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</si>
  <si>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</si>
  <si>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</si>
  <si>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</si>
  <si>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</si>
  <si>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</si>
  <si>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</si>
  <si>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</si>
  <si>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</si>
  <si>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</si>
  <si>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</si>
  <si>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</si>
  <si>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</si>
  <si>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</si>
  <si>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</si>
  <si>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</si>
  <si>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</si>
  <si>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</si>
  <si>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</si>
  <si>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</si>
  <si>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</si>
  <si>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</si>
  <si>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</si>
  <si>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</si>
  <si>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</si>
  <si>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</si>
  <si>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</si>
  <si>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</si>
  <si>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</si>
  <si>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</si>
  <si>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</si>
  <si>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</si>
  <si>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</si>
  <si>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</si>
  <si>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</si>
  <si>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</si>
  <si>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</si>
  <si>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</si>
  <si>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</si>
  <si>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</si>
  <si>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</si>
  <si>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</si>
  <si>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</si>
  <si>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</si>
  <si>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</si>
  <si>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</si>
  <si>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</si>
  <si>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</si>
  <si>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</si>
  <si>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</si>
  <si>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</si>
  <si>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</si>
  <si>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</si>
  <si>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</si>
  <si>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</si>
  <si>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</si>
  <si>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</si>
  <si>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</si>
  <si>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</si>
  <si>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</si>
  <si>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</si>
  <si>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</si>
  <si>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</si>
  <si>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</si>
  <si>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</si>
  <si>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</si>
  <si>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</si>
  <si>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</si>
  <si>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</si>
  <si>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</si>
  <si>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</si>
  <si>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</si>
  <si>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</si>
  <si>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</si>
  <si>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</si>
  <si>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</si>
  <si>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</si>
  <si>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</si>
  <si>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</si>
  <si>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</si>
  <si>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</si>
  <si>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</si>
  <si>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</si>
  <si>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</si>
  <si>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</si>
  <si>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</si>
  <si>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</si>
  <si>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</si>
  <si>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</si>
  <si>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</si>
  <si>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</si>
  <si>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</si>
  <si>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</si>
  <si>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</si>
  <si>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</si>
  <si>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</si>
  <si>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</si>
  <si>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</si>
  <si>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</si>
  <si>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</si>
  <si>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</si>
  <si>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</si>
  <si>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</si>
  <si>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</si>
  <si>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</si>
  <si>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</si>
  <si>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</si>
  <si>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</si>
  <si>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</si>
  <si>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</si>
  <si>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</si>
  <si>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</si>
  <si>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</si>
  <si>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</si>
  <si>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</si>
  <si>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</si>
  <si>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</si>
  <si>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</si>
  <si>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</si>
  <si>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</si>
  <si>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</si>
  <si>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</si>
  <si>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</si>
  <si>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</si>
  <si>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</si>
  <si>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</si>
  <si>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</si>
  <si>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</si>
  <si>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</si>
  <si>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</si>
  <si>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</si>
  <si>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</si>
  <si>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</si>
  <si>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</si>
  <si>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</si>
  <si>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</si>
  <si>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</si>
  <si>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</si>
  <si>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</si>
  <si>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</si>
  <si>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</si>
  <si>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</si>
  <si>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</si>
  <si>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</si>
  <si>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</si>
  <si>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</si>
  <si>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</si>
  <si>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</si>
  <si>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</si>
  <si>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</si>
  <si>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</si>
  <si>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</si>
  <si>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</si>
  <si>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</si>
  <si>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</si>
  <si>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</si>
  <si>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</si>
  <si>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</si>
  <si>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</si>
  <si>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</si>
  <si>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</si>
  <si>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</si>
  <si>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</si>
  <si>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</si>
  <si>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</si>
  <si>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</si>
  <si>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</si>
  <si>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</si>
  <si>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</si>
  <si>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</si>
  <si>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</si>
  <si>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</si>
  <si>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</si>
  <si>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</si>
  <si>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</si>
  <si>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</si>
  <si>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</si>
  <si>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</si>
  <si>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</si>
  <si>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</si>
  <si>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</si>
  <si>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</si>
  <si>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</si>
  <si>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</si>
  <si>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</si>
  <si>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</si>
  <si>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</si>
  <si>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</si>
  <si>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</si>
  <si>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</si>
  <si>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</si>
  <si>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</si>
  <si>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</si>
  <si>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</si>
  <si>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</si>
  <si>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</si>
  <si>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</si>
  <si>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</si>
  <si>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</si>
  <si>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</si>
  <si>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</si>
  <si>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</si>
  <si>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</si>
  <si>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</si>
  <si>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</si>
  <si>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</si>
  <si>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</si>
  <si>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</si>
  <si>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</si>
  <si>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</si>
  <si>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</si>
  <si>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</si>
  <si>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</si>
  <si>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</si>
  <si>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</si>
  <si>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</si>
  <si>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</si>
  <si>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</si>
  <si>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</si>
  <si>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</si>
  <si>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</si>
  <si>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</si>
  <si>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</si>
  <si>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</si>
  <si>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</si>
  <si>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</si>
  <si>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</si>
  <si>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</si>
  <si>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</si>
  <si>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</si>
  <si>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</si>
  <si>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</si>
  <si>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</si>
  <si>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</si>
  <si>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</si>
  <si>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</si>
  <si>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</si>
  <si>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</si>
  <si>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</si>
  <si>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</si>
  <si>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</si>
  <si>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</si>
  <si>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</si>
  <si>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</si>
  <si>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</si>
  <si>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</si>
  <si>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</si>
  <si>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</si>
  <si>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</si>
  <si>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</si>
  <si>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</si>
  <si>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</si>
  <si>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</si>
  <si>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</si>
  <si>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</si>
  <si>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</si>
  <si>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</si>
  <si>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</si>
  <si>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</si>
  <si>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</si>
  <si>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</si>
  <si>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</si>
  <si>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</si>
  <si>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</si>
  <si>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</si>
  <si>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</si>
  <si>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</si>
  <si>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</si>
  <si>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</si>
  <si>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</si>
  <si>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</si>
  <si>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</si>
  <si>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</si>
  <si>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</si>
  <si>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</si>
  <si>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</si>
  <si>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</si>
  <si>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</si>
  <si>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</si>
  <si>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</si>
  <si>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</si>
  <si>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</si>
  <si>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</si>
  <si>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</si>
  <si>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</si>
  <si>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</si>
  <si>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</si>
  <si>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</si>
  <si>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</si>
  <si>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</si>
  <si>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</si>
  <si>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</si>
  <si>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</si>
  <si>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</si>
  <si>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</si>
  <si>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</si>
  <si>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</si>
  <si>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</si>
  <si>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</si>
  <si>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</si>
  <si>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</si>
  <si>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</si>
  <si>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</si>
  <si>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</si>
  <si>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</si>
  <si>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</si>
  <si>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</si>
  <si>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</si>
  <si>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</si>
  <si>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</si>
  <si>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</si>
  <si>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</si>
  <si>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</si>
  <si>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</si>
  <si>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</si>
  <si>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</si>
  <si>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</si>
  <si>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</si>
  <si>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</si>
  <si>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</si>
  <si>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</si>
  <si>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</si>
  <si>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</si>
  <si>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</si>
  <si>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</si>
  <si>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</si>
  <si>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</si>
  <si>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</si>
  <si>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</si>
  <si>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</si>
  <si>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</si>
  <si>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</si>
  <si>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</si>
  <si>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</si>
  <si>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</si>
  <si>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</si>
  <si>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</si>
  <si>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</si>
  <si>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</si>
  <si>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</si>
  <si>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</si>
  <si>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</si>
  <si>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</si>
  <si>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</si>
  <si>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</si>
  <si>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</si>
  <si>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</si>
  <si>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</si>
  <si>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</si>
  <si>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</si>
  <si>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</si>
  <si>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</si>
  <si>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</si>
  <si>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</si>
  <si>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</si>
  <si>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</si>
  <si>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</si>
  <si>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</si>
  <si>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</si>
  <si>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</si>
  <si>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</si>
  <si>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</si>
  <si>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</si>
  <si>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</si>
  <si>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</si>
  <si>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</si>
  <si>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</si>
  <si>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</si>
  <si>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</si>
  <si>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</si>
  <si>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</si>
  <si>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</si>
  <si>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</si>
  <si>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</si>
  <si>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</si>
  <si>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</si>
  <si>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</si>
  <si>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</si>
  <si>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</si>
  <si>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</si>
  <si>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</si>
  <si>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</si>
  <si>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</si>
  <si>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</si>
  <si>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</si>
  <si>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</si>
  <si>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</si>
  <si>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</si>
  <si>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</si>
  <si>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</si>
  <si>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</si>
  <si>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</si>
  <si>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</si>
  <si>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</si>
  <si>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</si>
  <si>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</si>
  <si>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</si>
  <si>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</si>
  <si>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</si>
  <si>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</si>
  <si>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</si>
  <si>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</si>
  <si>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</si>
  <si>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</si>
  <si>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</si>
  <si>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</si>
  <si>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</si>
  <si>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</si>
  <si>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</si>
  <si>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</si>
  <si>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</si>
  <si>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</si>
  <si>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</si>
  <si>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</si>
  <si>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</si>
  <si>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</si>
  <si>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</si>
  <si>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</si>
  <si>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</si>
  <si>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</si>
  <si>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</si>
  <si>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</si>
  <si>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</si>
  <si>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</si>
  <si>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</si>
  <si>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</si>
  <si>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</si>
  <si>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</si>
  <si>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</si>
  <si>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</si>
  <si>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</si>
  <si>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</si>
  <si>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</si>
  <si>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</si>
  <si>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</si>
  <si>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</si>
  <si>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</si>
  <si>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</si>
  <si>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</si>
  <si>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</si>
  <si>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</si>
  <si>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</si>
  <si>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</si>
  <si>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</si>
  <si>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</si>
  <si>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</si>
  <si>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</si>
  <si>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</si>
  <si>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</si>
  <si>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</si>
  <si>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</si>
  <si>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</si>
  <si>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</si>
  <si>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</si>
  <si>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</si>
  <si>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</si>
  <si>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</si>
  <si>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</si>
  <si>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</si>
  <si>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</si>
  <si>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</si>
  <si>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</si>
  <si>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</si>
  <si>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</si>
  <si>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</si>
  <si>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</si>
  <si>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</si>
  <si>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</si>
  <si>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</si>
  <si>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</si>
  <si>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</si>
  <si>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</si>
  <si>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</si>
  <si>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</si>
  <si>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</si>
  <si>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</si>
  <si>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</si>
  <si>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</si>
  <si>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</si>
  <si>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</si>
  <si>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</si>
  <si>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</si>
  <si>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</si>
  <si>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</si>
  <si>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</si>
  <si>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</si>
  <si>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</si>
  <si>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</si>
  <si>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</si>
  <si>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</si>
  <si>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</si>
  <si>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</si>
  <si>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</si>
  <si>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</si>
  <si>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</si>
  <si>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</si>
  <si>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</si>
  <si>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</si>
  <si>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</si>
  <si>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</si>
  <si>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</si>
  <si>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</si>
  <si>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</si>
  <si>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</si>
  <si>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</si>
  <si>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</si>
  <si>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</si>
  <si>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</si>
  <si>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</si>
  <si>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</si>
  <si>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</si>
  <si>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</si>
  <si>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</si>
  <si>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</si>
  <si>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</si>
  <si>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</si>
  <si>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</si>
  <si>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</si>
  <si>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</si>
  <si>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</si>
  <si>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</si>
  <si>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</si>
  <si>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</si>
  <si>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</si>
  <si>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</si>
  <si>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</si>
  <si>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</si>
  <si>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</si>
  <si>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</si>
  <si>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</si>
  <si>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</si>
  <si>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</si>
  <si>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</si>
  <si>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</si>
  <si>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</si>
  <si>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</si>
  <si>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</si>
  <si>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</si>
  <si>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</si>
  <si>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</si>
  <si>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</si>
  <si>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</si>
  <si>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</si>
  <si>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</si>
  <si>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</si>
  <si>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</si>
  <si>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</si>
  <si>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</si>
  <si>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</si>
  <si>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</si>
  <si>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</si>
  <si>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</si>
  <si>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</si>
  <si>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</si>
  <si>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</si>
  <si>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</si>
  <si>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</si>
  <si>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</si>
  <si>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</si>
  <si>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</si>
  <si>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</si>
  <si>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</si>
  <si>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</si>
  <si>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</si>
  <si>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</si>
  <si>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</si>
  <si>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</si>
  <si>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</si>
  <si>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</si>
  <si>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</si>
  <si>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</si>
  <si>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</si>
  <si>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</si>
  <si>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</si>
  <si>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</si>
  <si>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</si>
  <si>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</si>
  <si>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</si>
  <si>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</si>
  <si>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</si>
  <si>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</si>
  <si>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</si>
  <si>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</si>
  <si>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</si>
  <si>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</si>
  <si>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</si>
  <si>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</si>
  <si>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</si>
  <si>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</si>
  <si>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</si>
  <si>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</si>
  <si>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</si>
  <si>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</si>
  <si>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</si>
  <si>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</si>
  <si>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</si>
  <si>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</si>
  <si>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</si>
  <si>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</si>
  <si>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</si>
  <si>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</si>
  <si>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</si>
  <si>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</si>
  <si>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</si>
  <si>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</si>
  <si>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</si>
  <si>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</si>
  <si>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</si>
  <si>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</si>
  <si>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</si>
  <si>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</si>
  <si>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</si>
  <si>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</si>
  <si>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</si>
  <si>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</si>
  <si>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</si>
  <si>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</si>
  <si>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</si>
  <si>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</si>
  <si>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</si>
  <si>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</si>
  <si>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</si>
  <si>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</si>
  <si>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</si>
  <si>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</si>
  <si>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</si>
  <si>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</si>
  <si>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</si>
  <si>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</si>
  <si>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</si>
  <si>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</si>
  <si>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</si>
  <si>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</si>
  <si>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</si>
  <si>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</si>
  <si>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</si>
  <si>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</si>
  <si>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</si>
  <si>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</si>
  <si>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</si>
  <si>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</si>
  <si>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</si>
  <si>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</si>
  <si>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</si>
  <si>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</si>
  <si>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</si>
  <si>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</si>
  <si>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</si>
  <si>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</si>
  <si>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</si>
  <si>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</si>
  <si>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</si>
  <si>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</si>
  <si>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</si>
  <si>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</si>
  <si>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</si>
  <si>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</si>
  <si>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</si>
  <si>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</si>
  <si>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</si>
  <si>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</si>
  <si>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</si>
  <si>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</si>
  <si>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</si>
  <si>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</si>
  <si>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</si>
  <si>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</si>
  <si>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</si>
  <si>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</si>
  <si>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</si>
  <si>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</si>
  <si>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</si>
  <si>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</si>
  <si>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</si>
  <si>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</si>
  <si>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</si>
  <si>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</si>
  <si>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</si>
  <si>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</si>
  <si>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</si>
  <si>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</si>
  <si>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</si>
  <si>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</si>
  <si>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</si>
  <si>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</si>
  <si>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</si>
  <si>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</si>
  <si>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</si>
  <si>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</si>
  <si>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</si>
  <si>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</si>
  <si>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</si>
  <si>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</si>
  <si>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</si>
  <si>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</si>
  <si>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</si>
  <si>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</si>
  <si>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</si>
  <si>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</si>
  <si>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</si>
  <si>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</si>
  <si>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</si>
  <si>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</si>
  <si>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</si>
  <si>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</si>
  <si>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</si>
  <si>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</si>
  <si>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</si>
  <si>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</si>
  <si>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</si>
  <si>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</si>
  <si>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</si>
  <si>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</si>
  <si>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</si>
  <si>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</si>
  <si>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</si>
  <si>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</si>
  <si>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</si>
  <si>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</si>
  <si>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</si>
  <si>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</si>
  <si>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</si>
  <si>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</si>
  <si>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</si>
  <si>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</si>
  <si>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</si>
  <si>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</si>
  <si>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</si>
  <si>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</si>
  <si>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</si>
  <si>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</si>
  <si>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</si>
  <si>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</si>
  <si>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</si>
  <si>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</si>
  <si>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</si>
  <si>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</si>
  <si>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</si>
  <si>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</si>
  <si>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</si>
  <si>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</si>
  <si>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</si>
  <si>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</si>
  <si>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</si>
  <si>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</si>
  <si>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</si>
  <si>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</si>
  <si>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</si>
  <si>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</si>
  <si>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</si>
  <si>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</si>
  <si>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</si>
  <si>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</si>
  <si>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</si>
  <si>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</si>
  <si>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</si>
  <si>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</si>
  <si>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</si>
  <si>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</si>
  <si>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</si>
  <si>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</si>
  <si>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</si>
  <si>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</si>
  <si>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</si>
  <si>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</si>
  <si>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</si>
  <si>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</si>
  <si>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</si>
  <si>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</si>
  <si>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</si>
  <si>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</si>
  <si>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</si>
  <si>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</si>
  <si>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</si>
  <si>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</si>
  <si>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</si>
  <si>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</si>
  <si>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</si>
  <si>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</si>
  <si>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</si>
  <si>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</si>
  <si>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</si>
  <si>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</si>
  <si>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</si>
  <si>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</si>
  <si>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</si>
  <si>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</si>
  <si>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</si>
  <si>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</si>
  <si>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</si>
  <si>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</si>
  <si>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</si>
  <si>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</si>
  <si>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</si>
  <si>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</si>
  <si>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</si>
  <si>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</si>
  <si>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</si>
  <si>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</si>
  <si>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</si>
  <si>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</si>
  <si>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</si>
  <si>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</si>
  <si>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</si>
  <si>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</si>
  <si>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</si>
  <si>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</si>
  <si>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</si>
  <si>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</si>
  <si>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</si>
  <si>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</si>
  <si>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</si>
  <si>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</si>
  <si>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</si>
  <si>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</si>
  <si>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</si>
  <si>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</si>
  <si>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</si>
  <si>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</si>
  <si>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</si>
  <si>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</si>
  <si>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</si>
  <si>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</si>
  <si>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</si>
  <si>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</si>
  <si>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</si>
  <si>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</si>
  <si>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</si>
  <si>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</si>
  <si>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</si>
  <si>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</si>
  <si>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</si>
  <si>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</si>
  <si>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</si>
  <si>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</si>
  <si>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</si>
  <si>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</si>
  <si>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</si>
  <si>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</si>
  <si>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</si>
  <si>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</si>
  <si>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</si>
  <si>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</si>
  <si>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</si>
  <si>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</si>
  <si>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</si>
  <si>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</si>
  <si>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</si>
  <si>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</si>
  <si>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</si>
  <si>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</si>
  <si>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</si>
  <si>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</si>
  <si>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</si>
  <si>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</si>
  <si>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</si>
  <si>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</si>
  <si>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</si>
  <si>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</si>
  <si>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</si>
  <si>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</si>
  <si>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</si>
  <si>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</si>
  <si>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</si>
  <si>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</si>
  <si>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</si>
  <si>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</si>
  <si>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</si>
  <si>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</si>
  <si>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</si>
  <si>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</si>
  <si>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</si>
  <si>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</si>
  <si>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</si>
  <si>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</si>
  <si>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</si>
  <si>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</si>
  <si>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</si>
  <si>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</si>
  <si>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</si>
  <si>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</si>
  <si>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</si>
  <si>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</si>
  <si>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</si>
  <si>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</si>
  <si>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</si>
  <si>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</si>
  <si>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</si>
  <si>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</si>
  <si>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</si>
  <si>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</si>
  <si>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</si>
  <si>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</si>
  <si>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</si>
  <si>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</si>
  <si>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</si>
  <si>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</si>
  <si>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</si>
  <si>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</si>
  <si>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</si>
  <si>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</si>
  <si>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</si>
  <si>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</si>
  <si>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</si>
  <si>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</si>
  <si>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</si>
  <si>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</si>
  <si>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</si>
  <si>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</si>
  <si>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</si>
  <si>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</si>
  <si>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</si>
  <si>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</si>
  <si>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</si>
  <si>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</si>
  <si>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</si>
  <si>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</si>
  <si>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</si>
  <si>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</si>
  <si>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</si>
  <si>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</si>
  <si>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</si>
  <si>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</si>
  <si>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</si>
  <si>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</si>
  <si>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</si>
  <si>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</si>
  <si>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</si>
  <si>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</si>
  <si>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</si>
  <si>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</si>
  <si>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</si>
  <si>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</si>
  <si>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</si>
  <si>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</si>
  <si>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</si>
  <si>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</si>
  <si>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</si>
  <si>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</si>
  <si>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</si>
  <si>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</si>
  <si>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</si>
  <si>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</si>
  <si>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</si>
  <si>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</si>
  <si>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</si>
  <si>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</si>
  <si>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</si>
  <si>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</si>
  <si>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</si>
  <si>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</si>
  <si>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</si>
  <si>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</si>
  <si>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</si>
  <si>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</si>
  <si>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</si>
  <si>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</si>
  <si>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</si>
  <si>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</si>
  <si>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</si>
  <si>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</si>
  <si>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</si>
  <si>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</si>
  <si>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</si>
  <si>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</si>
  <si>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</si>
  <si>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</si>
  <si>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</si>
  <si>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</si>
  <si>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</si>
  <si>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</si>
  <si>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</si>
  <si>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</si>
  <si>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</si>
  <si>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</si>
  <si>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</si>
  <si>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</si>
  <si>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</si>
  <si>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</si>
  <si>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</si>
  <si>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</si>
  <si>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</si>
  <si>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</si>
  <si>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</si>
  <si>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</si>
  <si>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</si>
  <si>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</si>
  <si>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</si>
  <si>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</si>
  <si>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</si>
  <si>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</si>
  <si>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</si>
  <si>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</si>
  <si>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</si>
  <si>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</si>
  <si>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</si>
  <si>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</si>
  <si>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</si>
  <si>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</si>
  <si>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</si>
  <si>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</si>
  <si>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</si>
  <si>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</si>
  <si>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</si>
  <si>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</si>
  <si>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</si>
  <si>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</si>
  <si>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</si>
  <si>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</si>
  <si>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</si>
  <si>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</si>
  <si>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</si>
  <si>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</si>
  <si>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</si>
  <si>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</si>
  <si>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</si>
  <si>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</si>
  <si>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</si>
  <si>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</si>
  <si>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</si>
  <si>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</si>
  <si>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</si>
  <si>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</si>
  <si>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</si>
  <si>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</si>
  <si>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</si>
  <si>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</si>
  <si>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</si>
  <si>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</si>
  <si>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</si>
  <si>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</si>
  <si>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</si>
  <si>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</si>
  <si>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</si>
  <si>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</si>
  <si>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</si>
  <si>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</si>
  <si>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</si>
  <si>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</si>
  <si>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</si>
  <si>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</si>
  <si>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</si>
  <si>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</si>
  <si>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</si>
  <si>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</si>
  <si>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</si>
  <si>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</si>
  <si>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</si>
  <si>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</si>
  <si>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</si>
  <si>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</si>
  <si>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</si>
  <si>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</si>
  <si>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</si>
  <si>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</si>
  <si>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</si>
  <si>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</si>
  <si>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</si>
  <si>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</si>
  <si>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</si>
  <si>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</si>
  <si>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</si>
  <si>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</si>
  <si>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</si>
  <si>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</si>
  <si>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</si>
  <si>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</si>
  <si>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</si>
  <si>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</si>
  <si>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</si>
  <si>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</si>
  <si>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</si>
  <si>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</si>
  <si>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</si>
  <si>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</si>
  <si>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</si>
  <si>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</si>
  <si>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</si>
  <si>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</si>
  <si>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</si>
  <si>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</si>
  <si>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</si>
  <si>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</si>
  <si>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</si>
  <si>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</si>
  <si>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</si>
  <si>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</si>
  <si>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</si>
  <si>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</si>
  <si>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</si>
  <si>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</si>
  <si>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</si>
  <si>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</si>
  <si>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</si>
  <si>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</si>
  <si>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</si>
  <si>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</si>
  <si>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</si>
  <si>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</si>
  <si>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</si>
  <si>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</si>
  <si>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</si>
  <si>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</si>
  <si>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</si>
  <si>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</si>
  <si>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</si>
  <si>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</si>
  <si>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</si>
  <si>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</si>
  <si>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</si>
  <si>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</si>
  <si>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</si>
  <si>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</si>
  <si>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</si>
  <si>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</si>
  <si>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</si>
  <si>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</si>
  <si>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</si>
  <si>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</si>
  <si>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</si>
  <si>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</si>
  <si>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</si>
  <si>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</si>
  <si>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</si>
  <si>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</si>
  <si>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</si>
  <si>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</si>
  <si>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</si>
  <si>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</si>
  <si>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</si>
  <si>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</si>
  <si>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</si>
  <si>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</si>
  <si>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</si>
  <si>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</si>
  <si>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</si>
  <si>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</si>
  <si>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</si>
  <si>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</si>
  <si>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</si>
  <si>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</si>
  <si>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</si>
  <si>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</si>
  <si>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</si>
  <si>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</si>
  <si>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</si>
  <si>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</si>
  <si>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</si>
  <si>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</si>
  <si>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</si>
  <si>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</si>
  <si>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</si>
  <si>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</si>
  <si>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</si>
  <si>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</si>
  <si>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</si>
  <si>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</si>
  <si>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</si>
  <si>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</si>
  <si>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</si>
  <si>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</si>
  <si>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</si>
  <si>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</si>
  <si>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</si>
  <si>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</si>
  <si>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</si>
  <si>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</si>
  <si>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</si>
  <si>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</si>
  <si>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</si>
  <si>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</si>
  <si>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</si>
  <si>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</si>
  <si>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</si>
  <si>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</si>
  <si>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</si>
  <si>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</si>
  <si>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</si>
  <si>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</si>
  <si>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</si>
  <si>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</si>
  <si>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</si>
  <si>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</si>
  <si>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</si>
  <si>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</si>
  <si>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</si>
  <si>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</si>
  <si>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</si>
  <si>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</si>
  <si>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</si>
  <si>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</si>
  <si>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</si>
  <si>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</si>
  <si>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</si>
  <si>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</si>
  <si>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</si>
  <si>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</si>
  <si>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</si>
  <si>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</si>
  <si>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</si>
  <si>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</si>
  <si>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</si>
  <si>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</si>
  <si>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</si>
  <si>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</si>
  <si>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</si>
  <si>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</si>
  <si>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</si>
  <si>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</si>
  <si>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</si>
  <si>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</si>
  <si>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</si>
  <si>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</si>
  <si>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</si>
  <si>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</si>
  <si>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</si>
  <si>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</si>
  <si>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</si>
  <si>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</si>
  <si>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</si>
  <si>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</si>
  <si>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</si>
  <si>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</si>
  <si>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</si>
  <si>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</si>
  <si>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</si>
  <si>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</si>
  <si>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</si>
  <si>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</si>
  <si>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</si>
  <si>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</si>
  <si>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</si>
  <si>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</si>
  <si>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</si>
  <si>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</si>
  <si>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</si>
  <si>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</si>
  <si>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</si>
  <si>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</si>
  <si>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</si>
  <si>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</si>
  <si>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</si>
  <si>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</si>
  <si>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</si>
  <si>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</si>
  <si>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</si>
  <si>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</si>
  <si>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</si>
  <si>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</si>
  <si>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</si>
  <si>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</si>
  <si>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</si>
  <si>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</si>
  <si>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</si>
  <si>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</si>
  <si>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</si>
  <si>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</si>
  <si>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</si>
  <si>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</si>
  <si>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</si>
  <si>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</si>
  <si>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</si>
  <si>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</si>
  <si>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</si>
  <si>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</si>
  <si>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</si>
  <si>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</si>
  <si>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</si>
  <si>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</si>
  <si>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</si>
  <si>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</si>
  <si>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</si>
  <si>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</si>
  <si>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</si>
  <si>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</si>
  <si>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</si>
  <si>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</si>
  <si>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</si>
  <si>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</si>
  <si>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</si>
  <si>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</si>
  <si>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</si>
  <si>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</si>
  <si>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</si>
  <si>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</si>
  <si>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</si>
  <si>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</si>
  <si>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</si>
  <si>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</si>
  <si>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</si>
  <si>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</si>
  <si>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</si>
  <si>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</si>
  <si>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</si>
  <si>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</si>
  <si>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</si>
  <si>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</si>
  <si>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</si>
  <si>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</si>
  <si>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</si>
  <si>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</si>
  <si>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</si>
  <si>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</si>
  <si>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</si>
  <si>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</si>
  <si>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</si>
  <si>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</si>
  <si>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</si>
  <si>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</si>
  <si>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</si>
  <si>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</si>
  <si>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</si>
  <si>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</si>
  <si>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</si>
  <si>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</si>
  <si>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</si>
  <si>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</si>
  <si>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</si>
  <si>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</si>
  <si>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</si>
  <si>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</si>
  <si>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</si>
  <si>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</si>
  <si>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</si>
  <si>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</si>
  <si>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</si>
  <si>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</si>
  <si>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</si>
  <si>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</si>
  <si>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</si>
  <si>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</si>
  <si>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</si>
  <si>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</si>
  <si>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</si>
  <si>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</si>
  <si>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</si>
  <si>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</si>
  <si>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</si>
  <si>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</si>
  <si>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</si>
  <si>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</si>
  <si>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</si>
  <si>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</si>
  <si>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</si>
  <si>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</si>
  <si>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</si>
  <si>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</si>
  <si>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</si>
  <si>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</si>
  <si>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</si>
  <si>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</si>
  <si>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</si>
  <si>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</si>
  <si>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</si>
  <si>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</si>
  <si>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</si>
  <si>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</si>
  <si>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</si>
  <si>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</si>
  <si>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</si>
  <si>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</si>
  <si>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</si>
  <si>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</si>
  <si>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</si>
  <si>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</si>
  <si>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</si>
  <si>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</si>
  <si>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</si>
  <si>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</si>
  <si>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</si>
  <si>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</si>
  <si>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</si>
  <si>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</si>
  <si>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</si>
  <si>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</si>
  <si>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</si>
  <si>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</si>
  <si>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</si>
  <si>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</si>
  <si>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</si>
  <si>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</si>
  <si>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</si>
  <si>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</si>
  <si>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</si>
  <si>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</si>
  <si>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</si>
  <si>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</si>
  <si>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</si>
  <si>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</si>
  <si>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</si>
  <si>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</si>
  <si>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</si>
  <si>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</si>
  <si>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</si>
  <si>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</si>
  <si>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</si>
  <si>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</si>
  <si>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</si>
  <si>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</si>
  <si>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</si>
  <si>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</si>
  <si>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</si>
  <si>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</si>
  <si>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</si>
  <si>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</si>
  <si>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</si>
  <si>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</si>
  <si>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</si>
  <si>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</si>
  <si>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</si>
  <si>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</si>
  <si>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</si>
  <si>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</si>
  <si>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</si>
  <si>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</si>
  <si>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</si>
  <si>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</si>
  <si>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</si>
  <si>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</si>
  <si>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</si>
  <si>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</si>
  <si>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</si>
  <si>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</si>
  <si>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</si>
  <si>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</si>
  <si>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</si>
  <si>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</si>
  <si>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</si>
  <si>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</si>
  <si>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</si>
  <si>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</si>
  <si>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</si>
  <si>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</si>
  <si>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</si>
  <si>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</si>
  <si>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</si>
  <si>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</si>
  <si>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</si>
  <si>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</si>
  <si>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</si>
  <si>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</si>
  <si>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</si>
  <si>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</si>
  <si>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</si>
  <si>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</si>
  <si>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</si>
  <si>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</si>
  <si>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</si>
  <si>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</si>
  <si>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</si>
  <si>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</si>
  <si>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</si>
  <si>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</si>
  <si>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</si>
  <si>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</si>
  <si>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</si>
  <si>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</si>
  <si>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</si>
  <si>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</si>
  <si>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</si>
  <si>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</si>
  <si>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</si>
  <si>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</si>
  <si>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</si>
  <si>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</si>
  <si>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</si>
  <si>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</si>
  <si>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</si>
  <si>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</si>
  <si>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</si>
  <si>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</si>
  <si>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</si>
  <si>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</si>
  <si>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</si>
  <si>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</si>
  <si>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</si>
  <si>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</si>
  <si>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</si>
  <si>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</si>
  <si>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</si>
  <si>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</si>
  <si>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</si>
  <si>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</si>
  <si>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</si>
  <si>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</si>
  <si>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</si>
  <si>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</si>
  <si>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</si>
  <si>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</si>
  <si>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</si>
  <si>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</si>
  <si>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</si>
  <si>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</si>
  <si>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</si>
  <si>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</si>
  <si>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</si>
  <si>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</si>
  <si>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</si>
  <si>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</si>
  <si>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</si>
  <si>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</si>
  <si>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</si>
  <si>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</si>
  <si>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</si>
  <si>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</si>
  <si>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</si>
  <si>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</si>
  <si>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</si>
  <si>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</si>
  <si>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</si>
  <si>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</si>
  <si>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</si>
  <si>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</si>
  <si>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</si>
  <si>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</si>
  <si>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</si>
  <si>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</si>
  <si>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</si>
  <si>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</si>
  <si>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</si>
  <si>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</si>
  <si>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</si>
  <si>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</si>
  <si>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</si>
  <si>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</si>
  <si>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</si>
  <si>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</si>
  <si>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</si>
  <si>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</si>
  <si>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</si>
  <si>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</si>
  <si>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</si>
  <si>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</si>
  <si>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</si>
  <si>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</si>
  <si>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</si>
  <si>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</si>
  <si>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</si>
  <si>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</si>
  <si>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</si>
  <si>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</si>
  <si>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</si>
  <si>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</si>
  <si>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</si>
  <si>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</si>
  <si>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</si>
  <si>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</si>
  <si>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</si>
  <si>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</si>
  <si>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</si>
  <si>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</si>
  <si>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</si>
  <si>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</si>
  <si>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</si>
  <si>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</si>
  <si>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</si>
  <si>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</si>
  <si>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</si>
  <si>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</si>
  <si>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</si>
  <si>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</si>
  <si>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</si>
  <si>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</si>
  <si>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</si>
  <si>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</si>
  <si>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</si>
  <si>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</si>
  <si>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</si>
  <si>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</si>
  <si>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</si>
  <si>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</si>
  <si>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</si>
  <si>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</si>
  <si>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</si>
  <si>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</si>
  <si>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</si>
  <si>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</si>
  <si>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</si>
  <si>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</si>
  <si>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</si>
  <si>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</si>
  <si>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</si>
  <si>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</si>
  <si>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</si>
  <si>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</si>
  <si>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</si>
  <si>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</si>
  <si>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</si>
  <si>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</si>
  <si>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</si>
  <si>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</si>
  <si>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</si>
  <si>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</si>
  <si>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</si>
  <si>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</si>
  <si>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</si>
  <si>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</si>
  <si>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</si>
  <si>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</si>
  <si>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</si>
  <si>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</si>
  <si>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</si>
  <si>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</si>
  <si>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</si>
  <si>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</si>
  <si>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</si>
  <si>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</si>
  <si>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</si>
  <si>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</si>
  <si>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</si>
  <si>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</si>
  <si>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</si>
  <si>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</si>
  <si>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</si>
  <si>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</si>
  <si>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</si>
  <si>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</si>
  <si>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</si>
  <si>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</si>
  <si>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</si>
  <si>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</si>
  <si>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</si>
  <si>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</si>
  <si>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</si>
  <si>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</si>
  <si>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</si>
  <si>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</si>
  <si>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</si>
  <si>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</si>
  <si>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</si>
  <si>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</si>
  <si>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</si>
  <si>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</si>
  <si>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</si>
  <si>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</si>
  <si>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</si>
  <si>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</si>
  <si>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</si>
  <si>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</si>
  <si>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</si>
  <si>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</si>
  <si>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</si>
  <si>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</si>
  <si>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</si>
  <si>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</si>
  <si>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</si>
  <si>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</si>
  <si>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</si>
  <si>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</si>
  <si>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</si>
  <si>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</si>
  <si>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</si>
  <si>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</si>
  <si>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</si>
  <si>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</si>
  <si>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</si>
  <si>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</si>
  <si>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</si>
  <si>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</si>
  <si>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</si>
  <si>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</si>
  <si>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</si>
  <si>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</si>
  <si>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</si>
  <si>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</si>
  <si>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</si>
  <si>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</si>
  <si>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</si>
  <si>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</si>
  <si>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</si>
  <si>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</si>
  <si>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</si>
  <si>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</si>
  <si>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</si>
  <si>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</si>
  <si>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</si>
  <si>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</si>
  <si>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</si>
  <si>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</si>
  <si>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</si>
  <si>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</si>
  <si>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</si>
  <si>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</si>
  <si>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</si>
  <si>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</si>
  <si>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</si>
  <si>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</si>
  <si>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</si>
  <si>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</si>
  <si>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</si>
  <si>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</si>
  <si>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</si>
  <si>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</si>
  <si>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</si>
  <si>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</si>
  <si>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</si>
  <si>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</si>
  <si>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</si>
  <si>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</si>
  <si>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</si>
  <si>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</si>
  <si>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</si>
  <si>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</si>
  <si>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</si>
  <si>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</si>
  <si>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</si>
  <si>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</si>
  <si>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</si>
  <si>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</si>
  <si>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</si>
  <si>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</si>
  <si>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</si>
  <si>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</si>
  <si>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</si>
  <si>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</si>
  <si>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</si>
  <si>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</si>
  <si>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</si>
  <si>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</si>
  <si>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</si>
  <si>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</si>
  <si>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</si>
  <si>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</si>
  <si>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</si>
  <si>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</si>
  <si>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</si>
  <si>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</si>
  <si>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</si>
  <si>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</si>
  <si>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</si>
  <si>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</si>
  <si>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</si>
  <si>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</si>
  <si>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</si>
  <si>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</si>
  <si>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</si>
  <si>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</si>
  <si>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</si>
  <si>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</si>
  <si>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</si>
  <si>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</si>
  <si>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</si>
  <si>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</si>
  <si>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</si>
  <si>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</si>
  <si>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</si>
  <si>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</si>
  <si>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</si>
  <si>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</si>
  <si>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</si>
  <si>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</si>
  <si>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</si>
  <si>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</si>
  <si>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</si>
  <si>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</si>
  <si>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</si>
  <si>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</si>
  <si>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</si>
  <si>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</si>
  <si>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</si>
  <si>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</si>
  <si>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</si>
  <si>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</si>
  <si>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</si>
  <si>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</si>
  <si>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</si>
  <si>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</si>
  <si>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</si>
  <si>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</si>
  <si>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</si>
  <si>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</si>
  <si>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</si>
  <si>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</si>
  <si>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</si>
  <si>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</si>
  <si>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</si>
  <si>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</si>
  <si>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</si>
  <si>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</si>
  <si>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</si>
  <si>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</si>
  <si>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</si>
  <si>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</si>
  <si>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</si>
  <si>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</si>
  <si>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</si>
  <si>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</si>
  <si>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</si>
  <si>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</si>
  <si>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</si>
  <si>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</si>
  <si>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</si>
  <si>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</si>
  <si>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</si>
  <si>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</si>
  <si>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</si>
  <si>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</si>
  <si>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</si>
  <si>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</si>
  <si>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</si>
  <si>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</si>
  <si>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</si>
  <si>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</si>
  <si>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</si>
  <si>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</si>
  <si>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</si>
  <si>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</si>
  <si>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</si>
  <si>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</si>
  <si>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</si>
  <si>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</si>
  <si>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</si>
  <si>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</si>
  <si>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</si>
  <si>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</si>
  <si>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</si>
  <si>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</si>
  <si>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</si>
  <si>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</si>
  <si>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</si>
  <si>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</si>
  <si>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</si>
  <si>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</si>
  <si>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</si>
  <si>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</si>
  <si>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</si>
  <si>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</si>
  <si>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</si>
  <si>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</si>
  <si>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</si>
  <si>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</si>
  <si>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</si>
  <si>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</si>
  <si>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</si>
  <si>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</si>
  <si>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</si>
  <si>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</si>
  <si>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</si>
  <si>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</si>
  <si>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</si>
  <si>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</si>
  <si>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</si>
  <si>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</si>
  <si>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</si>
  <si>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</si>
  <si>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</si>
  <si>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</si>
  <si>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</si>
  <si>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</si>
  <si>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</si>
  <si>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</si>
  <si>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</si>
  <si>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</si>
  <si>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</si>
  <si>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</si>
  <si>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</si>
  <si>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</si>
  <si>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</si>
  <si>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</si>
  <si>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</si>
  <si>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</si>
  <si>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</si>
  <si>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</si>
  <si>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</si>
  <si>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</si>
  <si>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</si>
  <si>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</si>
  <si>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</si>
  <si>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</si>
  <si>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</si>
  <si>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</si>
  <si>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</si>
  <si>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</si>
  <si>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</si>
  <si>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</si>
  <si>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</si>
  <si>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</si>
  <si>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</si>
  <si>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</si>
  <si>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</si>
  <si>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</si>
  <si>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</si>
  <si>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</si>
  <si>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</si>
  <si>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</si>
  <si>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</si>
  <si>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</si>
  <si>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</si>
  <si>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</si>
  <si>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</si>
  <si>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</si>
  <si>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</si>
  <si>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</si>
  <si>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</si>
  <si>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</si>
  <si>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</si>
  <si>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</si>
  <si>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</si>
  <si>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</si>
  <si>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</si>
  <si>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</si>
  <si>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</si>
  <si>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</si>
  <si>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</si>
  <si>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</si>
  <si>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</si>
  <si>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</si>
  <si>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</si>
  <si>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</si>
  <si>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</si>
  <si>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</si>
  <si>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</si>
  <si>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</si>
  <si>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</si>
  <si>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</si>
  <si>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</si>
  <si>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</si>
  <si>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</si>
  <si>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</si>
  <si>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</si>
  <si>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</si>
  <si>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</si>
  <si>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</si>
  <si>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</si>
  <si>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</si>
  <si>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</si>
  <si>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</si>
  <si>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</si>
  <si>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</si>
  <si>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</si>
  <si>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</si>
  <si>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</si>
  <si>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</si>
  <si>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</si>
  <si>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</si>
  <si>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</si>
  <si>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</si>
  <si>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</si>
  <si>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</si>
  <si>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</si>
  <si>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</si>
  <si>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</si>
  <si>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</si>
  <si>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</si>
  <si>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</si>
  <si>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</si>
  <si>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</si>
  <si>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</si>
  <si>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</si>
  <si>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</si>
  <si>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</si>
  <si>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</si>
  <si>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</si>
  <si>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</si>
  <si>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</si>
  <si>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</si>
  <si>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</si>
  <si>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</si>
  <si>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</si>
  <si>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</si>
  <si>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</si>
  <si>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</si>
  <si>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</si>
  <si>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</si>
  <si>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</si>
  <si>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</si>
  <si>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</si>
  <si>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</si>
  <si>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</si>
  <si>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</si>
  <si>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</si>
  <si>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</si>
  <si>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</si>
  <si>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</si>
  <si>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</si>
  <si>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</si>
  <si>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</si>
  <si>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</si>
  <si>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</si>
  <si>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</si>
  <si>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</si>
  <si>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</si>
  <si>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</si>
  <si>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</si>
  <si>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</si>
  <si>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</si>
  <si>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</si>
  <si>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</si>
  <si>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</si>
  <si>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</si>
  <si>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</si>
  <si>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</si>
  <si>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</si>
  <si>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</si>
  <si>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</si>
  <si>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</si>
  <si>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</si>
  <si>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</si>
  <si>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</si>
  <si>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</si>
  <si>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</si>
  <si>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</si>
  <si>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</si>
  <si>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</si>
  <si>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</si>
  <si>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</si>
  <si>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</si>
  <si>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</si>
  <si>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</si>
  <si>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</si>
  <si>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</si>
  <si>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</si>
  <si>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</si>
  <si>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</si>
  <si>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</si>
  <si>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</si>
  <si>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</si>
  <si>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</si>
  <si>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</si>
  <si>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</si>
  <si>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</si>
  <si>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</si>
  <si>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</si>
  <si>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</si>
  <si>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</si>
  <si>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</si>
  <si>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</si>
  <si>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</si>
  <si>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</si>
  <si>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</si>
  <si>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</si>
  <si>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</si>
  <si>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</si>
  <si>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</si>
  <si>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</si>
  <si>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</si>
  <si>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</si>
  <si>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3101103##</t>
  </si>
  <si>
    <t>3101024##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</si>
  <si>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</si>
  <si>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</si>
  <si>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</si>
  <si>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</si>
  <si>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</si>
  <si>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</si>
  <si>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</si>
  <si>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</si>
  <si>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</si>
  <si>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</si>
  <si>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</si>
  <si>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</si>
  <si>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</si>
  <si>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</si>
  <si>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</si>
  <si>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</si>
  <si>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</si>
  <si>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</si>
  <si>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</si>
  <si>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</si>
  <si>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</si>
  <si>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</si>
  <si>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</si>
  <si>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</si>
  <si>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</si>
  <si>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</si>
  <si>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</si>
  <si>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</si>
  <si>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</si>
  <si>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</si>
  <si>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</si>
  <si>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</si>
  <si>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</si>
  <si>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</si>
  <si>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</si>
  <si>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</si>
  <si>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</si>
  <si>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</si>
  <si>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</si>
  <si>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</si>
  <si>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</si>
  <si>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</si>
  <si>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</si>
  <si>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</si>
  <si>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</si>
  <si>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</si>
  <si>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</si>
  <si>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</si>
  <si>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</si>
  <si>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</si>
  <si>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</si>
  <si>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</si>
  <si>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</si>
  <si>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</si>
  <si>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</si>
  <si>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</si>
  <si>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</si>
  <si>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</si>
  <si>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</si>
  <si>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</si>
  <si>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</si>
  <si>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</si>
  <si>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</si>
  <si>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</si>
  <si>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</si>
  <si>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</si>
  <si>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</si>
  <si>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</si>
  <si>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</si>
  <si>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</si>
  <si>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</si>
  <si>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</si>
  <si>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</si>
  <si>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</si>
  <si>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</si>
  <si>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</si>
  <si>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</si>
  <si>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</si>
  <si>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</si>
  <si>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</si>
  <si>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</si>
  <si>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</si>
  <si>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</si>
  <si>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</si>
  <si>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</si>
  <si>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</si>
  <si>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</si>
  <si>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</si>
  <si>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</si>
  <si>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</si>
  <si>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</si>
  <si>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</si>
  <si>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</si>
  <si>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</si>
  <si>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</si>
  <si>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</si>
  <si>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</si>
  <si>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</si>
  <si>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</si>
  <si>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</si>
  <si>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</si>
  <si>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</si>
  <si>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</si>
  <si>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</si>
  <si>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</si>
  <si>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</si>
  <si>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</si>
  <si>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</si>
  <si>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</si>
  <si>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</si>
  <si>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</si>
  <si>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</si>
  <si>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</si>
  <si>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</si>
  <si>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</si>
  <si>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</si>
  <si>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</si>
  <si>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</si>
  <si>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</si>
  <si>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</si>
  <si>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</si>
  <si>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</si>
  <si>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</si>
  <si>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</si>
  <si>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</si>
  <si>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</si>
  <si>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</si>
  <si>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</si>
  <si>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</si>
  <si>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</si>
  <si>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</si>
  <si>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</si>
  <si>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</si>
  <si>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</si>
  <si>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</si>
  <si>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</si>
  <si>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</si>
  <si>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</si>
  <si>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</si>
  <si>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</si>
  <si>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</si>
  <si>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</si>
  <si>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</si>
  <si>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</si>
  <si>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</si>
  <si>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</si>
  <si>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</si>
  <si>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</si>
  <si>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</si>
  <si>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</si>
  <si>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</si>
  <si>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</si>
  <si>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</si>
  <si>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</si>
  <si>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</si>
  <si>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</si>
  <si>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</si>
  <si>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</si>
  <si>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</si>
  <si>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</si>
  <si>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</si>
  <si>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</si>
  <si>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</si>
  <si>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</si>
  <si>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</si>
  <si>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</si>
  <si>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</si>
  <si>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</si>
  <si>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</si>
  <si>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</si>
  <si>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</si>
  <si>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</si>
  <si>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</si>
  <si>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</si>
  <si>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</si>
  <si>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</si>
  <si>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</si>
  <si>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</si>
  <si>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</si>
  <si>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</si>
  <si>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</si>
  <si>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</si>
  <si>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</si>
  <si>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</si>
  <si>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</si>
  <si>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</si>
  <si>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</si>
  <si>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</si>
  <si>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</si>
  <si>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</si>
  <si>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</si>
  <si>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</si>
  <si>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</si>
  <si>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</si>
  <si>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</si>
  <si>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</si>
  <si>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</si>
  <si>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</si>
  <si>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</si>
  <si>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</si>
  <si>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</si>
  <si>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</si>
  <si>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</si>
  <si>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</si>
  <si>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</si>
  <si>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</si>
  <si>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</si>
  <si>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</si>
  <si>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</si>
  <si>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</si>
  <si>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</si>
  <si>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</si>
  <si>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</si>
  <si>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</si>
  <si>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</si>
  <si>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</si>
  <si>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</si>
  <si>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</si>
  <si>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</si>
  <si>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</si>
  <si>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</si>
  <si>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</si>
  <si>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</si>
  <si>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</si>
  <si>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</si>
  <si>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</si>
  <si>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</si>
  <si>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</si>
  <si>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</si>
  <si>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</si>
  <si>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</si>
  <si>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</si>
  <si>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</si>
  <si>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</si>
  <si>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</si>
  <si>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</si>
  <si>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</si>
  <si>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</si>
  <si>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</si>
  <si>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</si>
  <si>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</si>
  <si>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</si>
  <si>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</si>
  <si>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</si>
  <si>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</si>
  <si>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</si>
  <si>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</si>
  <si>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</si>
  <si>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</si>
  <si>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</si>
  <si>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</si>
  <si>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</si>
  <si>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</si>
  <si>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</si>
  <si>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</si>
  <si>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</si>
  <si>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</si>
  <si>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</si>
  <si>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</si>
  <si>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</si>
  <si>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</si>
  <si>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</si>
  <si>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</si>
  <si>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</si>
  <si>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</si>
  <si>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</si>
  <si>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</si>
  <si>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</si>
  <si>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</si>
  <si>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</si>
  <si>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</si>
  <si>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</si>
  <si>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</si>
  <si>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</si>
  <si>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</si>
  <si>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</si>
  <si>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</si>
  <si>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</si>
  <si>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</si>
  <si>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</si>
  <si>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</si>
  <si>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</si>
  <si>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</si>
  <si>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</si>
  <si>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</si>
  <si>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</si>
  <si>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</si>
  <si>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</si>
  <si>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</si>
  <si>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</si>
  <si>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</si>
  <si>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</si>
  <si>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</si>
  <si>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</si>
  <si>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</si>
  <si>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</si>
  <si>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</si>
  <si>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</si>
  <si>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</si>
  <si>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</si>
  <si>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</si>
  <si>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</si>
  <si>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</si>
  <si>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</si>
  <si>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</si>
  <si>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</si>
  <si>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</si>
  <si>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</si>
  <si>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</si>
  <si>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</si>
  <si>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</si>
  <si>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</si>
  <si>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</si>
  <si>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</si>
  <si>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</si>
  <si>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</si>
  <si>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</si>
  <si>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</si>
  <si>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</si>
  <si>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</si>
  <si>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</si>
  <si>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</si>
  <si>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</si>
  <si>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</si>
  <si>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</si>
  <si>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</si>
  <si>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</si>
  <si>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</si>
  <si>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</si>
  <si>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</si>
  <si>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</si>
  <si>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</si>
  <si>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</si>
  <si>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</si>
  <si>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</si>
  <si>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</si>
  <si>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</si>
  <si>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</si>
  <si>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</si>
  <si>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</si>
  <si>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</si>
  <si>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</si>
  <si>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</si>
  <si>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</si>
  <si>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</si>
  <si>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</si>
  <si>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</si>
  <si>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</si>
  <si>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</si>
  <si>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</si>
  <si>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</si>
  <si>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</si>
  <si>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</si>
  <si>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</si>
  <si>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</si>
  <si>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</si>
  <si>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</si>
  <si>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</si>
  <si>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</si>
  <si>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</si>
  <si>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</si>
  <si>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</si>
  <si>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</si>
  <si>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</si>
  <si>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</si>
  <si>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</si>
  <si>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</si>
  <si>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</si>
  <si>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</si>
  <si>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</si>
  <si>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</si>
  <si>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</si>
  <si>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</si>
  <si>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</si>
  <si>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</si>
  <si>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</si>
  <si>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</si>
  <si>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</si>
  <si>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</si>
  <si>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</si>
  <si>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</si>
  <si>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</si>
  <si>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</si>
  <si>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</si>
  <si>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</si>
  <si>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</si>
  <si>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</si>
  <si>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</si>
  <si>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</si>
  <si>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</si>
  <si>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</si>
  <si>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</si>
  <si>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</si>
  <si>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</si>
  <si>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</si>
  <si>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</si>
  <si>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</si>
  <si>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</si>
  <si>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</si>
  <si>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</si>
  <si>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</si>
  <si>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</si>
  <si>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</si>
  <si>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</si>
  <si>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</si>
  <si>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</si>
  <si>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</si>
  <si>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</si>
  <si>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</si>
  <si>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</si>
  <si>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</si>
  <si>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</si>
  <si>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</si>
  <si>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</si>
  <si>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</si>
  <si>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</si>
  <si>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</si>
  <si>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</si>
  <si>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</si>
  <si>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</si>
  <si>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</si>
  <si>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</si>
  <si>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</si>
  <si>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</si>
  <si>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</si>
  <si>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</si>
  <si>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</si>
  <si>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</si>
  <si>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</si>
  <si>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</si>
  <si>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</si>
  <si>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</si>
  <si>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</si>
  <si>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</si>
  <si>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</si>
  <si>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</si>
  <si>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</si>
  <si>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</si>
  <si>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</si>
  <si>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</si>
  <si>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</si>
  <si>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</si>
  <si>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</si>
  <si>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</si>
  <si>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</si>
  <si>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</si>
  <si>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</si>
  <si>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</si>
  <si>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</si>
  <si>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</si>
  <si>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</si>
  <si>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</si>
  <si>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</si>
  <si>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</si>
  <si>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</si>
  <si>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</si>
  <si>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</si>
  <si>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</si>
  <si>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</si>
  <si>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</si>
  <si>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</si>
  <si>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</si>
  <si>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</si>
  <si>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</si>
  <si>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</si>
  <si>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</si>
  <si>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</si>
  <si>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</si>
  <si>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</si>
  <si>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</si>
  <si>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</si>
  <si>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</si>
  <si>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</si>
  <si>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</si>
  <si>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</si>
  <si>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</si>
  <si>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</si>
  <si>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</si>
  <si>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</si>
  <si>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</si>
  <si>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</si>
  <si>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</si>
  <si>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</si>
  <si>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</si>
  <si>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</si>
  <si>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</si>
  <si>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</si>
  <si>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</si>
  <si>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</si>
  <si>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</si>
  <si>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</si>
  <si>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</si>
  <si>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</si>
  <si>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</si>
  <si>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</si>
  <si>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</si>
  <si>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</si>
  <si>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</si>
  <si>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</si>
  <si>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</si>
  <si>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</si>
  <si>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</si>
  <si>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</si>
  <si>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</si>
  <si>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</si>
  <si>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</si>
  <si>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</si>
  <si>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</si>
  <si>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</si>
  <si>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</si>
  <si>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</si>
  <si>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</si>
  <si>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</si>
  <si>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</si>
  <si>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</si>
  <si>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</si>
  <si>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</si>
  <si>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</si>
  <si>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</si>
  <si>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</si>
  <si>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</si>
  <si>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</si>
  <si>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</si>
  <si>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</si>
  <si>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</si>
  <si>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</si>
  <si>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</si>
  <si>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</si>
  <si>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</si>
  <si>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</si>
  <si>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</si>
  <si>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</si>
  <si>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</si>
  <si>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</si>
  <si>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</si>
  <si>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</si>
  <si>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</si>
  <si>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</si>
  <si>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</si>
  <si>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</si>
  <si>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</si>
  <si>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</si>
  <si>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</si>
  <si>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</si>
  <si>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</si>
  <si>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</si>
  <si>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</si>
  <si>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</si>
  <si>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</si>
  <si>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</si>
  <si>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</si>
  <si>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</si>
  <si>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</si>
  <si>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</si>
  <si>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</si>
  <si>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</si>
  <si>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</si>
  <si>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</si>
  <si>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</si>
  <si>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</si>
  <si>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</si>
  <si>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</si>
  <si>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</si>
  <si>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</si>
  <si>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</si>
  <si>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</si>
  <si>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</si>
  <si>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</si>
  <si>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</si>
  <si>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</si>
  <si>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</si>
  <si>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</si>
  <si>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</si>
  <si>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</si>
  <si>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</si>
  <si>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</si>
  <si>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</si>
  <si>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</si>
  <si>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</si>
  <si>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</si>
  <si>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</si>
  <si>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</si>
  <si>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</si>
  <si>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</si>
  <si>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</si>
  <si>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</si>
  <si>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</si>
  <si>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</si>
  <si>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</si>
  <si>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</si>
  <si>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</si>
  <si>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</si>
  <si>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</si>
  <si>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</si>
  <si>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</si>
  <si>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</si>
  <si>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</si>
  <si>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</si>
  <si>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</si>
  <si>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</si>
  <si>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</si>
  <si>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</si>
  <si>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</si>
  <si>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</si>
  <si>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</si>
  <si>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</si>
  <si>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</si>
  <si>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</si>
  <si>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</si>
  <si>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</si>
  <si>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</si>
  <si>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</si>
  <si>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</si>
  <si>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</si>
  <si>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</si>
  <si>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</si>
  <si>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</si>
  <si>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</si>
  <si>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</si>
  <si>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</si>
  <si>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</si>
  <si>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</si>
  <si>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</si>
  <si>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</si>
  <si>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</si>
  <si>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</si>
  <si>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</si>
  <si>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</si>
  <si>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</si>
  <si>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</si>
  <si>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</si>
  <si>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</si>
  <si>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</si>
  <si>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</si>
  <si>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</si>
  <si>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</si>
  <si>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</si>
  <si>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</si>
  <si>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</si>
  <si>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</si>
  <si>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</si>
  <si>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</si>
  <si>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</si>
  <si>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</si>
  <si>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</si>
  <si>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</si>
  <si>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</si>
  <si>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</si>
  <si>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</si>
  <si>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</si>
  <si>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</si>
  <si>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</si>
  <si>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</si>
  <si>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</si>
  <si>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</si>
  <si>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</si>
  <si>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</si>
  <si>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</si>
  <si>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</si>
  <si>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</si>
  <si>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</si>
  <si>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</si>
  <si>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</si>
  <si>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</si>
  <si>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</si>
  <si>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</si>
  <si>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</si>
  <si>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</si>
  <si>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</si>
  <si>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</si>
  <si>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</si>
  <si>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</si>
  <si>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</si>
  <si>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</si>
  <si>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</si>
  <si>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</si>
  <si>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</si>
  <si>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</si>
  <si>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</si>
  <si>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</si>
  <si>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</si>
  <si>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</si>
  <si>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</si>
  <si>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</si>
  <si>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</si>
  <si>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</si>
  <si>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</si>
  <si>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</si>
  <si>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</si>
  <si>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</si>
  <si>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</si>
  <si>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</si>
  <si>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</si>
  <si>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</si>
  <si>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</si>
  <si>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</si>
  <si>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</si>
  <si>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</si>
  <si>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</si>
  <si>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</si>
  <si>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</si>
  <si>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</si>
  <si>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</si>
  <si>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</si>
  <si>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</si>
  <si>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</si>
  <si>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</si>
  <si>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</si>
  <si>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</si>
  <si>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</si>
  <si>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</si>
  <si>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</si>
  <si>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</si>
  <si>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</si>
  <si>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</si>
  <si>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</si>
  <si>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</si>
  <si>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</si>
  <si>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</si>
  <si>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</si>
  <si>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</si>
  <si>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</si>
  <si>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</si>
  <si>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</si>
  <si>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</si>
  <si>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</si>
  <si>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</si>
  <si>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</si>
  <si>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</si>
  <si>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</si>
  <si>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</si>
  <si>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</si>
  <si>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</si>
  <si>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</si>
  <si>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</si>
  <si>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</si>
  <si>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</si>
  <si>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</si>
  <si>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</si>
  <si>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</si>
  <si>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</si>
  <si>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</si>
  <si>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</si>
  <si>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</si>
  <si>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</si>
  <si>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</si>
  <si>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</si>
  <si>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</si>
  <si>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</si>
  <si>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</si>
  <si>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</si>
  <si>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</si>
  <si>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</si>
  <si>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</si>
  <si>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</si>
  <si>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</si>
  <si>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</si>
  <si>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</si>
  <si>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</si>
  <si>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</si>
  <si>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</si>
  <si>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</si>
  <si>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</si>
  <si>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</si>
  <si>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</si>
  <si>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</si>
  <si>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</si>
  <si>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</si>
  <si>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</si>
  <si>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</si>
  <si>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</si>
  <si>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</si>
  <si>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</si>
  <si>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</si>
  <si>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</si>
  <si>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</si>
  <si>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</si>
  <si>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</si>
  <si>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</si>
  <si>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</si>
  <si>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</si>
  <si>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</si>
  <si>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</si>
  <si>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</si>
  <si>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</si>
  <si>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</si>
  <si>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</si>
  <si>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</si>
  <si>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</si>
  <si>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</si>
  <si>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</si>
  <si>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</si>
  <si>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</si>
  <si>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</si>
  <si>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</si>
  <si>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</si>
  <si>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</si>
  <si>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</si>
  <si>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</si>
  <si>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</si>
  <si>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</si>
  <si>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</si>
  <si>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</si>
  <si>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</si>
  <si>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</si>
  <si>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</si>
  <si>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</si>
  <si>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</si>
  <si>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</si>
  <si>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</si>
  <si>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</si>
  <si>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</si>
  <si>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</si>
  <si>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</si>
  <si>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</si>
  <si>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</si>
  <si>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</si>
  <si>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</si>
  <si>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</si>
  <si>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</si>
  <si>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</si>
  <si>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</si>
  <si>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</si>
  <si>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</si>
  <si>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</si>
  <si>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</si>
  <si>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</si>
  <si>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</si>
  <si>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</si>
  <si>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</si>
  <si>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</si>
  <si>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</si>
  <si>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</si>
  <si>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</si>
  <si>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</si>
  <si>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</si>
  <si>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</si>
  <si>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</si>
  <si>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</si>
  <si>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</si>
  <si>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</si>
  <si>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</si>
  <si>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</si>
  <si>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</si>
  <si>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</si>
  <si>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</si>
  <si>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</si>
  <si>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</si>
  <si>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</si>
  <si>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</si>
  <si>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</si>
  <si>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</si>
  <si>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</si>
  <si>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</si>
  <si>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</si>
  <si>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</si>
  <si>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</si>
  <si>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</si>
  <si>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</si>
  <si>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</si>
  <si>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</si>
  <si>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</si>
  <si>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</si>
  <si>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</si>
  <si>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</si>
  <si>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</si>
  <si>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</si>
  <si>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</si>
  <si>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</si>
  <si>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</si>
  <si>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</si>
  <si>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</si>
  <si>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</si>
  <si>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</si>
  <si>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</si>
  <si>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</si>
  <si>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</si>
  <si>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</si>
  <si>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</si>
  <si>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</si>
  <si>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</si>
  <si>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</si>
  <si>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</si>
  <si>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</si>
  <si>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</si>
  <si>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</si>
  <si>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</si>
  <si>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</si>
  <si>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</si>
  <si>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</si>
  <si>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</si>
  <si>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</si>
  <si>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</si>
  <si>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</si>
  <si>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</si>
  <si>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</si>
  <si>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</si>
  <si>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</si>
  <si>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</si>
  <si>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</si>
  <si>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</si>
  <si>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</si>
  <si>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</si>
  <si>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</si>
  <si>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</si>
  <si>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</si>
  <si>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</si>
  <si>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</si>
  <si>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</si>
  <si>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</si>
  <si>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</si>
  <si>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</si>
  <si>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</si>
  <si>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</si>
  <si>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</si>
  <si>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</si>
  <si>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</si>
  <si>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</si>
  <si>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</si>
  <si>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</si>
  <si>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</si>
  <si>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</si>
  <si>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</si>
  <si>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</si>
  <si>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</si>
  <si>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</si>
  <si>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</si>
  <si>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</si>
  <si>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</si>
  <si>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</si>
  <si>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</si>
  <si>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</si>
  <si>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</si>
  <si>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</si>
  <si>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</si>
  <si>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</si>
  <si>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</si>
  <si>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</si>
  <si>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</si>
  <si>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</si>
  <si>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</si>
  <si>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</si>
  <si>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</si>
  <si>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</si>
  <si>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</si>
  <si>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</si>
  <si>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</si>
  <si>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</si>
  <si>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</si>
  <si>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</si>
  <si>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</si>
  <si>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</si>
  <si>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</si>
  <si>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</si>
  <si>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</si>
  <si>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</si>
  <si>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</si>
  <si>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</si>
  <si>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</si>
  <si>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</si>
  <si>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</si>
  <si>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</si>
  <si>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</si>
  <si>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</si>
  <si>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</si>
  <si>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</si>
  <si>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</si>
  <si>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</si>
  <si>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</si>
  <si>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</si>
  <si>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</si>
  <si>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</si>
  <si>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</si>
  <si>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</si>
  <si>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</si>
  <si>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https://raw.githubusercontent.com/edgardoraul/imagenes_rerda/main/3101102/1.jpg,https://raw.githubusercontent.com/edgardoraul/imagenes_rerda/main/3101102/2.jpg,https://raw.githubusercontent.com/edgardoraul/imagenes_rerda/main/3101102/3.jpg</t>
  </si>
  <si>
    <t>https://raw.githubusercontent.com/edgardoraul/imagenes_rerda/main/3101370/1.jpg,https://raw.githubusercontent.com/edgardoraul/imagenes_rerda/main/3101370/2.jpg,https://raw.githubusercontent.com/edgardoraul/imagenes_rerda/main/3101370/3.jpg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</si>
  <si>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</si>
  <si>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</si>
  <si>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</si>
  <si>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</si>
  <si>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</si>
  <si>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</si>
  <si>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</si>
  <si>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</si>
  <si>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</si>
  <si>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</si>
  <si>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</si>
  <si>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</si>
  <si>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</si>
  <si>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</si>
  <si>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</si>
  <si>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</si>
  <si>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</si>
  <si>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</si>
  <si>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</si>
  <si>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</si>
  <si>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</si>
  <si>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</si>
  <si>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</si>
  <si>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</si>
  <si>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</si>
  <si>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</si>
  <si>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</si>
  <si>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</si>
  <si>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</si>
  <si>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</si>
  <si>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</si>
  <si>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</si>
  <si>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</si>
  <si>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</si>
  <si>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</si>
  <si>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</si>
  <si>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</si>
  <si>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</si>
  <si>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</si>
  <si>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</si>
  <si>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</si>
  <si>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</si>
  <si>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</si>
  <si>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</si>
  <si>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</si>
  <si>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</si>
  <si>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</si>
  <si>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</si>
  <si>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</si>
  <si>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</si>
  <si>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</si>
  <si>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</si>
  <si>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</si>
  <si>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</si>
  <si>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</si>
  <si>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</si>
  <si>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</si>
  <si>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</si>
  <si>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</si>
  <si>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</si>
  <si>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</si>
  <si>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</si>
  <si>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</si>
  <si>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</si>
  <si>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</si>
  <si>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</si>
  <si>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</si>
  <si>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</si>
  <si>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</si>
  <si>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</si>
  <si>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</si>
  <si>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</si>
  <si>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</si>
  <si>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</si>
  <si>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</si>
  <si>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</si>
  <si>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</si>
  <si>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</si>
  <si>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</si>
  <si>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</si>
  <si>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</si>
  <si>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</si>
  <si>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</si>
  <si>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</si>
  <si>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</si>
  <si>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</si>
  <si>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</si>
  <si>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</si>
  <si>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</si>
  <si>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</si>
  <si>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</si>
  <si>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</si>
  <si>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</si>
  <si>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</si>
  <si>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</si>
  <si>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</si>
  <si>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</si>
  <si>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</si>
  <si>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</si>
  <si>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</si>
  <si>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</si>
  <si>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</si>
  <si>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</si>
  <si>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</si>
  <si>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</si>
  <si>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</si>
  <si>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</si>
  <si>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</si>
  <si>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</si>
  <si>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</si>
  <si>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</si>
  <si>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</si>
  <si>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</si>
  <si>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</si>
  <si>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</si>
  <si>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</si>
  <si>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</si>
  <si>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</si>
  <si>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</si>
  <si>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</si>
  <si>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</si>
  <si>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</si>
  <si>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</si>
  <si>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</si>
  <si>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</si>
  <si>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</si>
  <si>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</si>
  <si>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</si>
  <si>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</si>
  <si>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</si>
  <si>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</si>
  <si>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</si>
  <si>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</si>
  <si>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</si>
  <si>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</si>
  <si>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</si>
  <si>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</si>
  <si>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</si>
  <si>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</si>
  <si>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</si>
  <si>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</si>
  <si>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</si>
  <si>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</si>
  <si>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</si>
  <si>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</si>
  <si>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</si>
  <si>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</si>
  <si>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</si>
  <si>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</si>
  <si>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</si>
  <si>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</si>
  <si>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</si>
  <si>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</si>
  <si>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</si>
  <si>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</si>
  <si>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</si>
  <si>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</si>
  <si>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</si>
  <si>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</si>
  <si>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</si>
  <si>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</si>
  <si>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</si>
  <si>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</si>
  <si>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</si>
  <si>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</si>
  <si>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</si>
  <si>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</si>
  <si>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</si>
  <si>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</si>
  <si>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</si>
  <si>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</si>
  <si>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</si>
  <si>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</si>
  <si>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</si>
  <si>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</si>
  <si>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</si>
  <si>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</si>
  <si>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</si>
  <si>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</si>
  <si>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</si>
  <si>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</si>
  <si>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</si>
  <si>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</si>
  <si>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</si>
  <si>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</si>
  <si>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</si>
  <si>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</si>
  <si>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</si>
  <si>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</si>
  <si>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</si>
  <si>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</si>
  <si>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</si>
  <si>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</si>
  <si>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</si>
  <si>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</si>
  <si>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</si>
  <si>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</si>
  <si>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</si>
  <si>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</si>
  <si>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</si>
  <si>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</si>
  <si>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</si>
  <si>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</si>
  <si>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</si>
  <si>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</si>
  <si>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</si>
  <si>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</si>
  <si>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</si>
  <si>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</si>
  <si>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</si>
  <si>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</si>
  <si>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</si>
  <si>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</si>
  <si>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</si>
  <si>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</si>
  <si>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</si>
  <si>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</si>
  <si>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</si>
  <si>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</si>
  <si>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</si>
  <si>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</si>
  <si>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</si>
  <si>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</si>
  <si>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</si>
  <si>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</si>
  <si>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</si>
  <si>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</si>
  <si>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</si>
  <si>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</si>
  <si>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</si>
  <si>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</si>
  <si>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</si>
  <si>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</si>
  <si>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</si>
  <si>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</si>
  <si>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</si>
  <si>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</si>
  <si>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</si>
  <si>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</si>
  <si>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</si>
  <si>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</si>
  <si>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</si>
  <si>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</si>
  <si>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</si>
  <si>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</si>
  <si>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</si>
  <si>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</si>
  <si>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</si>
  <si>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</si>
  <si>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</si>
  <si>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</si>
  <si>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</si>
  <si>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</si>
  <si>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</si>
  <si>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</si>
  <si>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</si>
  <si>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</si>
  <si>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</si>
  <si>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</si>
  <si>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</si>
  <si>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</si>
  <si>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</si>
  <si>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</si>
  <si>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</si>
  <si>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</si>
  <si>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</si>
  <si>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</si>
  <si>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</si>
  <si>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</si>
  <si>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</si>
  <si>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</si>
  <si>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</si>
  <si>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</si>
  <si>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</si>
  <si>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</si>
  <si>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</si>
  <si>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</si>
  <si>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</si>
  <si>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</si>
  <si>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</si>
  <si>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</si>
  <si>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</si>
  <si>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</si>
  <si>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</si>
  <si>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</si>
  <si>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</si>
  <si>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</si>
  <si>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</si>
  <si>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</si>
  <si>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</si>
  <si>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</si>
  <si>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</si>
  <si>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</si>
  <si>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</si>
  <si>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</si>
  <si>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</si>
  <si>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</si>
  <si>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</si>
  <si>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</si>
  <si>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</si>
  <si>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</si>
  <si>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</si>
  <si>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</si>
  <si>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</si>
  <si>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</si>
  <si>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</si>
  <si>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</si>
  <si>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</si>
  <si>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</si>
  <si>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</si>
  <si>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</si>
  <si>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</si>
  <si>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</si>
  <si>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</si>
  <si>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</si>
  <si>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</si>
  <si>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</si>
  <si>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</si>
  <si>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</si>
  <si>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</si>
  <si>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</si>
  <si>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</si>
  <si>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</si>
  <si>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</si>
  <si>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</si>
  <si>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</si>
  <si>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</si>
  <si>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</si>
  <si>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</si>
  <si>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</si>
  <si>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</si>
  <si>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</si>
  <si>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</si>
  <si>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</si>
  <si>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</si>
  <si>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</si>
  <si>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</si>
  <si>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</si>
  <si>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</si>
  <si>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</si>
  <si>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</si>
  <si>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</si>
  <si>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</si>
  <si>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</si>
  <si>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</si>
  <si>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</si>
  <si>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</si>
  <si>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</si>
  <si>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</si>
  <si>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</si>
  <si>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</si>
  <si>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</si>
  <si>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</si>
  <si>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</si>
  <si>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</si>
  <si>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</si>
  <si>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</si>
  <si>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</si>
  <si>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</si>
  <si>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</si>
  <si>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</si>
  <si>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</si>
  <si>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</si>
  <si>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</si>
  <si>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</si>
  <si>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</si>
  <si>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</si>
  <si>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</si>
  <si>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</si>
  <si>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</si>
  <si>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</si>
  <si>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</si>
  <si>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</si>
  <si>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</si>
  <si>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</si>
  <si>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</si>
  <si>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</si>
  <si>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</si>
  <si>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</si>
  <si>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</si>
  <si>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</si>
  <si>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</si>
  <si>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</si>
  <si>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</si>
  <si>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</si>
  <si>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</si>
  <si>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</si>
  <si>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</si>
  <si>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</si>
  <si>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</si>
  <si>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</si>
  <si>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</si>
  <si>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</si>
  <si>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</si>
  <si>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</si>
  <si>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</si>
  <si>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</si>
  <si>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</si>
  <si>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</si>
  <si>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</si>
  <si>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</si>
  <si>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</si>
  <si>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</si>
  <si>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</si>
  <si>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</si>
  <si>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</si>
  <si>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</si>
  <si>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</si>
  <si>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</si>
  <si>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</si>
  <si>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</si>
  <si>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</si>
  <si>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</si>
  <si>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</si>
  <si>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</si>
  <si>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</si>
  <si>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</si>
  <si>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</si>
  <si>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</si>
  <si>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</si>
  <si>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</si>
  <si>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</si>
  <si>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</si>
  <si>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</si>
  <si>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</si>
  <si>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</si>
  <si>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</si>
  <si>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</si>
  <si>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</si>
  <si>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</si>
  <si>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</si>
  <si>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</si>
  <si>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</si>
  <si>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</si>
  <si>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</si>
  <si>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</si>
  <si>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</si>
  <si>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</si>
  <si>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</si>
  <si>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</si>
  <si>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</si>
  <si>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</si>
  <si>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</si>
  <si>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</si>
  <si>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</si>
  <si>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</si>
  <si>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</si>
  <si>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</si>
  <si>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</si>
  <si>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</si>
  <si>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</si>
  <si>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</si>
  <si>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</si>
  <si>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</si>
  <si>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</si>
  <si>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</si>
  <si>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</si>
  <si>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</si>
  <si>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</si>
  <si>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</si>
  <si>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</si>
  <si>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</si>
  <si>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</si>
  <si>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</si>
  <si>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</si>
  <si>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</si>
  <si>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</si>
  <si>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</si>
  <si>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</si>
  <si>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</si>
  <si>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</si>
  <si>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</si>
  <si>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</si>
  <si>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</si>
  <si>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</si>
  <si>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</si>
  <si>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</si>
  <si>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</si>
  <si>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</si>
  <si>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</si>
  <si>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</si>
  <si>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</si>
  <si>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</si>
  <si>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</si>
  <si>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</si>
  <si>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</si>
  <si>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</si>
  <si>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</si>
  <si>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</si>
  <si>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</si>
  <si>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</si>
  <si>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</si>
  <si>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</si>
  <si>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</si>
  <si>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</si>
  <si>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</si>
  <si>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</si>
  <si>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</si>
  <si>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</si>
  <si>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</si>
  <si>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</si>
  <si>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</si>
  <si>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</si>
  <si>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</si>
  <si>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</si>
  <si>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</si>
  <si>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</si>
  <si>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</si>
  <si>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</si>
  <si>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</si>
  <si>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</si>
  <si>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</si>
  <si>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</si>
  <si>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</si>
  <si>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</si>
  <si>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</si>
  <si>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</si>
  <si>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</si>
  <si>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</si>
  <si>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</si>
  <si>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</si>
  <si>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</si>
  <si>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</si>
  <si>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</si>
  <si>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</si>
  <si>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</si>
  <si>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</si>
  <si>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</si>
  <si>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</si>
  <si>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</si>
  <si>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</si>
  <si>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</si>
  <si>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</si>
  <si>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</si>
  <si>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</si>
  <si>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</si>
  <si>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</si>
  <si>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</si>
  <si>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</si>
  <si>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</si>
  <si>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</si>
  <si>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</si>
  <si>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</si>
  <si>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</si>
  <si>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</si>
  <si>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</si>
  <si>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</si>
  <si>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</si>
  <si>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</si>
  <si>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</si>
  <si>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</si>
  <si>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</si>
  <si>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</si>
  <si>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</si>
  <si>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</si>
  <si>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</si>
  <si>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</si>
  <si>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</si>
  <si>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</si>
  <si>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</si>
  <si>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</si>
  <si>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</si>
  <si>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</si>
  <si>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</si>
  <si>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</si>
  <si>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</si>
  <si>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</si>
  <si>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</si>
  <si>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</si>
  <si>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</si>
  <si>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</si>
  <si>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</si>
  <si>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</si>
  <si>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</si>
  <si>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</si>
  <si>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</si>
  <si>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</si>
  <si>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</si>
  <si>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</si>
  <si>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</si>
  <si>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</si>
  <si>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</si>
  <si>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</si>
  <si>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</si>
  <si>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</si>
  <si>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</si>
  <si>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</si>
  <si>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</si>
  <si>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</si>
  <si>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</si>
  <si>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</si>
  <si>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</si>
  <si>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</si>
  <si>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</si>
  <si>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</si>
  <si>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</si>
  <si>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</si>
  <si>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</si>
  <si>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</si>
  <si>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</si>
  <si>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</si>
  <si>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</si>
  <si>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</si>
  <si>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</si>
  <si>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</si>
  <si>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</si>
  <si>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</si>
  <si>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</si>
  <si>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</si>
  <si>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</si>
  <si>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</si>
  <si>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</si>
  <si>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</si>
  <si>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</si>
  <si>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</si>
  <si>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</si>
  <si>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</si>
  <si>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</si>
  <si>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</si>
  <si>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</si>
  <si>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</si>
  <si>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</si>
  <si>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</si>
  <si>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</si>
  <si>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</si>
  <si>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</si>
  <si>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</si>
  <si>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</si>
  <si>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</si>
  <si>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</si>
  <si>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</si>
  <si>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</si>
  <si>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</si>
  <si>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</si>
  <si>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</si>
  <si>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</si>
  <si>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</si>
  <si>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</si>
  <si>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</si>
  <si>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</si>
  <si>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</si>
  <si>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</si>
  <si>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</si>
  <si>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</si>
  <si>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</si>
  <si>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</si>
  <si>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</si>
  <si>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</si>
  <si>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</si>
  <si>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</si>
  <si>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</si>
  <si>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</si>
  <si>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</si>
  <si>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</si>
  <si>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</si>
  <si>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</si>
  <si>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</si>
  <si>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</si>
  <si>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</si>
  <si>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</si>
  <si>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</si>
  <si>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</si>
  <si>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</si>
  <si>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</si>
  <si>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</si>
  <si>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</si>
  <si>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</si>
  <si>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9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</si>
  <si>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9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</si>
  <si>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9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</si>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</sst>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3"/>
  <sheetViews>
    <sheetView tabSelected="1" workbookViewId="0">
      <pane ySplit="1" topLeftCell="A553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13884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IFERROR(VLOOKUP(1*LEFT(C3,7),DF!$A$1:$F$9447,2,FALSE),"")</f>
        <v>BOMB AMER RIP DIGITAL ACU 50/54 RER</v>
      </c>
      <c r="F3">
        <v>1120165</v>
      </c>
      <c r="G3" t="s">
        <v>13884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IFERROR(VLOOKUP(1*LEFT(C4,7),DF!$A$1:$F$9447,2,FALSE),"")</f>
        <v>BOMB AMER RIP DIGITAL ACU 56/60 RER</v>
      </c>
      <c r="F4">
        <v>1120165</v>
      </c>
      <c r="G4" t="s">
        <v>13884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IFERROR(VLOOKUP(1*LEFT(C5,7),DF!$A$1:$F$9447,2,FALSE),"")</f>
        <v>BOMB AMER RIP DIGITAL ACU 62/66 RER</v>
      </c>
      <c r="F5">
        <v>1120165</v>
      </c>
      <c r="G5" t="s">
        <v>13884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13885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13885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13885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13885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13886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13886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13886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13886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13887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13887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13887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13887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13888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IFERROR(VLOOKUP(1*LEFT(C19,7),DF!$A$1:$F$9447,2,FALSE),"")</f>
        <v>BOMB CLAS GAB PETREO 34/48 RER</v>
      </c>
      <c r="F19">
        <v>1120286</v>
      </c>
      <c r="G19" t="s">
        <v>13888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IFERROR(VLOOKUP(1*LEFT(C20,7),DF!$A$1:$F$9447,2,FALSE),"")</f>
        <v>BOMB CLAS GAB PETREO 50/54 RER</v>
      </c>
      <c r="F20">
        <v>1120286</v>
      </c>
      <c r="G20" t="s">
        <v>13888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IFERROR(VLOOKUP(1*LEFT(C21,7),DF!$A$1:$F$9447,2,FALSE),"")</f>
        <v>BOMB CLAS GAB PETREO 56/60 RER</v>
      </c>
      <c r="F21">
        <v>1120286</v>
      </c>
      <c r="G21" t="s">
        <v>13888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13889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IFERROR(VLOOKUP(1*LEFT(C23,7),DF!$A$1:$F$9447,2,FALSE),"")</f>
        <v>BOMB CLAS RIP AZUL DAMA/SPANDE 50/54 RER</v>
      </c>
      <c r="F23">
        <v>1120710</v>
      </c>
      <c r="G23" t="s">
        <v>13889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13890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13890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13891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13891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13892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IFERROR(VLOOKUP(1*LEFT(C29,7),DF!$A$1:$F$9447,2,FALSE),"")</f>
        <v>BOMB CLAS RIP MULTICAM 50/54 RER</v>
      </c>
      <c r="F29">
        <v>1120323</v>
      </c>
      <c r="G29" t="s">
        <v>13892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IFERROR(VLOOKUP(1*LEFT(C30,7),DF!$A$1:$F$9447,2,FALSE),"")</f>
        <v>BOMB CLAS RIP MULTICAM 56/60 RER</v>
      </c>
      <c r="F30">
        <v>1120323</v>
      </c>
      <c r="G30" t="s">
        <v>13892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IFERROR(VLOOKUP(1*LEFT(C31,7),DF!$A$1:$F$9447,2,FALSE),"")</f>
        <v>BOMB CLAS RIP MULTICAM 62/66 RER</v>
      </c>
      <c r="F31">
        <v>1120323</v>
      </c>
      <c r="G31" t="s">
        <v>13892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13893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IFERROR(VLOOKUP(1*LEFT(C33,7),DF!$A$1:$F$9447,2,FALSE),"")</f>
        <v>BOMB CLAS RIP NEGRA DAMA/SPANDE 50/54RER</v>
      </c>
      <c r="F33">
        <v>1120910</v>
      </c>
      <c r="G33" t="s">
        <v>13893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13894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13894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13894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IFERROR(VLOOKUP(1*LEFT(C37,7),DF!$A$1:$F$9447,2,FALSE),"")</f>
        <v>BOMB JAZAK GAB AZUL 62/66 RER</v>
      </c>
      <c r="F37" s="7">
        <v>1120196</v>
      </c>
      <c r="G37" t="s">
        <v>13894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13895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13895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13896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13896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IFERROR(VLOOKUP(1*LEFT(C42,7),DF!$A$1:$F$9447,2,FALSE),"")</f>
        <v>BOMB TERMICA AZUL 56/60 RER</v>
      </c>
      <c r="F42">
        <v>1120173</v>
      </c>
      <c r="G42" t="s">
        <v>13896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IFERROR(VLOOKUP(1*LEFT(C43,7),DF!$A$1:$F$9447,2,FALSE),"")</f>
        <v>BOMB TERMICA AZUL 62/66 RER</v>
      </c>
      <c r="F43">
        <v>1120173</v>
      </c>
      <c r="G43" t="s">
        <v>13896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13897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13897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IFERROR(VLOOKUP(1*LEFT(C46,7),DF!$A$1:$F$9447,2,FALSE),"")</f>
        <v>BOMB TERMICA NEGRA 56/60 RER</v>
      </c>
      <c r="F46">
        <v>1120414</v>
      </c>
      <c r="G46" t="s">
        <v>13897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IFERROR(VLOOKUP(1*LEFT(C47,7),DF!$A$1:$F$9447,2,FALSE),"")</f>
        <v>BOMB TERMICA NEGRA 62/66 RER</v>
      </c>
      <c r="F47">
        <v>1120414</v>
      </c>
      <c r="G47" t="s">
        <v>13897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13898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13899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13900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13901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13902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13903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13904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13905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13906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13907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13908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13909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13910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12143</v>
      </c>
      <c r="E61" t="str">
        <f>IFERROR(VLOOKUP(1*LEFT(C61,7),DF!$A$1:$F$9447,2,FALSE),"")</f>
        <v>BUZO FRIZA AZUL CON CIERRE 3XL/4XL RER</v>
      </c>
      <c r="F61" s="3">
        <v>2601495</v>
      </c>
      <c r="G61" t="s">
        <v>13911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13911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13912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12145</v>
      </c>
      <c r="E64" t="str">
        <f>IFERROR(VLOOKUP(1*LEFT(C64,7),DF!$A$1:$F$9447,2,FALSE),"")</f>
        <v>BUZO FRIZA GRIS CON CIERRE 3XL/4XL RER</v>
      </c>
      <c r="F64" s="3">
        <v>2601850</v>
      </c>
      <c r="G64" t="s">
        <v>13912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12144</v>
      </c>
      <c r="E65" t="str">
        <f>IFERROR(VLOOKUP(1*LEFT(C65,7),DF!$A$1:$F$9447,2,FALSE),"")</f>
        <v>BUZO FRIZA NEGRO CON CIERRE 3XL/4XL RER</v>
      </c>
      <c r="F65" s="3">
        <v>2601900</v>
      </c>
      <c r="G65" t="s">
        <v>13913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13913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13914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12396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13914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12417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13914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12397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13914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13915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13915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12404</v>
      </c>
      <c r="E73" t="str">
        <f>IFERROR(VLOOKUP(1*LEFT(C73,7),DF!$A$1:$F$9447,2,FALSE),"")</f>
        <v>CAMISA MC BAT AZUL CORBATA 52/56 RER</v>
      </c>
      <c r="F73">
        <v>4120600</v>
      </c>
      <c r="G73" t="s">
        <v>13915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13916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12413</v>
      </c>
      <c r="E75" t="str">
        <f>IFERROR(VLOOKUP(1*LEFT(C75,7),DF!$A$1:$F$9447,2,FALSE),"")</f>
        <v>CAMISA MC BAT AZUL CORBATA VIP 46/50</v>
      </c>
      <c r="F75">
        <v>4120300</v>
      </c>
      <c r="G75" t="s">
        <v>13916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12414</v>
      </c>
      <c r="E76" t="str">
        <f>IFERROR(VLOOKUP(1*LEFT(C76,7),DF!$A$1:$F$9447,2,FALSE),"")</f>
        <v>CAMISA MC BAT AZUL CORBATA VIP 52/56</v>
      </c>
      <c r="F76">
        <v>4120300</v>
      </c>
      <c r="G76" t="s">
        <v>13916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13917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13917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13917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12384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13918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13918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13918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10864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13918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12385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13918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13919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12407</v>
      </c>
      <c r="E86" t="str">
        <f>IFERROR(VLOOKUP(1*LEFT(C86,7),DF!$A$1:$F$9447,2,FALSE),"")</f>
        <v>CAMISA MC BAT BLANCA CORBATA 46/50 RER</v>
      </c>
      <c r="F86">
        <v>4120038</v>
      </c>
      <c r="G86" t="s">
        <v>13919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12408</v>
      </c>
      <c r="E87" t="str">
        <f>IFERROR(VLOOKUP(1*LEFT(C87,7),DF!$A$1:$F$9447,2,FALSE),"")</f>
        <v>CAMISA MC BAT BLANCA CORBATA 52/56 RER</v>
      </c>
      <c r="F87">
        <v>4120038</v>
      </c>
      <c r="G87" t="s">
        <v>13919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12409</v>
      </c>
      <c r="E88" t="str">
        <f>IFERROR(VLOOKUP(1*LEFT(C88,7),DF!$A$1:$F$9447,2,FALSE),"")</f>
        <v>CAMISA MC BAT BLANCA CORBATA 58/62 RER</v>
      </c>
      <c r="F88">
        <v>4120038</v>
      </c>
      <c r="G88" t="s">
        <v>13919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13920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13920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10858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13920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10859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13920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12386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13920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13921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13921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12405</v>
      </c>
      <c r="E96" t="str">
        <f>IFERROR(VLOOKUP(1*LEFT(C96,7),DF!$A$1:$F$9447,2,FALSE),"")</f>
        <v>CAMISA MC BAT CEL CORBATA 52/56 RER</v>
      </c>
      <c r="F96">
        <v>4120860</v>
      </c>
      <c r="G96" t="s">
        <v>13921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12406</v>
      </c>
      <c r="E97" t="str">
        <f>IFERROR(VLOOKUP(1*LEFT(C97,7),DF!$A$1:$F$9447,2,FALSE),"")</f>
        <v>CAMISA MC BAT CEL CORBATA 58/62 RER</v>
      </c>
      <c r="F97">
        <v>4120860</v>
      </c>
      <c r="G97" t="s">
        <v>13921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13922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12415</v>
      </c>
      <c r="E99" t="str">
        <f>IFERROR(VLOOKUP(1*LEFT(C99,7),DF!$A$1:$F$9447,2,FALSE),"")</f>
        <v>CAMISA MC BAT CEL NQN CORB 46/50 RER</v>
      </c>
      <c r="F99">
        <v>4120239</v>
      </c>
      <c r="G99" t="s">
        <v>13922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12416</v>
      </c>
      <c r="E100" t="str">
        <f>IFERROR(VLOOKUP(1*LEFT(C100,7),DF!$A$1:$F$9447,2,FALSE),"")</f>
        <v>CAMISA MC BAT CEL NQN CORB 52/56 RER</v>
      </c>
      <c r="F100">
        <v>4120239</v>
      </c>
      <c r="G100" t="s">
        <v>13922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13923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10856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13923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10857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13923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13924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13924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13924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10863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13924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12387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13924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13925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13925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12382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13925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12382</v>
      </c>
      <c r="E112" t="str">
        <f>IFERROR(VLOOKUP(1*LEFT(C112,7),DF!$A$1:$F$9447,2,FALSE),"")</f>
        <v>CAMISA MC BAT CELESTE ITAL 46/50 RER</v>
      </c>
      <c r="F112">
        <v>4120015</v>
      </c>
      <c r="G112" t="s">
        <v>13925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12383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13925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12383</v>
      </c>
      <c r="E114" t="str">
        <f>IFERROR(VLOOKUP(1*LEFT(C114,7),DF!$A$1:$F$9447,2,FALSE),"")</f>
        <v>CAMISA MC BAT CELESTE ITAL 52/56 RER</v>
      </c>
      <c r="F114">
        <v>4120015</v>
      </c>
      <c r="G114" t="s">
        <v>13925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13926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13926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12410</v>
      </c>
      <c r="E117" t="str">
        <f>IFERROR(VLOOKUP(1*LEFT(C117,7),DF!$A$1:$F$9447,2,FALSE),"")</f>
        <v>CAMISA MC BAT GRIS CORBATA 52/56 RER</v>
      </c>
      <c r="F117">
        <v>4120670</v>
      </c>
      <c r="G117" t="s">
        <v>13926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12411</v>
      </c>
      <c r="E118" t="str">
        <f>IFERROR(VLOOKUP(1*LEFT(C118,7),DF!$A$1:$F$9447,2,FALSE),"")</f>
        <v>CAMISA MC BAT GRIS CORBATA 58/62 RER</v>
      </c>
      <c r="F118">
        <v>4120670</v>
      </c>
      <c r="G118" t="s">
        <v>13926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13927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13927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13927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13928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13928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13928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13929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13929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8381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13929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12388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13929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13930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13930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12412</v>
      </c>
      <c r="E131" t="str">
        <f>IFERROR(VLOOKUP(1*LEFT(C131,7),DF!$A$1:$F$9447,2,FALSE),"")</f>
        <v>CAMISA MC BAT NEGRA CORBATA 52/56 RER</v>
      </c>
      <c r="F131">
        <v>4120700</v>
      </c>
      <c r="G131" t="s">
        <v>13930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13931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13931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13931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12389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13931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13932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12390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13932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12391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13932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12392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13932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13933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12393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13933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12394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13933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12395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13933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13934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12398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13934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12399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13934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12400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13934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13935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12401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13935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12402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13935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12403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13935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13936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13936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13936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13937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12379</v>
      </c>
      <c r="E156" t="str">
        <f>IFERROR(VLOOKUP(1*LEFT(C156,7),DF!$A$1:$F$9447,2,FALSE),"")</f>
        <v>CAMISA ML BAT BEIGE LMGE 46/50 RER</v>
      </c>
      <c r="F156" s="7">
        <v>4130771</v>
      </c>
      <c r="G156" t="s">
        <v>13937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13938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13938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12419</v>
      </c>
      <c r="E159" t="str">
        <f>IFERROR(VLOOKUP(1*LEFT(C159,7),DF!$A$1:$F$9447,2,FALSE),"")</f>
        <v>CAMISA ML BAT BLANCA 52/56 RER</v>
      </c>
      <c r="F159">
        <v>4120100</v>
      </c>
      <c r="G159" t="s">
        <v>13938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12420</v>
      </c>
      <c r="E160" t="str">
        <f>IFERROR(VLOOKUP(1*LEFT(C160,7),DF!$A$1:$F$9447,2,FALSE),"")</f>
        <v>CAMISA ML BAT BLANCA 58/66 RER</v>
      </c>
      <c r="F160">
        <v>4120100</v>
      </c>
      <c r="G160" t="s">
        <v>13938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13939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13939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12377</v>
      </c>
      <c r="E163" t="str">
        <f>IFERROR(VLOOKUP(1*LEFT(C163,7),DF!$A$1:$F$9447,2,FALSE),"")</f>
        <v>CAMISA ML BAT CEL FORR 52/56 RER</v>
      </c>
      <c r="F163">
        <v>4120024</v>
      </c>
      <c r="G163" t="s">
        <v>13939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13940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12188</v>
      </c>
      <c r="E165" t="str">
        <f>IFERROR(VLOOKUP(1*LEFT(C165,7),DF!$A$1:$F$9447,2,FALSE),"")</f>
        <v>CAMISA ML BAT CEL NQN 46/50 RER</v>
      </c>
      <c r="F165">
        <v>4120236</v>
      </c>
      <c r="G165" t="s">
        <v>13940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12189</v>
      </c>
      <c r="E166" t="str">
        <f>IFERROR(VLOOKUP(1*LEFT(C166,7),DF!$A$1:$F$9447,2,FALSE),"")</f>
        <v>CAMISA ML BAT CEL NQN 52/56 RER</v>
      </c>
      <c r="F166">
        <v>4120236</v>
      </c>
      <c r="G166" t="s">
        <v>13940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12418</v>
      </c>
      <c r="E167" t="str">
        <f>IFERROR(VLOOKUP(1*LEFT(C167,7),DF!$A$1:$F$9447,2,FALSE),"")</f>
        <v>CAMISA ML BAT CEL NQN 58/66 RER</v>
      </c>
      <c r="F167">
        <v>4120236</v>
      </c>
      <c r="G167" t="s">
        <v>13940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13941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13941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13941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13941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12421</v>
      </c>
      <c r="E172" t="str">
        <f>IFERROR(VLOOKUP(1*LEFT(C172,7),DF!$A$1:$F$9447,2,FALSE),"")</f>
        <v>CAMISA ML BAT CELESTE 64/66 RER</v>
      </c>
      <c r="F172">
        <v>4120850</v>
      </c>
      <c r="G172" t="s">
        <v>13941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13942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12425</v>
      </c>
      <c r="E174" t="str">
        <f>IFERROR(VLOOKUP(1*LEFT(C174,7),DF!$A$1:$F$9447,2,FALSE),"")</f>
        <v>CAMISA ML BAT CELESTE VIP 46/50 RER</v>
      </c>
      <c r="F174">
        <v>4120058</v>
      </c>
      <c r="G174" t="s">
        <v>13942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12426</v>
      </c>
      <c r="E175" t="str">
        <f>IFERROR(VLOOKUP(1*LEFT(C175,7),DF!$A$1:$F$9447,2,FALSE),"")</f>
        <v>CAMISA ML BAT CELESTE VIP 52/56 RER</v>
      </c>
      <c r="F175">
        <v>4120058</v>
      </c>
      <c r="G175" t="s">
        <v>13942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12427</v>
      </c>
      <c r="E176" t="str">
        <f>IFERROR(VLOOKUP(1*LEFT(C176,7),DF!$A$1:$F$9447,2,FALSE),"")</f>
        <v>CAMISA ML BAT CELESTE VIP 58/66 RER</v>
      </c>
      <c r="F176">
        <v>4120058</v>
      </c>
      <c r="G176" t="s">
        <v>13942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13943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12422</v>
      </c>
      <c r="E178" t="str">
        <f>IFERROR(VLOOKUP(1*LEFT(C178,7),DF!$A$1:$F$9447,2,FALSE),"")</f>
        <v>CAMISA ML BAT CLTE ITAL 32/44 RER</v>
      </c>
      <c r="F178">
        <v>4120011</v>
      </c>
      <c r="G178" t="s">
        <v>13943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12423</v>
      </c>
      <c r="E179" t="str">
        <f>IFERROR(VLOOKUP(1*LEFT(C179,7),DF!$A$1:$F$9447,2,FALSE),"")</f>
        <v>CAMISA ML BAT CLTE ITAL 46/50 RER</v>
      </c>
      <c r="F179">
        <v>4120011</v>
      </c>
      <c r="G179" t="s">
        <v>13943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12424</v>
      </c>
      <c r="E180" t="str">
        <f>IFERROR(VLOOKUP(1*LEFT(C180,7),DF!$A$1:$F$9447,2,FALSE),"")</f>
        <v>CAMISA ML BAT CLTE ITAL 52/56 RER</v>
      </c>
      <c r="F180">
        <v>4120011</v>
      </c>
      <c r="G180" t="s">
        <v>13943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13944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13944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13944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12428</v>
      </c>
      <c r="E184" t="str">
        <f>IFERROR(VLOOKUP(1*LEFT(C184,7),DF!$A$1:$F$9447,2,FALSE),"")</f>
        <v>CAMISA ML BAT GRIS 58/62 RER</v>
      </c>
      <c r="F184">
        <v>4120900</v>
      </c>
      <c r="G184" t="s">
        <v>13944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13945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13945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13945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13946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12375</v>
      </c>
      <c r="E189" t="str">
        <f>IFERROR(VLOOKUP(1*LEFT(C189,7),DF!$A$1:$F$9447,2,FALSE),"")</f>
        <v>CAMISA ML BAT NEG FORR 46/50 RER</v>
      </c>
      <c r="F189">
        <v>4120027</v>
      </c>
      <c r="G189" t="s">
        <v>13946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12376</v>
      </c>
      <c r="E190" t="str">
        <f>IFERROR(VLOOKUP(1*LEFT(C190,7),DF!$A$1:$F$9447,2,FALSE),"")</f>
        <v>CAMISA ML BAT NEG FORR 52/56 RER</v>
      </c>
      <c r="F190">
        <v>4120027</v>
      </c>
      <c r="G190" t="s">
        <v>13946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13947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13947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12429</v>
      </c>
      <c r="E193" t="str">
        <f>IFERROR(VLOOKUP(1*LEFT(C193,7),DF!$A$1:$F$9447,2,FALSE),"")</f>
        <v>CAMISA ML BAT NEGRA 52/56 RER</v>
      </c>
      <c r="F193">
        <v>4120009</v>
      </c>
      <c r="G193" t="s">
        <v>13947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13948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13948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10867</v>
      </c>
      <c r="E196" t="str">
        <f>IFERROR(VLOOKUP(1*LEFT(C196,7),DF!$A$1:$F$9447,2,FALSE),"")</f>
        <v>CAMISA ML RIP AZUL 52/56 RER</v>
      </c>
      <c r="F196">
        <v>4120495</v>
      </c>
      <c r="G196" t="s">
        <v>13948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13949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13950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13951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13952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13953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10889</v>
      </c>
      <c r="E202" t="str">
        <f>IFERROR(VLOOKUP(1*LEFT(C202,7),DF!$A$1:$F$9447,2,FALSE),"")</f>
        <v>CAMP ALPHA MJI43910C1 LUG</v>
      </c>
      <c r="F202">
        <v>5101310</v>
      </c>
      <c r="G202" t="s">
        <v>13951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13954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13955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13956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13957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13958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13958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13959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13959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13960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13960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13961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13962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13963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13964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13965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13966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13967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13968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13969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13970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13971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13972</v>
      </c>
      <c r="H224">
        <v>8</v>
      </c>
    </row>
    <row r="225" spans="1:9" x14ac:dyDescent="0.25">
      <c r="A225">
        <v>16522</v>
      </c>
      <c r="B225" t="s">
        <v>7</v>
      </c>
      <c r="C225" t="s">
        <v>12129</v>
      </c>
      <c r="E225" t="str">
        <f>IFERROR(VLOOKUP(1*LEFT(C225,7),DF!$A$1:$F$9447,2,FALSE),"")</f>
        <v>CAMP SOFT SHELL AZUL 2XL/5XL RER</v>
      </c>
      <c r="F225">
        <v>5101138</v>
      </c>
      <c r="G225" t="s">
        <v>13973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13973</v>
      </c>
      <c r="H226">
        <v>4</v>
      </c>
    </row>
    <row r="227" spans="1:9" x14ac:dyDescent="0.25">
      <c r="A227">
        <v>16522</v>
      </c>
      <c r="B227" t="s">
        <v>7</v>
      </c>
      <c r="C227" t="s">
        <v>10890</v>
      </c>
      <c r="E227" t="str">
        <f>IFERROR(VLOOKUP(1*LEFT(C227,7),DF!$A$1:$F$9447,2,FALSE),"")</f>
        <v>CAMP SOFTSHEL FRACTION NEGRA 2XS/3XL RER</v>
      </c>
      <c r="F227">
        <v>5101185</v>
      </c>
      <c r="G227" t="s">
        <v>13960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13974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13975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13975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13976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13976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13977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10884</v>
      </c>
      <c r="E234" t="str">
        <f>IFERROR(VLOOKUP(1*LEFT(C234,7),DF!$A$1:$F$9447,2,FALSE),"")</f>
        <v>CAMP TERMICO AZUL 3XL/6XL RER</v>
      </c>
      <c r="F234">
        <v>5101555</v>
      </c>
      <c r="G234" t="s">
        <v>13977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13978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10885</v>
      </c>
      <c r="E236" t="str">
        <f>IFERROR(VLOOKUP(1*LEFT(C236,7),DF!$A$1:$F$9447,2,FALSE),"")</f>
        <v>CAMP TERMICO GRIS 3XL/6XL RER</v>
      </c>
      <c r="F236">
        <v>5101557</v>
      </c>
      <c r="G236" t="s">
        <v>13978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13979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13980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13981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10883</v>
      </c>
      <c r="E240" t="str">
        <f>IFERROR(VLOOKUP(1*LEFT(C240,7),DF!$A$1:$F$9447,2,FALSE),"")</f>
        <v>CAMP TERMICO NEGRO 3XL/6XL RER</v>
      </c>
      <c r="F240">
        <v>5101556</v>
      </c>
      <c r="G240" t="s">
        <v>13981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13982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13983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13322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13984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13324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13985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13328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13330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13333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13986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13987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13190</v>
      </c>
      <c r="E252" t="str">
        <f>IFERROR(VLOOKUP(1*LEFT(C252,7),DF!$A$1:$F$9447,2,FALSE),"")</f>
        <v>CHOMBA MC CIERRE BOMBERO 3XL/5XL RER</v>
      </c>
      <c r="F252">
        <v>2101110</v>
      </c>
      <c r="G252" s="9" t="s">
        <v>13987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13988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13988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13989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13989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13990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13990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13991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13992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13992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13993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12184</v>
      </c>
      <c r="E263" t="str">
        <f>IFERROR(VLOOKUP(1*LEFT(C263,7),DF!$A$1:$F$9447,2,FALSE),"")</f>
        <v>GARIBALDINA MAO RIP VIAL TUC 3XL/5XL RER</v>
      </c>
      <c r="F263">
        <v>5101876</v>
      </c>
      <c r="G263" t="s">
        <v>13993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13718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13994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13994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13995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13995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13996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13997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13998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13999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14000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14001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14002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14003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14004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14005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14006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14007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14008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14009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14009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13168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14009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13169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14009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14010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14010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14010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14010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14011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14011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13170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14011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14012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14012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14012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14013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12160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14013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12161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14013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12162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14013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14014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13171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14014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14015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12194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14015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12195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14015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12196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14015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14016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14016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13172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14016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14017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14017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14017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14017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14018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14018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13173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14018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13174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14018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14019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14019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14019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14019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14020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14020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14020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14020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14021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14021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14022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13175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14022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14023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13176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14023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12451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14024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14024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14025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13184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14025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14026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14026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14027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14027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14028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14028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14029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14029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10867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14029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14030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14030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14030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12450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14030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14031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14031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14031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14031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13180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14031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14032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13177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14032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13178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14032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13179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14032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14033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14033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14033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13181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14033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14034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14034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13182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14034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13183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14034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14035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14035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14035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14035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14036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14036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14036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14036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14037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14037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14037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14037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14038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13185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14038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13186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14038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13187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14038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14022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13175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14022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14039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4947</v>
      </c>
      <c r="D384" s="2"/>
      <c r="E384" s="2" t="str">
        <f>IFERROR(VLOOKUP(1*LEFT(C384,7),DF!$A$1:$F$9447,2,FALSE),"")</f>
        <v>CHOMBA MC CIERRE BLANCA 3XL/5XL RER</v>
      </c>
      <c r="F384">
        <v>2101100</v>
      </c>
      <c r="G384" t="s">
        <v>14039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 t="shared" ref="C385" si="9">CONCATENATE(F385,"##")</f>
        <v>2101495##</v>
      </c>
      <c r="D385" s="2"/>
      <c r="E385" s="2" t="str">
        <f>IFERROR(VLOOKUP(1*LEFT(C385,7),DF!$A$1:$F$9447,2,FALSE),"")</f>
        <v>CHOMBA MC CIERRE AZ 3XS/2XL RER</v>
      </c>
      <c r="F385">
        <v>2101495</v>
      </c>
      <c r="G385" t="s">
        <v>14328</v>
      </c>
      <c r="H385">
        <v>7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2915</v>
      </c>
      <c r="D386" s="2"/>
      <c r="E386" s="2" t="str">
        <f>IFERROR(VLOOKUP(1*LEFT(C386,7),DF!$A$1:$F$9447,2,FALSE),"")</f>
        <v>CHOMBA MC CIERRE AZ 3XL/5XL RER</v>
      </c>
      <c r="F386">
        <v>2101495</v>
      </c>
      <c r="G386" t="s">
        <v>14328</v>
      </c>
      <c r="H386">
        <v>7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 t="shared" ref="C387" si="10">CONCATENATE(F387,"##")</f>
        <v>2101750##</v>
      </c>
      <c r="D387" s="2"/>
      <c r="E387" s="2" t="str">
        <f>IFERROR(VLOOKUP(1*LEFT(C387,7),DF!$A$1:$F$9447,2,FALSE),"")</f>
        <v>CHOMBA MC CIERRE GR 3XS/2XL RER</v>
      </c>
      <c r="F387">
        <v>2101750</v>
      </c>
      <c r="G387" t="s">
        <v>14040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">
        <v>2927</v>
      </c>
      <c r="D388" s="2"/>
      <c r="E388" s="2" t="str">
        <f>IFERROR(VLOOKUP(1*LEFT(C388,7),DF!$A$1:$F$9447,2,FALSE),"")</f>
        <v>CHOMBA MC CIERRE GR 3XL/5XL RER</v>
      </c>
      <c r="F388">
        <v>2101750</v>
      </c>
      <c r="G388" t="s">
        <v>14040</v>
      </c>
      <c r="H388">
        <v>6</v>
      </c>
      <c r="I388">
        <v>1</v>
      </c>
    </row>
    <row r="389" spans="1:9" x14ac:dyDescent="0.25">
      <c r="A389" s="2">
        <v>16522</v>
      </c>
      <c r="B389" s="2" t="s">
        <v>4</v>
      </c>
      <c r="C389" s="2" t="str">
        <f t="shared" ref="C389" si="11">CONCATENATE(F389,"##")</f>
        <v>2101877##</v>
      </c>
      <c r="D389" s="2"/>
      <c r="E389" s="2" t="str">
        <f>IFERROR(VLOOKUP(1*LEFT(C389,7),DF!$A$1:$F$9447,2,FALSE),"")</f>
        <v>CHOMBA MC CIERRE BEIGE 3XS/2XL RER</v>
      </c>
      <c r="F389">
        <v>2101877</v>
      </c>
      <c r="G389" t="s">
        <v>14041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">
        <v>5067</v>
      </c>
      <c r="D390" s="2"/>
      <c r="E390" s="2" t="str">
        <f>IFERROR(VLOOKUP(1*LEFT(C390,7),DF!$A$1:$F$9447,2,FALSE),"")</f>
        <v>CHOMBA MC CIERRE BEIGE 3XL/5XL RER</v>
      </c>
      <c r="F390">
        <v>2101877</v>
      </c>
      <c r="G390" t="s">
        <v>14041</v>
      </c>
      <c r="H390">
        <v>5</v>
      </c>
      <c r="I390">
        <v>1</v>
      </c>
    </row>
    <row r="391" spans="1:9" x14ac:dyDescent="0.25">
      <c r="A391" s="2">
        <v>16522</v>
      </c>
      <c r="B391" s="2" t="s">
        <v>4</v>
      </c>
      <c r="C391" s="2" t="str">
        <f t="shared" ref="C391" si="12">CONCATENATE(F391,"##")</f>
        <v>2101900##</v>
      </c>
      <c r="D391" s="2"/>
      <c r="E391" s="2" t="str">
        <f>IFERROR(VLOOKUP(1*LEFT(C391,7),DF!$A$1:$F$9447,2,FALSE),"")</f>
        <v>CHOMBA MC CIERRE NE 3XS/2XL RER</v>
      </c>
      <c r="F391">
        <v>2101900</v>
      </c>
      <c r="G391" t="s">
        <v>14042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">
        <v>2921</v>
      </c>
      <c r="D392" s="2"/>
      <c r="E392" s="2" t="str">
        <f>IFERROR(VLOOKUP(1*LEFT(C392,7),DF!$A$1:$F$9447,2,FALSE),"")</f>
        <v>CHOMBA MC CIERRE NE 3XL/5XL RER</v>
      </c>
      <c r="F392">
        <v>2101900</v>
      </c>
      <c r="G392" t="s">
        <v>14042</v>
      </c>
      <c r="H392">
        <v>6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 t="shared" ref="C393" si="13">CONCATENATE(F393,"##")</f>
        <v>2220750##</v>
      </c>
      <c r="D393" s="2"/>
      <c r="E393" s="2" t="str">
        <f>IFERROR(VLOOKUP(1*LEFT(C393,7),DF!$A$1:$F$9447,2,FALSE),"")</f>
        <v>REMERA MC GRIS TOPO LISA 2XS/2XL GEI</v>
      </c>
      <c r="F393">
        <v>2220750</v>
      </c>
      <c r="G393" t="s">
        <v>14043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13188</v>
      </c>
      <c r="D394" s="2"/>
      <c r="E394" s="2" t="str">
        <f>IFERROR(VLOOKUP(1*LEFT(C394,7),DF!$A$1:$F$9447,2,FALSE),"")</f>
        <v>REMERA MC GRIS TOPO LISA 3XL/6XL GEI</v>
      </c>
      <c r="F394">
        <v>2220750</v>
      </c>
      <c r="G394" t="s">
        <v>14043</v>
      </c>
      <c r="H394">
        <v>1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 t="shared" ref="C395" si="14">CONCATENATE(F395,"##")</f>
        <v>2101400##</v>
      </c>
      <c r="D395" s="2"/>
      <c r="E395" s="2" t="str">
        <f>IFERROR(VLOOKUP(1*LEFT(C395,7),DF!$A$1:$F$9447,2,FALSE),"")</f>
        <v>REMERA MC SIN CIERRE AZUL BOMBEROS 3XS/2XL</v>
      </c>
      <c r="F395">
        <v>2101400</v>
      </c>
      <c r="G395" t="s">
        <v>14044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13189</v>
      </c>
      <c r="D396" s="2"/>
      <c r="E396" s="2" t="str">
        <f>IFERROR(VLOOKUP(1*LEFT(C396,7),DF!$A$1:$F$9447,2,FALSE),"")</f>
        <v>REMERA MC SIN CIERRE AZUL BOMBEROS 3XL/6XL</v>
      </c>
      <c r="F396">
        <v>2101400</v>
      </c>
      <c r="G396" t="s">
        <v>14044</v>
      </c>
      <c r="H396">
        <v>2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2103050##</v>
      </c>
      <c r="D397" s="2"/>
      <c r="E397" s="2" t="str">
        <f>IFERROR(VLOOKUP(1*LEFT(C397,7),DF!$A$1:$F$9447,2,FALSE),"")</f>
        <v>REMERA MC COMBAT AZUL 3XS/2XL</v>
      </c>
      <c r="F397" s="7">
        <v>2103050</v>
      </c>
      <c r="G397" t="s">
        <v>14045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13192</v>
      </c>
      <c r="D398" s="2"/>
      <c r="E398" s="2" t="str">
        <f>IFERROR(VLOOKUP(1*LEFT(C398,7),DF!$A$1:$F$9447,2,FALSE),"")</f>
        <v>REMERA MC COMBAT AZUL 3XL/6XL</v>
      </c>
      <c r="F398" s="7">
        <v>2103050</v>
      </c>
      <c r="G398" t="s">
        <v>14045</v>
      </c>
      <c r="H398">
        <v>9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2103090##</v>
      </c>
      <c r="D399" s="2"/>
      <c r="E399" s="2" t="str">
        <f>IFERROR(VLOOKUP(1*LEFT(C399,7),DF!$A$1:$F$9447,2,FALSE),"")</f>
        <v>REMERA MC COMBAT NEGRA 3XS/2XL</v>
      </c>
      <c r="F399" s="7">
        <v>2103090</v>
      </c>
      <c r="G399" t="s">
        <v>14046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13191</v>
      </c>
      <c r="D400" s="2"/>
      <c r="E400" s="2" t="str">
        <f>IFERROR(VLOOKUP(1*LEFT(C400,7),DF!$A$1:$F$9447,2,FALSE),"")</f>
        <v>REMERA MC COMBAT NEGRA 3XL/6XL</v>
      </c>
      <c r="F400" s="7">
        <v>2103090</v>
      </c>
      <c r="G400" t="s">
        <v>14046</v>
      </c>
      <c r="H400">
        <v>8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5101857##</v>
      </c>
      <c r="D401" s="2"/>
      <c r="E401" s="2" t="str">
        <f>IFERROR(VLOOKUP(1*LEFT(C401,7),DF!$A$1:$F$9447,2,FALSE),"")</f>
        <v>GARIBALDINA MAO RIP AZUL NOCHE (442) 2XS/2XL</v>
      </c>
      <c r="F401">
        <v>5101857</v>
      </c>
      <c r="G401" t="s">
        <v>14047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13193</v>
      </c>
      <c r="D402" s="2"/>
      <c r="E402" s="2" t="str">
        <f>IFERROR(VLOOKUP(1*LEFT(C402,7),DF!$A$1:$F$9447,2,FALSE),"")</f>
        <v>GARIBALDINA MAO RIP AZUL NOCHE (442) 3XL/6XL</v>
      </c>
      <c r="F402">
        <v>5101857</v>
      </c>
      <c r="G402" t="s">
        <v>14047</v>
      </c>
      <c r="H402">
        <v>5</v>
      </c>
      <c r="I402">
        <v>1</v>
      </c>
    </row>
    <row r="403" spans="1:9" x14ac:dyDescent="0.25">
      <c r="A403" s="2">
        <v>16522</v>
      </c>
      <c r="B403" s="2" t="s">
        <v>4</v>
      </c>
      <c r="C403" s="2" t="s">
        <v>12452</v>
      </c>
      <c r="D403" s="2"/>
      <c r="E403" s="2" t="str">
        <f>IFERROR(VLOOKUP(1*LEFT(C403,7),DF!$A$1:$F$9447,2,FALSE),"")</f>
        <v>MAMELUCO TERMICO AZUL 2XL/6XL RER</v>
      </c>
      <c r="F403">
        <v>1130284</v>
      </c>
      <c r="G403" t="s">
        <v>14048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1130284##</v>
      </c>
      <c r="D404" s="2"/>
      <c r="E404" s="2" t="str">
        <f>IFERROR(VLOOKUP(1*LEFT(C404,7),DF!$A$1:$F$9447,2,FALSE),"")</f>
        <v>MAMELUCO TERMICO AZUL S/XL RER</v>
      </c>
      <c r="F404">
        <v>1130284</v>
      </c>
      <c r="G404" t="s">
        <v>14048</v>
      </c>
      <c r="H404">
        <v>1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1130750##</v>
      </c>
      <c r="D405" s="2"/>
      <c r="E405" s="2" t="str">
        <f>IFERROR(VLOOKUP(1*LEFT(C405,7),DF!$A$1:$F$9447,2,FALSE),"")</f>
        <v>MAMELUCO TERMICO GRIS S/XL RER</v>
      </c>
      <c r="F405">
        <v>1130750</v>
      </c>
      <c r="G405" t="s">
        <v>14049</v>
      </c>
      <c r="H405">
        <v>3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4476</v>
      </c>
      <c r="D406" s="2"/>
      <c r="E406" s="2" t="str">
        <f>IFERROR(VLOOKUP(1*LEFT(C406,7),DF!$A$1:$F$9447,2,FALSE),"")</f>
        <v>MAMELUCO TERMICO NEGRO 2XL/6XL RER</v>
      </c>
      <c r="F406">
        <v>1130254</v>
      </c>
      <c r="G406" t="s">
        <v>14050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1130254##</v>
      </c>
      <c r="D407" s="2"/>
      <c r="E407" s="2" t="str">
        <f>IFERROR(VLOOKUP(1*LEFT(C407,7),DF!$A$1:$F$9447,2,FALSE),"")</f>
        <v>MAMELUCO TERMICO NEGRO XS/XL RER</v>
      </c>
      <c r="F407">
        <v>1130254</v>
      </c>
      <c r="G407" t="s">
        <v>14050</v>
      </c>
      <c r="H407">
        <v>7</v>
      </c>
      <c r="I407">
        <v>1</v>
      </c>
    </row>
    <row r="408" spans="1:9" x14ac:dyDescent="0.25">
      <c r="A408" s="2">
        <v>16522</v>
      </c>
      <c r="B408" s="2" t="s">
        <v>4</v>
      </c>
      <c r="C408" s="2" t="str">
        <f t="shared" ref="C408" si="15">CONCATENATE(F408,"##")</f>
        <v>5101855##</v>
      </c>
      <c r="D408" s="2"/>
      <c r="E408" s="2" t="str">
        <f>IFERROR(VLOOKUP(1*LEFT(C408,7),DF!$A$1:$F$9447,2,FALSE),"")</f>
        <v>GARIBALDINA MAO RIP GRIS 2XS/2XL RER</v>
      </c>
      <c r="F408">
        <v>5101855</v>
      </c>
      <c r="G408" t="s">
        <v>14051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">
        <v>4745</v>
      </c>
      <c r="D409" s="2"/>
      <c r="E409" s="2" t="str">
        <f>IFERROR(VLOOKUP(1*LEFT(C409,7),DF!$A$1:$F$9447,2,FALSE),"")</f>
        <v>GARIBALDINA MAO RIP GRIS 3XL/5XL RER</v>
      </c>
      <c r="F409">
        <v>5101855</v>
      </c>
      <c r="G409" t="s">
        <v>14051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tr">
        <f t="shared" ref="C410" si="16">CONCATENATE(F410,"##")</f>
        <v>5101863##</v>
      </c>
      <c r="D410" s="2"/>
      <c r="E410" s="2" t="str">
        <f>IFERROR(VLOOKUP(1*LEFT(C410,7),DF!$A$1:$F$9447,2,FALSE),"")</f>
        <v>GARIBALDINA MAO RIP NEGRA 2XS/2XL RER</v>
      </c>
      <c r="F410">
        <v>5101863</v>
      </c>
      <c r="G410" t="s">
        <v>14052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">
        <v>3148</v>
      </c>
      <c r="D411" s="2"/>
      <c r="E411" s="2" t="str">
        <f>IFERROR(VLOOKUP(1*LEFT(C411,7),DF!$A$1:$F$9447,2,FALSE),"")</f>
        <v>GARIBALDINA MAO RIP NEGRA 3XL/5XL RER</v>
      </c>
      <c r="F411">
        <v>5101863</v>
      </c>
      <c r="G411" t="s">
        <v>14052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tr">
        <f t="shared" ref="C412:C421" si="17">CONCATENATE(F412,"##")</f>
        <v>8205150##</v>
      </c>
      <c r="D412" s="2"/>
      <c r="E412" s="2" t="str">
        <f>IFERROR(VLOOKUP(1*LEFT(C412,7),DF!$A$1:$F$9447,2,FALSE),"")</f>
        <v>BORCEGUI ALTA MONTA¥A RER</v>
      </c>
      <c r="F412">
        <v>8205150</v>
      </c>
      <c r="G412" t="s">
        <v>14053</v>
      </c>
      <c r="H412">
        <v>9</v>
      </c>
    </row>
    <row r="413" spans="1:9" x14ac:dyDescent="0.25">
      <c r="A413" s="2">
        <v>16522</v>
      </c>
      <c r="B413" s="2" t="s">
        <v>4</v>
      </c>
      <c r="C413" s="2" t="str">
        <f t="shared" si="17"/>
        <v>8205080##</v>
      </c>
      <c r="D413" s="2"/>
      <c r="E413" s="2" t="str">
        <f>IFERROR(VLOOKUP(1*LEFT(C413,7),DF!$A$1:$F$9447,2,FALSE),"")</f>
        <v>BORCEGUI COMANDO CORTO ART80 C/CIERRE CA</v>
      </c>
      <c r="F413" s="7">
        <v>8205080</v>
      </c>
      <c r="G413" t="s">
        <v>14054</v>
      </c>
      <c r="H413">
        <v>8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8205881##</v>
      </c>
      <c r="D414" s="2"/>
      <c r="E414" s="2" t="str">
        <f>IFERROR(VLOOKUP(1*LEFT(C414,7),DF!$A$1:$F$9447,2,FALSE),"")</f>
        <v>BORCEGUI COMANDO CORTO ART81 BEIGE C/CIE</v>
      </c>
      <c r="F414" s="7">
        <v>8205881</v>
      </c>
      <c r="G414" t="s">
        <v>14055</v>
      </c>
      <c r="H414">
        <v>6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8205118##</v>
      </c>
      <c r="D415" s="2"/>
      <c r="E415" s="2" t="str">
        <f>IFERROR(VLOOKUP(1*LEFT(C415,7),DF!$A$1:$F$9447,2,FALSE),"")</f>
        <v>BORCEGUI COMANDO RERDA ART60 CIERRE CAR</v>
      </c>
      <c r="F415" s="7">
        <v>8205118</v>
      </c>
      <c r="G415" t="s">
        <v>14056</v>
      </c>
      <c r="H415">
        <v>7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8205119##</v>
      </c>
      <c r="D416" s="2"/>
      <c r="E416" s="2" t="str">
        <f>IFERROR(VLOOKUP(1*LEFT(C416,7),DF!$A$1:$F$9447,2,FALSE),"")</f>
        <v>BORCEGUI COMANDO RERDA BEIGE CIERRE CAR ART61</v>
      </c>
      <c r="F416" s="7">
        <v>8205119</v>
      </c>
      <c r="G416" t="s">
        <v>14057</v>
      </c>
      <c r="H416">
        <v>6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8205051##</v>
      </c>
      <c r="D417" s="2"/>
      <c r="E417" s="2" t="str">
        <f>IFERROR(VLOOKUP(1*LEFT(C417,7),DF!$A$1:$F$9447,2,FALSE),"")</f>
        <v>BORCEGUI CON PELUCHE CC</v>
      </c>
      <c r="F417" s="7">
        <v>8205051</v>
      </c>
      <c r="G417" t="s">
        <v>14058</v>
      </c>
      <c r="H417">
        <v>10</v>
      </c>
      <c r="I417">
        <v>1</v>
      </c>
    </row>
    <row r="418" spans="1:9" x14ac:dyDescent="0.25">
      <c r="A418" s="2">
        <v>16522</v>
      </c>
      <c r="B418" s="2" t="s">
        <v>4</v>
      </c>
      <c r="C418" s="2" t="str">
        <f t="shared" si="17"/>
        <v>8205050##</v>
      </c>
      <c r="D418" s="2"/>
      <c r="E418" s="2" t="str">
        <f>IFERROR(VLOOKUP(1*LEFT(C418,7),DF!$A$1:$F$9447,2,FALSE),"")</f>
        <v>BORCEGUI CUERO  CLASICO RER</v>
      </c>
      <c r="F418" s="7">
        <v>8205050</v>
      </c>
      <c r="G418" t="s">
        <v>14059</v>
      </c>
      <c r="H418">
        <v>8</v>
      </c>
      <c r="I418">
        <v>1</v>
      </c>
    </row>
    <row r="419" spans="1:9" x14ac:dyDescent="0.25">
      <c r="A419">
        <v>16522</v>
      </c>
      <c r="B419" t="s">
        <v>4</v>
      </c>
      <c r="C419" t="str">
        <f t="shared" si="17"/>
        <v>8205600##</v>
      </c>
      <c r="E419" t="str">
        <f>IFERROR(VLOOKUP(1*LEFT(C419,7),DF!$A$1:$F$9447,2,FALSE),"")</f>
        <v>BORCEGUI TACTICO DEL600</v>
      </c>
      <c r="F419">
        <v>8205600</v>
      </c>
      <c r="G419" t="s">
        <v>14060</v>
      </c>
      <c r="H419">
        <v>4</v>
      </c>
    </row>
    <row r="420" spans="1:9" x14ac:dyDescent="0.25">
      <c r="A420">
        <v>16522</v>
      </c>
      <c r="B420" t="s">
        <v>4</v>
      </c>
      <c r="C420" t="str">
        <f t="shared" si="17"/>
        <v>8205006##</v>
      </c>
      <c r="E420" t="str">
        <f>IFERROR(VLOOKUP(1*LEFT(C420,7),DF!$A$1:$F$9447,2,FALSE),"")</f>
        <v>BORCEGUI TACTICO DL006</v>
      </c>
      <c r="F420">
        <v>8205006</v>
      </c>
      <c r="G420" t="s">
        <v>14061</v>
      </c>
      <c r="H420">
        <v>6</v>
      </c>
    </row>
    <row r="421" spans="1:9" x14ac:dyDescent="0.25">
      <c r="A421">
        <v>16522</v>
      </c>
      <c r="B421" t="s">
        <v>4</v>
      </c>
      <c r="C421" t="str">
        <f t="shared" si="17"/>
        <v>8205037##</v>
      </c>
      <c r="E421" t="str">
        <f>IFERROR(VLOOKUP(1*LEFT(C421,7),DF!$A$1:$F$9447,2,FALSE),"")</f>
        <v>BORCEGUI TACTICO FULL GRAIN LEATHER ART 20</v>
      </c>
      <c r="F421">
        <v>8205037</v>
      </c>
      <c r="G421" t="s">
        <v>14062</v>
      </c>
      <c r="H421">
        <v>4</v>
      </c>
    </row>
    <row r="422" spans="1:9" x14ac:dyDescent="0.25">
      <c r="A422">
        <v>16522</v>
      </c>
      <c r="B422" t="s">
        <v>4</v>
      </c>
      <c r="C422" t="s">
        <v>12204</v>
      </c>
      <c r="E422" t="str">
        <f>IFERROR(VLOOKUP(1*LEFT(C422,7),DF!$A$1:$F$9447,2,FALSE),"")</f>
        <v>BORCEGUI TACTICO FULL GRAIN LEATHER T.ESPECIAL ART 20</v>
      </c>
      <c r="F422">
        <v>8205037</v>
      </c>
      <c r="G422" t="s">
        <v>14062</v>
      </c>
      <c r="H422">
        <v>4</v>
      </c>
    </row>
    <row r="423" spans="1:9" x14ac:dyDescent="0.25">
      <c r="A423">
        <v>16522</v>
      </c>
      <c r="B423" t="s">
        <v>4</v>
      </c>
      <c r="C423" t="str">
        <f>CONCATENATE(F423,"##")</f>
        <v>8205818##</v>
      </c>
      <c r="E423" t="str">
        <f>IFERROR(VLOOKUP(1*LEFT(C423,7),DF!$A$1:$F$9447,2,FALSE),"")</f>
        <v>BORCEGUI TACTICO GL818</v>
      </c>
      <c r="F423">
        <v>8205818</v>
      </c>
      <c r="G423" t="s">
        <v>14063</v>
      </c>
      <c r="H423">
        <v>11</v>
      </c>
    </row>
    <row r="424" spans="1:9" x14ac:dyDescent="0.25">
      <c r="A424" s="2">
        <v>16522</v>
      </c>
      <c r="B424" s="2" t="s">
        <v>4</v>
      </c>
      <c r="C424" s="2" t="str">
        <f>CONCATENATE(F424,"##")</f>
        <v>8205115##</v>
      </c>
      <c r="D424" s="2"/>
      <c r="E424" s="2" t="str">
        <f>IFERROR(VLOOKUP(1*LEFT(C424,7),DF!$A$1:$F$9447,2,FALSE),"")</f>
        <v>BORCEGUI TACTICO RERDA LMGE CC</v>
      </c>
      <c r="F424" s="7">
        <v>8205115</v>
      </c>
      <c r="G424" t="s">
        <v>14064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">
        <v>4113</v>
      </c>
      <c r="D425" s="2"/>
      <c r="E425" s="2" t="str">
        <f>IFERROR(VLOOKUP(1*LEFT(C425,7),DF!$A$1:$F$9447,2,FALSE),"")</f>
        <v>BORCEGUI TACTICO RERDA T. ESPECIAL RER</v>
      </c>
      <c r="F425" s="7">
        <v>8205115</v>
      </c>
      <c r="G425" t="s">
        <v>14064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ref="C426:C434" si="18">CONCATENATE(F426,"##")</f>
        <v>8205041##</v>
      </c>
      <c r="D426" s="2"/>
      <c r="E426" s="2" t="str">
        <f>IFERROR(VLOOKUP(1*LEFT(C426,7),DF!$A$1:$F$9447,2,FALSE),"")</f>
        <v>BORCEGUI TODO CUERO RERDA RER</v>
      </c>
      <c r="F426" s="7">
        <v>8205041</v>
      </c>
      <c r="G426" t="s">
        <v>14065</v>
      </c>
      <c r="H426">
        <v>7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 t="shared" si="18"/>
        <v>8205090##</v>
      </c>
      <c r="D427" s="2"/>
      <c r="E427" s="2" t="str">
        <f>IFERROR(VLOOKUP(1*LEFT(C427,7),DF!$A$1:$F$9447,2,FALSE),"")</f>
        <v>BORCEGUIE COMBAT ART.40</v>
      </c>
      <c r="F427" s="7">
        <v>8205090</v>
      </c>
      <c r="G427" t="s">
        <v>13908</v>
      </c>
      <c r="H427">
        <v>7</v>
      </c>
    </row>
    <row r="428" spans="1:9" x14ac:dyDescent="0.25">
      <c r="A428" s="2">
        <v>16522</v>
      </c>
      <c r="B428" s="2" t="s">
        <v>4</v>
      </c>
      <c r="C428" s="2" t="str">
        <f t="shared" si="18"/>
        <v>8205120##</v>
      </c>
      <c r="D428" s="2"/>
      <c r="E428" s="2" t="str">
        <f>IFERROR(VLOOKUP(1*LEFT(C428,7),DF!$A$1:$F$9447,2,FALSE),"")</f>
        <v>BORCEGUIE TACTICO MARRON RERDA</v>
      </c>
      <c r="F428" s="7">
        <v>8205120</v>
      </c>
      <c r="G428" t="s">
        <v>14066</v>
      </c>
      <c r="H428">
        <v>2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8205040##</v>
      </c>
      <c r="D429" s="2"/>
      <c r="E429" s="2" t="str">
        <f>IFERROR(VLOOKUP(1*LEFT(C429,7),DF!$A$1:$F$9447,2,FALSE),"")</f>
        <v>BOTIN AMERICANO RER</v>
      </c>
      <c r="F429" s="7">
        <v>8205040</v>
      </c>
      <c r="G429" t="s">
        <v>14067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8205060##</v>
      </c>
      <c r="D430" s="2"/>
      <c r="E430" s="2" t="str">
        <f>IFERROR(VLOOKUP(1*LEFT(C430,7),DF!$A$1:$F$9447,2,FALSE),"")</f>
        <v>BOTIN CLASICO RER</v>
      </c>
      <c r="F430" s="7">
        <v>8205060</v>
      </c>
      <c r="G430" t="s">
        <v>14068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8205016##</v>
      </c>
      <c r="D431" s="2"/>
      <c r="E431" s="2" t="str">
        <f>IFERROR(VLOOKUP(1*LEFT(C431,7),DF!$A$1:$F$9447,2,FALSE),"")</f>
        <v>BOTIN CORTO BLANCO CUERO/GAMUZA 1016</v>
      </c>
      <c r="F431" s="7">
        <v>8205016</v>
      </c>
      <c r="G431" t="s">
        <v>14069</v>
      </c>
      <c r="H431">
        <v>4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8205018##</v>
      </c>
      <c r="D432" s="2"/>
      <c r="E432" s="2" t="str">
        <f>IFERROR(VLOOKUP(1*LEFT(C432,7),DF!$A$1:$F$9447,2,FALSE),"")</f>
        <v>BOTIN DE TRABAJO PUNTA ACERO NEGRO AFU</v>
      </c>
      <c r="F432" s="7">
        <v>8205018</v>
      </c>
      <c r="G432" t="s">
        <v>14070</v>
      </c>
      <c r="H432">
        <v>7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8205010##</v>
      </c>
      <c r="D433" s="2"/>
      <c r="E433" s="2" t="str">
        <f>IFERROR(VLOOKUP(1*LEFT(C433,7),DF!$A$1:$F$9447,2,FALSE),"")</f>
        <v>BOTIN PRUSIANO MARRON RER</v>
      </c>
      <c r="F433" s="7">
        <v>8205010</v>
      </c>
      <c r="G433" t="s">
        <v>14071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si="18"/>
        <v>8205020##</v>
      </c>
      <c r="D434" s="2"/>
      <c r="E434" s="2" t="str">
        <f>IFERROR(VLOOKUP(1*LEFT(C434,7),DF!$A$1:$F$9447,2,FALSE),"")</f>
        <v>BOTIN PRUSIANO NEGRO RER</v>
      </c>
      <c r="F434" s="7">
        <v>8205020</v>
      </c>
      <c r="G434" t="s">
        <v>14072</v>
      </c>
      <c r="H434">
        <v>3</v>
      </c>
      <c r="I434">
        <v>1</v>
      </c>
    </row>
    <row r="435" spans="1:9" x14ac:dyDescent="0.25">
      <c r="A435" s="2">
        <v>16522</v>
      </c>
      <c r="B435" s="2" t="s">
        <v>4</v>
      </c>
      <c r="C435" s="2" t="str">
        <f t="shared" ref="C435" si="19">CONCATENATE(F435,"##")</f>
        <v>1120330##</v>
      </c>
      <c r="D435" s="2"/>
      <c r="E435" s="2" t="str">
        <f>IFERROR(VLOOKUP(1*LEFT(C435,7),DF!$A$1:$F$9447,2,FALSE),"")</f>
        <v>BOMB CLAS RIP GN VERDE 34/48 EM</v>
      </c>
      <c r="F435" s="29">
        <v>1120330</v>
      </c>
      <c r="G435" t="s">
        <v>14073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13230</v>
      </c>
      <c r="D436" s="2"/>
      <c r="E436" s="2" t="str">
        <f>IFERROR(VLOOKUP(1*LEFT(C436,7),DF!$A$1:$F$9447,2,FALSE),"")</f>
        <v>BOMB CLAS RIP GN VERDE 50/54 EM</v>
      </c>
      <c r="F436" s="29">
        <v>1120330</v>
      </c>
      <c r="G436" t="s">
        <v>14073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">
        <v>13231</v>
      </c>
      <c r="D437" s="2"/>
      <c r="E437" s="2" t="str">
        <f>IFERROR(VLOOKUP(1*LEFT(C437,7),DF!$A$1:$F$9447,2,FALSE),"")</f>
        <v>BOMB CLAS RIP GN VERDE 56/60</v>
      </c>
      <c r="F437" s="29">
        <v>1120330</v>
      </c>
      <c r="G437" t="s">
        <v>14073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tr">
        <f t="shared" ref="C438" si="20">CONCATENATE(F438,"##")</f>
        <v>1120720##</v>
      </c>
      <c r="D438" s="2"/>
      <c r="E438" s="2" t="str">
        <f>IFERROR(VLOOKUP(1*LEFT(C438,7),DF!$A$1:$F$9447,2,FALSE),"")</f>
        <v>BOMB KADIMA GAB AZUL 34/48 RER</v>
      </c>
      <c r="F438" s="29">
        <v>1120720</v>
      </c>
      <c r="G438" t="s">
        <v>14074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4344</v>
      </c>
      <c r="D439" s="2"/>
      <c r="E439" s="2" t="str">
        <f>IFERROR(VLOOKUP(1*LEFT(C439,7),DF!$A$1:$F$9447,2,FALSE),"")</f>
        <v>BOMB KADIMA GAB AZUL 50/54 RER</v>
      </c>
      <c r="F439" s="29">
        <v>1120720</v>
      </c>
      <c r="G439" t="s">
        <v>14074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13233</v>
      </c>
      <c r="D440" s="2"/>
      <c r="E440" s="2" t="str">
        <f>IFERROR(VLOOKUP(1*LEFT(C440,7),DF!$A$1:$F$9447,2,FALSE),"")</f>
        <v>BOMB KADIMA GAB AZUL 56/60 RER</v>
      </c>
      <c r="F440" s="29">
        <v>1120720</v>
      </c>
      <c r="G440" t="s">
        <v>14074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">
        <v>13232</v>
      </c>
      <c r="D441" s="2"/>
      <c r="E441" s="2" t="str">
        <f>IFERROR(VLOOKUP(1*LEFT(C441,7),DF!$A$1:$F$9447,2,FALSE),"")</f>
        <v>BOMB KADIMA GAB AZUL 62/66 RER</v>
      </c>
      <c r="F441" s="29">
        <v>1120720</v>
      </c>
      <c r="G441" t="s">
        <v>14074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tr">
        <f t="shared" ref="C442" si="21">CONCATENATE(F442,"##")</f>
        <v>1120724##</v>
      </c>
      <c r="D442" s="2"/>
      <c r="E442" s="2" t="str">
        <f>IFERROR(VLOOKUP(1*LEFT(C442,7),DF!$A$1:$F$9447,2,FALSE),"")</f>
        <v>BOMB KADIMA GAB NEGRA 34/48 RER</v>
      </c>
      <c r="F442" s="29">
        <v>1120724</v>
      </c>
      <c r="G442" t="s">
        <v>14075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5361</v>
      </c>
      <c r="D443" s="2"/>
      <c r="E443" s="2" t="str">
        <f>IFERROR(VLOOKUP(1*LEFT(C443,7),DF!$A$1:$F$9447,2,FALSE),"")</f>
        <v>BOMB KADIMA GAB NEGRA 50/54 RER</v>
      </c>
      <c r="F443" s="29">
        <v>1120724</v>
      </c>
      <c r="G443" t="s">
        <v>14075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13234</v>
      </c>
      <c r="D444" s="2"/>
      <c r="E444" s="2" t="str">
        <f>IFERROR(VLOOKUP(1*LEFT(C444,7),DF!$A$1:$F$9447,2,FALSE),"")</f>
        <v>BOMB KADIMA GAB NEGRA 56/60 RER</v>
      </c>
      <c r="F444" s="29">
        <v>1120724</v>
      </c>
      <c r="G444" t="s">
        <v>14075</v>
      </c>
      <c r="H444">
        <v>6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13235</v>
      </c>
      <c r="D445" s="2"/>
      <c r="E445" s="2" t="str">
        <f>IFERROR(VLOOKUP(1*LEFT(C445,7),DF!$A$1:$F$9447,2,FALSE),"")</f>
        <v>BOMB KADIMA GAB NEGRA 62/66 RER</v>
      </c>
      <c r="F445" s="29">
        <v>1120724</v>
      </c>
      <c r="G445" t="s">
        <v>14075</v>
      </c>
      <c r="H445">
        <v>6</v>
      </c>
      <c r="I445">
        <v>1</v>
      </c>
    </row>
    <row r="446" spans="1:9" x14ac:dyDescent="0.25">
      <c r="A446" s="2">
        <v>16522</v>
      </c>
      <c r="B446" s="2" t="s">
        <v>4</v>
      </c>
      <c r="C446" s="2" t="str">
        <f t="shared" ref="C446" si="22">CONCATENATE(F446,"##")</f>
        <v>4120770##</v>
      </c>
      <c r="D446" s="2"/>
      <c r="E446" s="2" t="str">
        <f>IFERROR(VLOOKUP(1*LEFT(C446,7),DF!$A$1:$F$9447,2,FALSE),"")</f>
        <v>CAMISA ML BAT GRIS TORC VIP 34/44</v>
      </c>
      <c r="F446">
        <v>4120770</v>
      </c>
      <c r="G446" t="s">
        <v>14082</v>
      </c>
      <c r="H446">
        <v>2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14079</v>
      </c>
      <c r="D447" s="2"/>
      <c r="E447" s="2" t="str">
        <f>IFERROR(VLOOKUP(1*LEFT(C447,7),DF!$A$1:$F$9447,2,FALSE),"")</f>
        <v>CAMISA ML BAT GRIS TORC VIP 46/50</v>
      </c>
      <c r="F447">
        <v>4120770</v>
      </c>
      <c r="G447" t="s">
        <v>14082</v>
      </c>
      <c r="H447">
        <v>2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14080</v>
      </c>
      <c r="D448" s="2"/>
      <c r="E448" s="2" t="str">
        <f>IFERROR(VLOOKUP(1*LEFT(C448,7),DF!$A$1:$F$9447,2,FALSE),"")</f>
        <v>CAMISA ML BAT GRIS TORC VIP 52/56</v>
      </c>
      <c r="F448">
        <v>4120770</v>
      </c>
      <c r="G448" t="s">
        <v>14082</v>
      </c>
      <c r="H448">
        <v>2</v>
      </c>
      <c r="I448">
        <v>1</v>
      </c>
    </row>
    <row r="449" spans="1:9" x14ac:dyDescent="0.25">
      <c r="A449" s="2">
        <v>16522</v>
      </c>
      <c r="B449" s="2" t="s">
        <v>4</v>
      </c>
      <c r="C449" s="2" t="s">
        <v>14081</v>
      </c>
      <c r="D449" s="2"/>
      <c r="E449" s="2" t="str">
        <f>IFERROR(VLOOKUP(1*LEFT(C449,7),DF!$A$1:$F$9447,2,FALSE),"")</f>
        <v>CAMISA ML BAT GRIS TORC VIP 58/66</v>
      </c>
      <c r="F449">
        <v>4120770</v>
      </c>
      <c r="G449" t="s">
        <v>14082</v>
      </c>
      <c r="H449">
        <v>2</v>
      </c>
      <c r="I449">
        <v>1</v>
      </c>
    </row>
    <row r="450" spans="1:9" x14ac:dyDescent="0.25">
      <c r="A450" s="2">
        <v>16522</v>
      </c>
      <c r="B450" s="2" t="s">
        <v>4</v>
      </c>
      <c r="C450" s="2" t="str">
        <f t="shared" ref="C450" si="23">CONCATENATE(F450,"##")</f>
        <v>5101006##</v>
      </c>
      <c r="D450" s="2"/>
      <c r="E450" s="2" t="str">
        <f>IFERROR(VLOOKUP(1*LEFT(C450,7),DF!$A$1:$F$9447,2,FALSE),"")</f>
        <v>GARIBALDINA MAO RIP DESERT 2XS/2XL RER</v>
      </c>
      <c r="F450">
        <v>5101006</v>
      </c>
      <c r="G450" t="s">
        <v>14083</v>
      </c>
      <c r="H450">
        <v>4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4803</v>
      </c>
      <c r="D451" s="2"/>
      <c r="E451" s="2" t="str">
        <f>IFERROR(VLOOKUP(1*LEFT(C451,7),DF!$A$1:$F$9447,2,FALSE),"")</f>
        <v>GARIBALDINA MAO RIP DESERT 3XL/5XL RER</v>
      </c>
      <c r="F451">
        <v>5101006</v>
      </c>
      <c r="G451" t="s">
        <v>14083</v>
      </c>
      <c r="H451">
        <v>4</v>
      </c>
      <c r="I451">
        <v>1</v>
      </c>
    </row>
    <row r="452" spans="1:9" x14ac:dyDescent="0.25">
      <c r="A452" s="2">
        <v>16522</v>
      </c>
      <c r="B452" s="2" t="s">
        <v>4</v>
      </c>
      <c r="C452" s="2" t="str">
        <f t="shared" ref="C452" si="24">CONCATENATE(F452,"##")</f>
        <v>4120950##</v>
      </c>
      <c r="D452" s="2"/>
      <c r="E452" s="2" t="str">
        <f>IFERROR(VLOOKUP(1*LEFT(C452,7),DF!$A$1:$F$9447,2,FALSE),"")</f>
        <v>CAMISA ML BAT NEGRO VIP 34/44</v>
      </c>
      <c r="F452">
        <v>4120950</v>
      </c>
      <c r="G452" t="s">
        <v>14147</v>
      </c>
      <c r="H452">
        <v>3</v>
      </c>
      <c r="I452">
        <v>1</v>
      </c>
    </row>
    <row r="453" spans="1:9" x14ac:dyDescent="0.25">
      <c r="A453" s="2">
        <v>16522</v>
      </c>
      <c r="B453" s="2" t="s">
        <v>4</v>
      </c>
      <c r="C453" s="2" t="s">
        <v>14127</v>
      </c>
      <c r="D453" s="2"/>
      <c r="E453" s="2" t="str">
        <f>IFERROR(VLOOKUP(1*LEFT(C453,7),DF!$A$1:$F$9447,2,FALSE),"")</f>
        <v>CAMISA ML BAT NEGRO VIP 46/50</v>
      </c>
      <c r="F453">
        <v>4120950</v>
      </c>
      <c r="G453" t="s">
        <v>14147</v>
      </c>
      <c r="H453">
        <v>3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14128</v>
      </c>
      <c r="D454" s="2"/>
      <c r="E454" s="2" t="str">
        <f>IFERROR(VLOOKUP(1*LEFT(C454,7),DF!$A$1:$F$9447,2,FALSE),"")</f>
        <v>CAMISA ML BAT NEGRO VIP 52/56</v>
      </c>
      <c r="F454">
        <v>4120950</v>
      </c>
      <c r="G454" t="s">
        <v>14147</v>
      </c>
      <c r="H454">
        <v>3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14129</v>
      </c>
      <c r="D455" s="2"/>
      <c r="E455" s="2" t="str">
        <f>IFERROR(VLOOKUP(1*LEFT(C455,7),DF!$A$1:$F$9447,2,FALSE),"")</f>
        <v>CAMISA ML BAT NEGRO VIP 58/66</v>
      </c>
      <c r="F455">
        <v>4120950</v>
      </c>
      <c r="G455" t="s">
        <v>14147</v>
      </c>
      <c r="H455">
        <v>3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ref="C456" si="25">CONCATENATE(F456,"##")</f>
        <v>4120066##</v>
      </c>
      <c r="D456" s="2"/>
      <c r="E456" s="2" t="str">
        <f>IFERROR(VLOOKUP(1*LEFT(C456,7),DF!$A$1:$F$9447,2,FALSE),"")</f>
        <v>CAMISA ML BAT GRIS VIP 34/44 RER</v>
      </c>
      <c r="F456">
        <v>4120066</v>
      </c>
      <c r="G456" t="s">
        <v>14148</v>
      </c>
      <c r="H456">
        <v>3</v>
      </c>
      <c r="I456">
        <v>1</v>
      </c>
    </row>
    <row r="457" spans="1:9" x14ac:dyDescent="0.25">
      <c r="A457" s="2">
        <v>16522</v>
      </c>
      <c r="B457" s="2" t="s">
        <v>4</v>
      </c>
      <c r="C457" s="2" t="s">
        <v>14130</v>
      </c>
      <c r="D457" s="2"/>
      <c r="E457" s="2" t="str">
        <f>IFERROR(VLOOKUP(1*LEFT(C457,7),DF!$A$1:$F$9447,2,FALSE),"")</f>
        <v>CAMISA ML BAT GRIS VIP 46/50 RER</v>
      </c>
      <c r="F457">
        <v>4120066</v>
      </c>
      <c r="G457" t="s">
        <v>14148</v>
      </c>
      <c r="H457">
        <v>3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14131</v>
      </c>
      <c r="D458" s="2"/>
      <c r="E458" s="2" t="str">
        <f>IFERROR(VLOOKUP(1*LEFT(C458,7),DF!$A$1:$F$9447,2,FALSE),"")</f>
        <v>CAMISA ML BAT GRIS VIP 52/56 RER</v>
      </c>
      <c r="F458">
        <v>4120066</v>
      </c>
      <c r="G458" t="s">
        <v>14148</v>
      </c>
      <c r="H458">
        <v>3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14132</v>
      </c>
      <c r="D459" s="2"/>
      <c r="E459" s="2" t="str">
        <f>IFERROR(VLOOKUP(1*LEFT(C459,7),DF!$A$1:$F$9447,2,FALSE),"")</f>
        <v>CAMISA ML BAT GRIS VIP 58/66 RER</v>
      </c>
      <c r="F459">
        <v>4120066</v>
      </c>
      <c r="G459" t="s">
        <v>14148</v>
      </c>
      <c r="H459">
        <v>3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ref="C460" si="26">CONCATENATE(F460,"##")</f>
        <v>4120062##</v>
      </c>
      <c r="D460" s="2"/>
      <c r="E460" s="2" t="str">
        <f>IFERROR(VLOOKUP(1*LEFT(C460,7),DF!$A$1:$F$9447,2,FALSE),"")</f>
        <v>CAMISA ML BAT BLANCA VIP 34/44</v>
      </c>
      <c r="F460">
        <v>4120062</v>
      </c>
      <c r="G460" t="s">
        <v>14149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">
        <v>14133</v>
      </c>
      <c r="D461" s="2"/>
      <c r="E461" s="2" t="str">
        <f>IFERROR(VLOOKUP(1*LEFT(C461,7),DF!$A$1:$F$9447,2,FALSE),"")</f>
        <v>CAMISA ML BAT BLANCA VIP 46/50</v>
      </c>
      <c r="F461">
        <v>4120062</v>
      </c>
      <c r="G461" t="s">
        <v>14149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14134</v>
      </c>
      <c r="D462" s="2"/>
      <c r="E462" s="2" t="str">
        <f>IFERROR(VLOOKUP(1*LEFT(C462,7),DF!$A$1:$F$9447,2,FALSE),"")</f>
        <v>CAMISA ML BAT BLANCA VIP 52/56</v>
      </c>
      <c r="F462">
        <v>4120062</v>
      </c>
      <c r="G462" t="s">
        <v>14149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14135</v>
      </c>
      <c r="D463" s="2"/>
      <c r="E463" s="2" t="str">
        <f>IFERROR(VLOOKUP(1*LEFT(C463,7),DF!$A$1:$F$9447,2,FALSE),"")</f>
        <v>CAMISA ML BAT BLANCA VIP 58/66</v>
      </c>
      <c r="F463">
        <v>4120062</v>
      </c>
      <c r="G463" t="s">
        <v>14149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ref="C464" si="27">CONCATENATE(F464,"##")</f>
        <v>4120270##</v>
      </c>
      <c r="D464" s="2"/>
      <c r="E464" s="2" t="str">
        <f>IFERROR(VLOOKUP(1*LEFT(C464,7),DF!$A$1:$F$9447,2,FALSE),"")</f>
        <v>CAMISA ML BAT AZUL VIP 34/44 RER</v>
      </c>
      <c r="F464">
        <v>4120270</v>
      </c>
      <c r="G464" t="s">
        <v>14150</v>
      </c>
      <c r="H464">
        <v>3</v>
      </c>
      <c r="I464">
        <v>1</v>
      </c>
    </row>
    <row r="465" spans="1:9" x14ac:dyDescent="0.25">
      <c r="A465" s="2">
        <v>16522</v>
      </c>
      <c r="B465" s="2" t="s">
        <v>4</v>
      </c>
      <c r="C465" s="2" t="s">
        <v>14136</v>
      </c>
      <c r="D465" s="2"/>
      <c r="E465" s="2" t="str">
        <f>IFERROR(VLOOKUP(1*LEFT(C465,7),DF!$A$1:$F$9447,2,FALSE),"")</f>
        <v>CAMISA ML BAT AZUL VIP 46/50 RER</v>
      </c>
      <c r="F465">
        <v>4120270</v>
      </c>
      <c r="G465" t="s">
        <v>14150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14137</v>
      </c>
      <c r="D466" s="2"/>
      <c r="E466" s="2" t="str">
        <f>IFERROR(VLOOKUP(1*LEFT(C466,7),DF!$A$1:$F$9447,2,FALSE),"")</f>
        <v>CAMISA ML BAT AZUL VIP 52/56 RER</v>
      </c>
      <c r="F466">
        <v>4120270</v>
      </c>
      <c r="G466" t="s">
        <v>14150</v>
      </c>
      <c r="H466">
        <v>3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ref="C467:C469" si="28">CONCATENATE(F467,"##")</f>
        <v>5101985##</v>
      </c>
      <c r="D467" s="2"/>
      <c r="E467" s="2" t="str">
        <f>IFERROR(VLOOKUP(1*LEFT(C467,7),DF!$A$1:$F$9447,2,FALSE),"")</f>
        <v>CAMP INVEST AZUL RER</v>
      </c>
      <c r="F467">
        <v>5101985</v>
      </c>
      <c r="G467" t="s">
        <v>14152</v>
      </c>
      <c r="H467">
        <v>7</v>
      </c>
      <c r="I467">
        <v>1</v>
      </c>
    </row>
    <row r="468" spans="1:9" x14ac:dyDescent="0.25">
      <c r="A468" s="2">
        <v>16522</v>
      </c>
      <c r="B468" s="2" t="s">
        <v>4</v>
      </c>
      <c r="C468" t="s">
        <v>3902</v>
      </c>
      <c r="D468" s="2"/>
      <c r="E468" s="2" t="str">
        <f>IFERROR(VLOOKUP(1*LEFT(C468,7),DF!$A$1:$F$9447,2,FALSE),"")</f>
        <v>CAMP INVEST AZUL T.E. 3XL/4XL RER</v>
      </c>
      <c r="F468">
        <v>5101985</v>
      </c>
      <c r="G468" t="s">
        <v>14152</v>
      </c>
      <c r="H468">
        <v>7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 t="shared" si="28"/>
        <v>5101900##</v>
      </c>
      <c r="D469" s="2"/>
      <c r="E469" s="2" t="str">
        <f>IFERROR(VLOOKUP(1*LEFT(C469,7),DF!$A$1:$F$9447,2,FALSE),"")</f>
        <v>CAMP INVEST NEGRA RER</v>
      </c>
      <c r="F469">
        <v>5101900</v>
      </c>
      <c r="G469" t="s">
        <v>14153</v>
      </c>
      <c r="H469">
        <v>7</v>
      </c>
      <c r="I469">
        <v>1</v>
      </c>
    </row>
    <row r="470" spans="1:9" x14ac:dyDescent="0.25">
      <c r="A470" s="2">
        <v>16522</v>
      </c>
      <c r="B470" s="2" t="s">
        <v>4</v>
      </c>
      <c r="C470" t="s">
        <v>1985</v>
      </c>
      <c r="D470" s="2"/>
      <c r="E470" s="2" t="str">
        <f>IFERROR(VLOOKUP(1*LEFT(C470,7),DF!$A$1:$F$9447,2,FALSE),"")</f>
        <v>CAMP INVEST NEGRA T.E. 3XL/4XL RER</v>
      </c>
      <c r="F470">
        <v>5101900</v>
      </c>
      <c r="G470" t="s">
        <v>14153</v>
      </c>
      <c r="H470">
        <v>7</v>
      </c>
      <c r="I470">
        <v>1</v>
      </c>
    </row>
    <row r="471" spans="1:9" x14ac:dyDescent="0.25">
      <c r="A471" s="2">
        <v>16522</v>
      </c>
      <c r="B471" s="2" t="s">
        <v>4</v>
      </c>
      <c r="C471" s="2" t="str">
        <f t="shared" ref="C471" si="29">CONCATENATE(F471,"##")</f>
        <v>5101083##</v>
      </c>
      <c r="D471" s="2"/>
      <c r="E471" s="2" t="str">
        <f>IFERROR(VLOOKUP(1*LEFT(C471,7),DF!$A$1:$F$9447,2,FALSE),"")</f>
        <v>CAMP INVEST GRIS RER</v>
      </c>
      <c r="F471">
        <v>5101083</v>
      </c>
      <c r="G471" t="s">
        <v>14151</v>
      </c>
      <c r="H471">
        <v>7</v>
      </c>
      <c r="I471">
        <v>1</v>
      </c>
    </row>
    <row r="472" spans="1:9" x14ac:dyDescent="0.25">
      <c r="A472" s="2">
        <v>16522</v>
      </c>
      <c r="B472" s="2" t="s">
        <v>4</v>
      </c>
      <c r="C472" s="2" t="str">
        <f t="shared" ref="C472:C476" si="30">CONCATENATE(F472,"##")</f>
        <v>5101999##</v>
      </c>
      <c r="D472" s="2"/>
      <c r="E472" s="2" t="str">
        <f>IFERROR(VLOOKUP(1*LEFT(C472,7),DF!$A$1:$F$9447,2,FALSE),"")</f>
        <v>CAMP PALMAJ AZUL 3XS/2XL RER</v>
      </c>
      <c r="F472">
        <v>5101999</v>
      </c>
      <c r="G472" t="s">
        <v>14172</v>
      </c>
      <c r="H472">
        <v>10</v>
      </c>
      <c r="I472">
        <v>1</v>
      </c>
    </row>
    <row r="473" spans="1:9" x14ac:dyDescent="0.25">
      <c r="A473" s="2">
        <v>16522</v>
      </c>
      <c r="B473" s="2" t="s">
        <v>4</v>
      </c>
      <c r="C473" s="2" t="s">
        <v>1993</v>
      </c>
      <c r="D473" s="2"/>
      <c r="E473" s="2" t="str">
        <f>IFERROR(VLOOKUP(1*LEFT(C473,7),DF!$A$1:$F$9447,2,FALSE),"")</f>
        <v>CAMP PALMAJ AZUL 3XL/4XL RER</v>
      </c>
      <c r="F473">
        <v>5101999</v>
      </c>
      <c r="G473" t="s">
        <v>14172</v>
      </c>
      <c r="H473">
        <v>10</v>
      </c>
      <c r="I473">
        <v>1</v>
      </c>
    </row>
    <row r="474" spans="1:9" x14ac:dyDescent="0.25">
      <c r="A474" s="2">
        <v>16522</v>
      </c>
      <c r="B474" s="2" t="s">
        <v>4</v>
      </c>
      <c r="C474" s="2" t="str">
        <f t="shared" si="30"/>
        <v>5101888##</v>
      </c>
      <c r="D474" s="2"/>
      <c r="E474" s="2" t="str">
        <f>IFERROR(VLOOKUP(1*LEFT(C474,7),DF!$A$1:$F$9447,2,FALSE),"")</f>
        <v>CAMP PALMAJ NEGRA 2XS/2XL RER</v>
      </c>
      <c r="F474">
        <v>5101888</v>
      </c>
      <c r="G474" t="s">
        <v>14173</v>
      </c>
      <c r="H474">
        <v>9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2899</v>
      </c>
      <c r="D475" s="2"/>
      <c r="E475" s="2" t="str">
        <f>IFERROR(VLOOKUP(1*LEFT(C475,7),DF!$A$1:$F$9447,2,FALSE),"")</f>
        <v>CAMP PALMAJ NEGRA 3XL/6XL RER</v>
      </c>
      <c r="F475">
        <v>5101888</v>
      </c>
      <c r="G475" t="s">
        <v>14173</v>
      </c>
      <c r="H475">
        <v>9</v>
      </c>
      <c r="I475">
        <v>1</v>
      </c>
    </row>
    <row r="476" spans="1:9" x14ac:dyDescent="0.25">
      <c r="A476" s="2">
        <v>16522</v>
      </c>
      <c r="B476" s="2" t="s">
        <v>4</v>
      </c>
      <c r="C476" s="2" t="str">
        <f t="shared" si="30"/>
        <v>5101777##</v>
      </c>
      <c r="D476" s="2"/>
      <c r="E476" s="2" t="str">
        <f>IFERROR(VLOOKUP(1*LEFT(C476,7),DF!$A$1:$F$9447,2,FALSE),"")</f>
        <v>CAMP PALMAJ GRIS 2XS/2XL RER</v>
      </c>
      <c r="F476">
        <v>5101777</v>
      </c>
      <c r="G476" t="s">
        <v>14174</v>
      </c>
      <c r="H476">
        <v>8</v>
      </c>
      <c r="I476">
        <v>1</v>
      </c>
    </row>
    <row r="477" spans="1:9" x14ac:dyDescent="0.25">
      <c r="A477" s="2">
        <v>16522</v>
      </c>
      <c r="B477" s="2" t="s">
        <v>4</v>
      </c>
      <c r="C477" s="2" t="s">
        <v>2907</v>
      </c>
      <c r="D477" s="2"/>
      <c r="E477" s="2" t="str">
        <f>IFERROR(VLOOKUP(1*LEFT(C477,7),DF!$A$1:$F$9447,2,FALSE),"")</f>
        <v>CAMP PALMAJ GRIS 3XL/5XL RER</v>
      </c>
      <c r="F477">
        <v>5101777</v>
      </c>
      <c r="G477" t="s">
        <v>14174</v>
      </c>
      <c r="H477">
        <v>8</v>
      </c>
      <c r="I477">
        <v>1</v>
      </c>
    </row>
    <row r="478" spans="1:9" x14ac:dyDescent="0.25">
      <c r="A478" s="2">
        <v>16522</v>
      </c>
      <c r="B478" s="2" t="s">
        <v>4</v>
      </c>
      <c r="C478" s="2" t="str">
        <f t="shared" ref="C478" si="31">CONCATENATE(F478,"##")</f>
        <v>5101002##</v>
      </c>
      <c r="D478" s="2"/>
      <c r="E478" s="2" t="str">
        <f>IFERROR(VLOOKUP(1*LEFT(C478,7),DF!$A$1:$F$9447,2,FALSE),"")</f>
        <v>GARIBALDINA MAO RIP TIGR CEL 2XS/2XL RER</v>
      </c>
      <c r="F478">
        <v>5101002</v>
      </c>
      <c r="G478" t="s">
        <v>14279</v>
      </c>
      <c r="H478">
        <v>5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4779</v>
      </c>
      <c r="D479" s="2"/>
      <c r="E479" s="2" t="str">
        <f>IFERROR(VLOOKUP(1*LEFT(C479,7),DF!$A$1:$F$9447,2,FALSE),"")</f>
        <v>GARIBALDINA MAO RIP TIGR CEL 3XL/5XL RER</v>
      </c>
      <c r="F479">
        <v>5101002</v>
      </c>
      <c r="G479" t="s">
        <v>14279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ref="C480:C496" si="32">CONCATENATE(F480,"##")</f>
        <v>5101006##</v>
      </c>
      <c r="D480" s="2"/>
      <c r="E480" s="2" t="str">
        <f>IFERROR(VLOOKUP(1*LEFT(C480,7),DF!$A$1:$F$9447,2,FALSE),"")</f>
        <v>GARIBALDINA MAO RIP DESERT 2XS/2XL RER</v>
      </c>
      <c r="F480">
        <v>5101006</v>
      </c>
      <c r="G480" t="s">
        <v>14083</v>
      </c>
      <c r="H480">
        <v>4</v>
      </c>
      <c r="I480">
        <v>1</v>
      </c>
    </row>
    <row r="481" spans="1:9" x14ac:dyDescent="0.25">
      <c r="A481" s="2">
        <v>16522</v>
      </c>
      <c r="B481" s="2" t="s">
        <v>4</v>
      </c>
      <c r="C481" s="2" t="s">
        <v>4803</v>
      </c>
      <c r="D481" s="2"/>
      <c r="E481" s="2" t="str">
        <f>IFERROR(VLOOKUP(1*LEFT(C481,7),DF!$A$1:$F$9447,2,FALSE),"")</f>
        <v>GARIBALDINA MAO RIP DESERT 3XL/5XL RER</v>
      </c>
      <c r="F481">
        <v>5101006</v>
      </c>
      <c r="G481" t="s">
        <v>14083</v>
      </c>
      <c r="H481">
        <v>4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32"/>
        <v>5101029##</v>
      </c>
      <c r="D482" s="2"/>
      <c r="E482" s="2" t="str">
        <f>IFERROR(VLOOKUP(1*LEFT(C482,7),DF!$A$1:$F$9447,2,FALSE),"")</f>
        <v>GARIBALDINA MAO RIP INFANT 2XS/2XL RER</v>
      </c>
      <c r="F482">
        <v>5101029</v>
      </c>
      <c r="G482" t="s">
        <v>14280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4701</v>
      </c>
      <c r="D483" s="2"/>
      <c r="E483" s="2" t="str">
        <f>IFERROR(VLOOKUP(1*LEFT(C483,7),DF!$A$1:$F$9447,2,FALSE),"")</f>
        <v>GARIBALDINA MAO RIP INFANT 3XL/5XL RER</v>
      </c>
      <c r="F483">
        <v>5101029</v>
      </c>
      <c r="G483" t="s">
        <v>14280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32"/>
        <v>5101140##</v>
      </c>
      <c r="D484" s="2"/>
      <c r="E484" s="2" t="str">
        <f>IFERROR(VLOOKUP(1*LEFT(C484,7),DF!$A$1:$F$9447,2,FALSE),"")</f>
        <v>GARIBALDINA MAO RIP BEIGE 2XS/2XL RER</v>
      </c>
      <c r="F484">
        <v>5101140</v>
      </c>
      <c r="G484" t="s">
        <v>14281</v>
      </c>
      <c r="H484">
        <v>4</v>
      </c>
      <c r="I484">
        <v>1</v>
      </c>
    </row>
    <row r="485" spans="1:9" x14ac:dyDescent="0.25">
      <c r="A485" s="2">
        <v>16522</v>
      </c>
      <c r="B485" s="2" t="s">
        <v>4</v>
      </c>
      <c r="C485" s="2" t="s">
        <v>4733</v>
      </c>
      <c r="D485" s="2"/>
      <c r="E485" s="2" t="str">
        <f>IFERROR(VLOOKUP(1*LEFT(C485,7),DF!$A$1:$F$9447,2,FALSE),"")</f>
        <v>GARIBALDINA MAO RIP BEIGE 3XL/5XL RER</v>
      </c>
      <c r="F485">
        <v>5101140</v>
      </c>
      <c r="G485" t="s">
        <v>14281</v>
      </c>
      <c r="H485">
        <v>4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32"/>
        <v>5101165##</v>
      </c>
      <c r="D486" s="2"/>
      <c r="E486" s="2" t="str">
        <f>IFERROR(VLOOKUP(1*LEFT(C486,7),DF!$A$1:$F$9447,2,FALSE),"")</f>
        <v>GARIBALDINA MAO RIP DIG ACU 2XS/2XL RER</v>
      </c>
      <c r="F486">
        <v>5101165</v>
      </c>
      <c r="G486" t="s">
        <v>14282</v>
      </c>
      <c r="H486">
        <v>1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14278</v>
      </c>
      <c r="D487" s="2"/>
      <c r="E487" s="2" t="str">
        <f>IFERROR(VLOOKUP(1*LEFT(C487,7),DF!$A$1:$F$9447,2,FALSE),"")</f>
        <v>GARIBALDINA MAO RIP DIG ACU 3XL/5XL RER</v>
      </c>
      <c r="F487">
        <v>5101165</v>
      </c>
      <c r="G487" t="s">
        <v>14282</v>
      </c>
      <c r="H487">
        <v>1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32"/>
        <v>5101654##</v>
      </c>
      <c r="D488" s="2"/>
      <c r="E488" s="2" t="str">
        <f>IFERROR(VLOOKUP(1*LEFT(C488,7),DF!$A$1:$F$9447,2,FALSE),"")</f>
        <v>GARIBALDINA MAO RIP REQUISA 2XS/2XL RER</v>
      </c>
      <c r="F488">
        <v>5101654</v>
      </c>
      <c r="G488" t="s">
        <v>14283</v>
      </c>
      <c r="H488">
        <v>3</v>
      </c>
      <c r="I488">
        <v>1</v>
      </c>
    </row>
    <row r="489" spans="1:9" x14ac:dyDescent="0.25">
      <c r="A489" s="2">
        <v>16522</v>
      </c>
      <c r="B489" s="2" t="s">
        <v>4</v>
      </c>
      <c r="C489" s="2" t="s">
        <v>4751</v>
      </c>
      <c r="D489" s="2"/>
      <c r="E489" s="2" t="str">
        <f>IFERROR(VLOOKUP(1*LEFT(C489,7),DF!$A$1:$F$9447,2,FALSE),"")</f>
        <v>GARIBALDINA MAO RIP REQUISA 3XL/5XL RER</v>
      </c>
      <c r="F489">
        <v>5101654</v>
      </c>
      <c r="G489" t="s">
        <v>14283</v>
      </c>
      <c r="H489">
        <v>3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32"/>
        <v>5101845##</v>
      </c>
      <c r="D490" s="2"/>
      <c r="E490" s="2" t="str">
        <f>IFERROR(VLOOKUP(1*LEFT(C490,7),DF!$A$1:$F$9447,2,FALSE),"")</f>
        <v>GARIBALDINA MAO RIP EJERCITO 2XS/2XL RER</v>
      </c>
      <c r="F490">
        <v>5101845</v>
      </c>
      <c r="G490" t="s">
        <v>14284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4725</v>
      </c>
      <c r="D491" s="2"/>
      <c r="E491" s="2" t="str">
        <f>IFERROR(VLOOKUP(1*LEFT(C491,7),DF!$A$1:$F$9447,2,FALSE),"")</f>
        <v>GARIBALDINA MAO RIP EJERCITO 3XL/6XL RER</v>
      </c>
      <c r="F491">
        <v>5101845</v>
      </c>
      <c r="G491" t="s">
        <v>14284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32"/>
        <v>5101873##</v>
      </c>
      <c r="D492" s="2"/>
      <c r="E492" s="2" t="str">
        <f>IFERROR(VLOOKUP(1*LEFT(C492,7),DF!$A$1:$F$9447,2,FALSE),"")</f>
        <v>GARIBALDINA MAO RIP DIG GR 2XS/2XL RER</v>
      </c>
      <c r="F492">
        <v>5101873</v>
      </c>
      <c r="G492" t="s">
        <v>14285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">
        <v>4737</v>
      </c>
      <c r="D493" s="2"/>
      <c r="E493" s="2" t="str">
        <f>IFERROR(VLOOKUP(1*LEFT(C493,7),DF!$A$1:$F$9447,2,FALSE),"")</f>
        <v>GARIBALDINA MAO RIP DIG GR 3XL/5XL RER</v>
      </c>
      <c r="F493">
        <v>5101873</v>
      </c>
      <c r="G493" t="s">
        <v>14285</v>
      </c>
      <c r="H493">
        <v>3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32"/>
        <v>5101877##</v>
      </c>
      <c r="D494" s="2"/>
      <c r="E494" s="2" t="str">
        <f>IFERROR(VLOOKUP(1*LEFT(C494,7),DF!$A$1:$F$9447,2,FALSE),"")</f>
        <v>GARIBALDINA MAO RIP MIM RURA 3XS/2XL RER</v>
      </c>
      <c r="F494">
        <v>5101877</v>
      </c>
      <c r="G494" t="s">
        <v>14286</v>
      </c>
      <c r="H494">
        <v>4</v>
      </c>
      <c r="I494">
        <v>1</v>
      </c>
    </row>
    <row r="495" spans="1:9" x14ac:dyDescent="0.25">
      <c r="A495" s="2">
        <v>16522</v>
      </c>
      <c r="B495" s="2" t="s">
        <v>4</v>
      </c>
      <c r="C495" s="2" t="s">
        <v>4875</v>
      </c>
      <c r="D495" s="2"/>
      <c r="E495" s="2" t="str">
        <f>IFERROR(VLOOKUP(1*LEFT(C495,7),DF!$A$1:$F$9447,2,FALSE),"")</f>
        <v>GARIBALDINA MAO RIP MIM RURA 3XL/5XL RER</v>
      </c>
      <c r="F495">
        <v>5101877</v>
      </c>
      <c r="G495" t="s">
        <v>14286</v>
      </c>
      <c r="H495">
        <v>4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 t="shared" si="32"/>
        <v>5101886##</v>
      </c>
      <c r="D496" s="2"/>
      <c r="E496" s="2" t="str">
        <f>IFERROR(VLOOKUP(1*LEFT(C496,7),DF!$A$1:$F$9447,2,FALSE),"")</f>
        <v>GARIBALDINA MAO RIP DIG BEIG 2XS/2XL RER</v>
      </c>
      <c r="F496">
        <v>5101886</v>
      </c>
      <c r="G496" t="s">
        <v>14287</v>
      </c>
      <c r="H496">
        <v>4</v>
      </c>
      <c r="I496">
        <v>1</v>
      </c>
    </row>
    <row r="497" spans="1:9" x14ac:dyDescent="0.25">
      <c r="A497" s="2">
        <v>16522</v>
      </c>
      <c r="B497" s="2" t="s">
        <v>4</v>
      </c>
      <c r="C497" s="2" t="s">
        <v>4827</v>
      </c>
      <c r="D497" s="2"/>
      <c r="E497" s="2" t="str">
        <f>IFERROR(VLOOKUP(1*LEFT(C497,7),DF!$A$1:$F$9447,2,FALSE),"")</f>
        <v>GARIBALDINA MAO RIP DIG BEIG 3XL/6XL RER</v>
      </c>
      <c r="F497">
        <v>5101886</v>
      </c>
      <c r="G497" t="s">
        <v>14287</v>
      </c>
      <c r="H497">
        <v>4</v>
      </c>
      <c r="I497">
        <v>1</v>
      </c>
    </row>
    <row r="498" spans="1:9" x14ac:dyDescent="0.25">
      <c r="A498" s="2">
        <v>16522</v>
      </c>
      <c r="B498" s="2" t="s">
        <v>4</v>
      </c>
      <c r="C498" s="2" t="str">
        <f t="shared" ref="C498" si="33">CONCATENATE(F498,"##")</f>
        <v>5101048##</v>
      </c>
      <c r="D498" s="2"/>
      <c r="E498" s="2" t="str">
        <f>IFERROR(VLOOKUP(1*LEFT(C498,7),DF!$A$1:$F$9447,2,FALSE),"")</f>
        <v>GARIBALDINA MAO GAB AZUL 3XS/2XL RER</v>
      </c>
      <c r="F498">
        <v>5101048</v>
      </c>
      <c r="G498" t="s">
        <v>14291</v>
      </c>
      <c r="H498">
        <v>4</v>
      </c>
      <c r="I498">
        <v>1</v>
      </c>
    </row>
    <row r="499" spans="1:9" x14ac:dyDescent="0.25">
      <c r="A499" s="2">
        <v>16522</v>
      </c>
      <c r="B499" s="2" t="s">
        <v>4</v>
      </c>
      <c r="C499" s="2" t="s">
        <v>5277</v>
      </c>
      <c r="D499" s="2"/>
      <c r="E499" s="2" t="str">
        <f>IFERROR(VLOOKUP(1*LEFT(C499,7),DF!$A$1:$F$9447,2,FALSE),"")</f>
        <v>GARIBALDINA MAO GAB AZUL 3XL/6XL RER</v>
      </c>
      <c r="F499">
        <v>5101048</v>
      </c>
      <c r="G499" t="s">
        <v>14291</v>
      </c>
      <c r="H499">
        <v>4</v>
      </c>
      <c r="I499">
        <v>1</v>
      </c>
    </row>
    <row r="500" spans="1:9" x14ac:dyDescent="0.25">
      <c r="A500" s="2">
        <v>16522</v>
      </c>
      <c r="B500" s="2" t="s">
        <v>4</v>
      </c>
      <c r="C500" s="2" t="str">
        <f t="shared" ref="C500:C502" si="34">CONCATENATE(F500,"##")</f>
        <v>5101052##</v>
      </c>
      <c r="D500" s="2"/>
      <c r="E500" s="2" t="str">
        <f>IFERROR(VLOOKUP(1*LEFT(C500,7),DF!$A$1:$F$9447,2,FALSE),"")</f>
        <v>GARIBALDINA MAO GAB NEGRA 2XS/2XL</v>
      </c>
      <c r="F500">
        <v>5101052</v>
      </c>
      <c r="G500" t="s">
        <v>14292</v>
      </c>
      <c r="H500">
        <v>4</v>
      </c>
      <c r="I500">
        <v>1</v>
      </c>
    </row>
    <row r="501" spans="1:9" x14ac:dyDescent="0.25">
      <c r="A501" s="2">
        <v>16522</v>
      </c>
      <c r="B501" s="2" t="s">
        <v>4</v>
      </c>
      <c r="C501" s="2" t="s">
        <v>5285</v>
      </c>
      <c r="D501" s="2"/>
      <c r="E501" s="2" t="str">
        <f>IFERROR(VLOOKUP(1*LEFT(C501,7),DF!$A$1:$F$9447,2,FALSE),"")</f>
        <v>GARIBALDINA MAO GAB NEGRA 3XL/6XL</v>
      </c>
      <c r="F501">
        <v>5101052</v>
      </c>
      <c r="G501" t="s">
        <v>14292</v>
      </c>
      <c r="H501">
        <v>4</v>
      </c>
      <c r="I501">
        <v>1</v>
      </c>
    </row>
    <row r="502" spans="1:9" x14ac:dyDescent="0.25">
      <c r="A502" s="2">
        <v>16522</v>
      </c>
      <c r="B502" s="2" t="s">
        <v>4</v>
      </c>
      <c r="C502" s="2" t="str">
        <f t="shared" si="34"/>
        <v>5101046##</v>
      </c>
      <c r="D502" s="2"/>
      <c r="E502" s="2" t="str">
        <f>IFERROR(VLOOKUP(1*LEFT(C502,7),DF!$A$1:$F$9447,2,FALSE),"")</f>
        <v>GARIBALDINA MAO GAB GRIS FED 3XS/2XL RER</v>
      </c>
      <c r="F502">
        <v>5101046</v>
      </c>
      <c r="G502" t="s">
        <v>14293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">
        <v>4735</v>
      </c>
      <c r="D503" s="2"/>
      <c r="E503" s="2" t="str">
        <f>IFERROR(VLOOKUP(1*LEFT(C503,7),DF!$A$1:$F$9447,2,FALSE),"")</f>
        <v>GARIBALDINA MAO GAB GRIS FED 3XL/6XL RER</v>
      </c>
      <c r="F503">
        <v>5101046</v>
      </c>
      <c r="G503" t="s">
        <v>14293</v>
      </c>
      <c r="H503">
        <v>5</v>
      </c>
      <c r="I503">
        <v>1</v>
      </c>
    </row>
    <row r="504" spans="1:9" x14ac:dyDescent="0.25">
      <c r="A504" s="2">
        <v>16522</v>
      </c>
      <c r="B504" s="2" t="s">
        <v>4</v>
      </c>
      <c r="C504" s="2" t="str">
        <f t="shared" ref="C504" si="35">CONCATENATE(F504,"##")</f>
        <v>5101852##</v>
      </c>
      <c r="D504" s="2"/>
      <c r="E504" s="2" t="str">
        <f>IFERROR(VLOOKUP(1*LEFT(C504,7),DF!$A$1:$F$9447,2,FALSE),"")</f>
        <v>GARIBALDINA MAO RIP AZUL 2XS/2XL EM</v>
      </c>
      <c r="F504">
        <v>5101852</v>
      </c>
      <c r="G504" t="s">
        <v>14294</v>
      </c>
      <c r="H504">
        <v>4</v>
      </c>
      <c r="I504">
        <v>1</v>
      </c>
    </row>
    <row r="505" spans="1:9" x14ac:dyDescent="0.25">
      <c r="A505" s="2">
        <v>16522</v>
      </c>
      <c r="B505" s="2" t="s">
        <v>4</v>
      </c>
      <c r="C505" s="2" t="s">
        <v>2001</v>
      </c>
      <c r="D505" s="2"/>
      <c r="E505" s="2" t="str">
        <f>IFERROR(VLOOKUP(1*LEFT(C505,7),DF!$A$1:$F$9447,2,FALSE),"")</f>
        <v>GARIBALDINA MAO RIP AZUL 3XL/5XL RER</v>
      </c>
      <c r="F505">
        <v>5101852</v>
      </c>
      <c r="G505" t="s">
        <v>14294</v>
      </c>
      <c r="H505">
        <v>4</v>
      </c>
      <c r="I505">
        <v>1</v>
      </c>
    </row>
    <row r="506" spans="1:9" x14ac:dyDescent="0.25">
      <c r="A506" s="2">
        <v>16522</v>
      </c>
      <c r="B506" s="2" t="s">
        <v>4</v>
      </c>
      <c r="C506" s="2" t="str">
        <f t="shared" ref="C506" si="36">CONCATENATE(F506,"##")</f>
        <v>2103069##</v>
      </c>
      <c r="D506" s="2"/>
      <c r="E506" s="2" t="str">
        <f>IFERROR(VLOOKUP(1*LEFT(C506,7),DF!$A$1:$F$9447,2,FALSE),"")</f>
        <v>CHOMBA MC POLO GRIS + BAND 3XS/2XL RER</v>
      </c>
      <c r="F506">
        <v>2103069</v>
      </c>
      <c r="G506" t="s">
        <v>14298</v>
      </c>
      <c r="H506">
        <v>3</v>
      </c>
      <c r="I506">
        <v>1</v>
      </c>
    </row>
    <row r="507" spans="1:9" x14ac:dyDescent="0.25">
      <c r="A507" s="2">
        <v>16522</v>
      </c>
      <c r="B507" s="2" t="s">
        <v>4</v>
      </c>
      <c r="C507" t="s">
        <v>3896</v>
      </c>
      <c r="D507" s="2"/>
      <c r="E507" s="2" t="str">
        <f>IFERROR(VLOOKUP(1*LEFT(C507,7),DF!$A$1:$F$9447,2,FALSE),"")</f>
        <v>CHOMBA MC POLO GRIS + BAND 3XL/6XL RER</v>
      </c>
      <c r="F507">
        <v>2103069</v>
      </c>
      <c r="G507" t="s">
        <v>14298</v>
      </c>
      <c r="H507">
        <v>3</v>
      </c>
      <c r="I507">
        <v>1</v>
      </c>
    </row>
    <row r="508" spans="1:9" x14ac:dyDescent="0.25">
      <c r="A508" s="2">
        <v>16522</v>
      </c>
      <c r="B508" s="2" t="s">
        <v>4</v>
      </c>
      <c r="C508" s="2" t="str">
        <f t="shared" ref="C508:C512" si="37">CONCATENATE(F508,"##")</f>
        <v>2101000##</v>
      </c>
      <c r="D508" s="2"/>
      <c r="E508" s="2" t="str">
        <f>IFERROR(VLOOKUP(1*LEFT(C508,7),DF!$A$1:$F$9447,2,FALSE),"")</f>
        <v>CHOMBA MC POLO NEGRA 3XS/2XL RER</v>
      </c>
      <c r="F508">
        <v>2101000</v>
      </c>
      <c r="G508" t="s">
        <v>14299</v>
      </c>
      <c r="H508">
        <v>3</v>
      </c>
      <c r="I508">
        <v>1</v>
      </c>
    </row>
    <row r="509" spans="1:9" x14ac:dyDescent="0.25">
      <c r="A509" s="2">
        <v>16522</v>
      </c>
      <c r="B509" s="2" t="s">
        <v>4</v>
      </c>
      <c r="C509" s="2" t="s">
        <v>3900</v>
      </c>
      <c r="D509" s="2"/>
      <c r="E509" s="2" t="str">
        <f>IFERROR(VLOOKUP(1*LEFT(C509,7),DF!$A$1:$F$9447,2,FALSE),"")</f>
        <v>CHOMBA MC POLO NEGRA 3XL/5XL RER</v>
      </c>
      <c r="F509">
        <v>2101000</v>
      </c>
      <c r="G509" t="s">
        <v>14299</v>
      </c>
      <c r="H509">
        <v>3</v>
      </c>
      <c r="I509">
        <v>1</v>
      </c>
    </row>
    <row r="510" spans="1:9" x14ac:dyDescent="0.25">
      <c r="A510" s="2">
        <v>16522</v>
      </c>
      <c r="B510" s="2" t="s">
        <v>4</v>
      </c>
      <c r="C510" s="2" t="str">
        <f t="shared" si="37"/>
        <v>2103068##</v>
      </c>
      <c r="D510" s="2"/>
      <c r="E510" s="2" t="str">
        <f>IFERROR(VLOOKUP(1*LEFT(C510,7),DF!$A$1:$F$9447,2,FALSE),"")</f>
        <v>CHOMBA MC POLO AZ + BAND 3XS/2XL RER</v>
      </c>
      <c r="F510">
        <v>2103068</v>
      </c>
      <c r="G510" t="s">
        <v>14300</v>
      </c>
      <c r="H510">
        <v>3</v>
      </c>
      <c r="I510">
        <v>1</v>
      </c>
    </row>
    <row r="511" spans="1:9" x14ac:dyDescent="0.25">
      <c r="A511" s="2">
        <v>16522</v>
      </c>
      <c r="B511" s="2" t="s">
        <v>4</v>
      </c>
      <c r="C511" t="s">
        <v>3898</v>
      </c>
      <c r="D511" s="2"/>
      <c r="E511" s="2" t="str">
        <f>IFERROR(VLOOKUP(1*LEFT(C511,7),DF!$A$1:$F$9447,2,FALSE),"")</f>
        <v>CHOMBA MC POLO AZ + BAND 3XL/5XL RER</v>
      </c>
      <c r="F511">
        <v>2103068</v>
      </c>
      <c r="G511" t="s">
        <v>14300</v>
      </c>
      <c r="H511">
        <v>3</v>
      </c>
      <c r="I511">
        <v>1</v>
      </c>
    </row>
    <row r="512" spans="1:9" x14ac:dyDescent="0.25">
      <c r="A512" s="2">
        <v>16522</v>
      </c>
      <c r="B512" s="2" t="s">
        <v>4</v>
      </c>
      <c r="C512" s="2" t="str">
        <f t="shared" si="37"/>
        <v>1120428##</v>
      </c>
      <c r="D512" s="2"/>
      <c r="E512" s="2" t="str">
        <f>IFERROR(VLOOKUP(1*LEFT(C512,7),DF!$A$1:$F$9447,2,FALSE),"")</f>
        <v>BREECHES AZUL 34/48 RER</v>
      </c>
      <c r="F512">
        <v>1120428</v>
      </c>
      <c r="G512" t="s">
        <v>14301</v>
      </c>
      <c r="H512">
        <v>4</v>
      </c>
      <c r="I512">
        <v>1</v>
      </c>
    </row>
    <row r="513" spans="1:9" x14ac:dyDescent="0.25">
      <c r="A513" s="2">
        <v>16522</v>
      </c>
      <c r="B513" s="2" t="s">
        <v>4</v>
      </c>
      <c r="C513" s="2" t="s">
        <v>4029</v>
      </c>
      <c r="D513" s="2"/>
      <c r="E513" s="2" t="str">
        <f>IFERROR(VLOOKUP(1*LEFT(C513,7),DF!$A$1:$F$9447,2,FALSE),"")</f>
        <v>BREECHES AZUL 50/54 RER</v>
      </c>
      <c r="F513">
        <v>1120428</v>
      </c>
      <c r="G513" t="s">
        <v>14301</v>
      </c>
      <c r="H513">
        <v>4</v>
      </c>
      <c r="I513">
        <v>1</v>
      </c>
    </row>
    <row r="514" spans="1:9" x14ac:dyDescent="0.25">
      <c r="A514" s="2">
        <v>16522</v>
      </c>
      <c r="B514" s="2" t="s">
        <v>4</v>
      </c>
      <c r="C514" s="2" t="s">
        <v>14295</v>
      </c>
      <c r="D514" s="2"/>
      <c r="E514" s="2" t="str">
        <f>IFERROR(VLOOKUP(1*LEFT(C514,7),DF!$A$1:$F$9447,2,FALSE),"")</f>
        <v>BREECHES AZUL 56/60 RER</v>
      </c>
      <c r="F514">
        <v>1120428</v>
      </c>
      <c r="G514" t="s">
        <v>14301</v>
      </c>
      <c r="H514">
        <v>4</v>
      </c>
      <c r="I514">
        <v>1</v>
      </c>
    </row>
    <row r="515" spans="1:9" x14ac:dyDescent="0.25">
      <c r="A515" s="2">
        <v>16522</v>
      </c>
      <c r="B515" s="2" t="s">
        <v>4</v>
      </c>
      <c r="C515" s="2" t="s">
        <v>14296</v>
      </c>
      <c r="D515" s="2"/>
      <c r="E515" s="2" t="str">
        <f>IFERROR(VLOOKUP(1*LEFT(C515,7),DF!$A$1:$F$9447,2,FALSE),"")</f>
        <v>BREECHES AZUL 62/66 RER</v>
      </c>
      <c r="F515">
        <v>1120428</v>
      </c>
      <c r="G515" t="s">
        <v>14301</v>
      </c>
      <c r="H515">
        <v>4</v>
      </c>
      <c r="I515">
        <v>1</v>
      </c>
    </row>
    <row r="516" spans="1:9" x14ac:dyDescent="0.25">
      <c r="A516" s="2">
        <v>16522</v>
      </c>
      <c r="B516" s="2" t="s">
        <v>4</v>
      </c>
      <c r="C516" s="2" t="str">
        <f t="shared" ref="C516" si="38">CONCATENATE(F516,"##")</f>
        <v>1120450##</v>
      </c>
      <c r="D516" s="2"/>
      <c r="E516" s="2" t="str">
        <f>IFERROR(VLOOKUP(1*LEFT(C516,7),DF!$A$1:$F$9447,2,FALSE),"")</f>
        <v>BREECHES NEGRO 34/48 RER</v>
      </c>
      <c r="F516">
        <v>1120450</v>
      </c>
      <c r="G516" t="s">
        <v>14302</v>
      </c>
      <c r="H516">
        <v>4</v>
      </c>
      <c r="I516">
        <v>1</v>
      </c>
    </row>
    <row r="517" spans="1:9" x14ac:dyDescent="0.25">
      <c r="A517" s="2">
        <v>16522</v>
      </c>
      <c r="B517" s="2" t="s">
        <v>4</v>
      </c>
      <c r="C517" s="2" t="s">
        <v>4021</v>
      </c>
      <c r="D517" s="2"/>
      <c r="E517" s="2" t="str">
        <f>IFERROR(VLOOKUP(1*LEFT(C517,7),DF!$A$1:$F$9447,2,FALSE),"")</f>
        <v>BREECHES NEGRO 50/54 RER</v>
      </c>
      <c r="F517">
        <v>1120450</v>
      </c>
      <c r="G517" t="s">
        <v>14302</v>
      </c>
      <c r="H517">
        <v>4</v>
      </c>
      <c r="I517">
        <v>1</v>
      </c>
    </row>
    <row r="518" spans="1:9" x14ac:dyDescent="0.25">
      <c r="A518" s="2">
        <v>16522</v>
      </c>
      <c r="B518" s="2" t="s">
        <v>4</v>
      </c>
      <c r="C518" s="2" t="s">
        <v>4627</v>
      </c>
      <c r="D518" s="2"/>
      <c r="E518" s="2" t="str">
        <f>IFERROR(VLOOKUP(1*LEFT(C518,7),DF!$A$1:$F$9447,2,FALSE),"")</f>
        <v>BREECHES NEGRO 56/60 RER</v>
      </c>
      <c r="F518">
        <v>1120450</v>
      </c>
      <c r="G518" t="s">
        <v>14302</v>
      </c>
      <c r="H518">
        <v>4</v>
      </c>
      <c r="I518">
        <v>1</v>
      </c>
    </row>
    <row r="519" spans="1:9" x14ac:dyDescent="0.25">
      <c r="A519" s="2">
        <v>16522</v>
      </c>
      <c r="B519" s="2" t="s">
        <v>4</v>
      </c>
      <c r="C519" s="2" t="s">
        <v>14297</v>
      </c>
      <c r="D519" s="2"/>
      <c r="E519" s="2" t="str">
        <f>IFERROR(VLOOKUP(1*LEFT(C519,7),DF!$A$1:$F$9447,2,FALSE),"")</f>
        <v>BREECHES NEGRO 62/66 RER</v>
      </c>
      <c r="F519">
        <v>1120450</v>
      </c>
      <c r="G519" t="s">
        <v>14302</v>
      </c>
      <c r="H519">
        <v>4</v>
      </c>
      <c r="I519">
        <v>1</v>
      </c>
    </row>
    <row r="520" spans="1:9" x14ac:dyDescent="0.25">
      <c r="A520" s="2">
        <v>16522</v>
      </c>
      <c r="B520" s="2" t="s">
        <v>4</v>
      </c>
      <c r="C520" s="2" t="str">
        <f t="shared" ref="C520" si="39">CONCATENATE(F520,"##")</f>
        <v>1120206##</v>
      </c>
      <c r="D520" s="2"/>
      <c r="E520" s="2" t="str">
        <f>IFERROR(VLOOKUP(1*LEFT(C520,7),DF!$A$1:$F$9447,2,FALSE),"")</f>
        <v>BOMB AMER GAB NEGRA 34/48 RER</v>
      </c>
      <c r="F520">
        <v>1120206</v>
      </c>
      <c r="G520" t="s">
        <v>14315</v>
      </c>
      <c r="H520">
        <v>10</v>
      </c>
      <c r="I520">
        <v>1</v>
      </c>
    </row>
    <row r="521" spans="1:9" x14ac:dyDescent="0.25">
      <c r="A521" s="2">
        <v>16522</v>
      </c>
      <c r="B521" s="2" t="s">
        <v>4</v>
      </c>
      <c r="C521" s="2" t="s">
        <v>2823</v>
      </c>
      <c r="D521" s="2"/>
      <c r="E521" s="2" t="str">
        <f>IFERROR(VLOOKUP(1*LEFT(C521,7),DF!$A$1:$F$9447,2,FALSE),"")</f>
        <v>BOMB AMER GAB NEGRA 50/54 RER</v>
      </c>
      <c r="F521">
        <v>1120206</v>
      </c>
      <c r="G521" t="s">
        <v>14315</v>
      </c>
      <c r="H521">
        <v>10</v>
      </c>
      <c r="I521">
        <v>1</v>
      </c>
    </row>
    <row r="522" spans="1:9" x14ac:dyDescent="0.25">
      <c r="A522" s="2">
        <v>16522</v>
      </c>
      <c r="B522" s="2" t="s">
        <v>4</v>
      </c>
      <c r="C522" s="2" t="s">
        <v>2831</v>
      </c>
      <c r="D522" s="2"/>
      <c r="E522" s="2" t="str">
        <f>IFERROR(VLOOKUP(1*LEFT(C522,7),DF!$A$1:$F$9447,2,FALSE),"")</f>
        <v>BOMB AMER GAB NEGRA 56/60 RER</v>
      </c>
      <c r="F522">
        <v>1120206</v>
      </c>
      <c r="G522" t="s">
        <v>14315</v>
      </c>
      <c r="H522">
        <v>10</v>
      </c>
      <c r="I522">
        <v>1</v>
      </c>
    </row>
    <row r="523" spans="1:9" x14ac:dyDescent="0.25">
      <c r="A523" s="2">
        <v>16522</v>
      </c>
      <c r="B523" s="2" t="s">
        <v>4</v>
      </c>
      <c r="C523" s="2" t="s">
        <v>3438</v>
      </c>
      <c r="D523" s="2"/>
      <c r="E523" s="2" t="str">
        <f>IFERROR(VLOOKUP(1*LEFT(C523,7),DF!$A$1:$F$9447,2,FALSE),"")</f>
        <v>BOMB AMER GAB NEGRA 62/66 RER</v>
      </c>
      <c r="F523">
        <v>1120206</v>
      </c>
      <c r="G523" t="s">
        <v>14315</v>
      </c>
      <c r="H523">
        <v>10</v>
      </c>
      <c r="I523">
        <v>1</v>
      </c>
    </row>
    <row r="524" spans="1:9" x14ac:dyDescent="0.25">
      <c r="A524" s="2">
        <v>16522</v>
      </c>
      <c r="B524" s="2" t="s">
        <v>4</v>
      </c>
      <c r="C524" s="2" t="str">
        <f t="shared" ref="C524:C528" si="40">CONCATENATE(F524,"##")</f>
        <v>1120003##</v>
      </c>
      <c r="D524" s="2"/>
      <c r="E524" s="2" t="str">
        <f>IFERROR(VLOOKUP(1*LEFT(C524,7),DF!$A$1:$F$9447,2,FALSE),"")</f>
        <v>BOMB AMER GAB AZUL 34/48 RER</v>
      </c>
      <c r="F524">
        <v>1120003</v>
      </c>
      <c r="G524" t="s">
        <v>14316</v>
      </c>
      <c r="H524">
        <v>10</v>
      </c>
      <c r="I524">
        <v>1</v>
      </c>
    </row>
    <row r="525" spans="1:9" x14ac:dyDescent="0.25">
      <c r="A525" s="2">
        <v>16522</v>
      </c>
      <c r="B525" s="2" t="s">
        <v>4</v>
      </c>
      <c r="C525" s="2" t="s">
        <v>2839</v>
      </c>
      <c r="D525" s="2"/>
      <c r="E525" s="2" t="str">
        <f>IFERROR(VLOOKUP(1*LEFT(C525,7),DF!$A$1:$F$9447,2,FALSE),"")</f>
        <v>BOMB AMER GAB AZUL 50/54 RER</v>
      </c>
      <c r="F525">
        <v>1120003</v>
      </c>
      <c r="G525" t="s">
        <v>14316</v>
      </c>
      <c r="H525">
        <v>10</v>
      </c>
      <c r="I525">
        <v>1</v>
      </c>
    </row>
    <row r="526" spans="1:9" x14ac:dyDescent="0.25">
      <c r="A526" s="2">
        <v>16522</v>
      </c>
      <c r="B526" s="2" t="s">
        <v>4</v>
      </c>
      <c r="C526" s="2" t="s">
        <v>2847</v>
      </c>
      <c r="D526" s="2"/>
      <c r="E526" s="2" t="str">
        <f>IFERROR(VLOOKUP(1*LEFT(C526,7),DF!$A$1:$F$9447,2,FALSE),"")</f>
        <v>BOMB AMER GAB AZUL 56/60 RER</v>
      </c>
      <c r="F526">
        <v>1120003</v>
      </c>
      <c r="G526" t="s">
        <v>14316</v>
      </c>
      <c r="H526">
        <v>10</v>
      </c>
      <c r="I526">
        <v>1</v>
      </c>
    </row>
    <row r="527" spans="1:9" x14ac:dyDescent="0.25">
      <c r="A527" s="2">
        <v>16522</v>
      </c>
      <c r="B527" s="2" t="s">
        <v>4</v>
      </c>
      <c r="C527" s="2" t="s">
        <v>2855</v>
      </c>
      <c r="D527" s="2"/>
      <c r="E527" s="2" t="str">
        <f>IFERROR(VLOOKUP(1*LEFT(C527,7),DF!$A$1:$F$9447,2,FALSE),"")</f>
        <v>BOMB AMER GAB AZUL 62/66 RER</v>
      </c>
      <c r="F527">
        <v>1120003</v>
      </c>
      <c r="G527" t="s">
        <v>14316</v>
      </c>
      <c r="H527">
        <v>10</v>
      </c>
      <c r="I527">
        <v>1</v>
      </c>
    </row>
    <row r="528" spans="1:9" x14ac:dyDescent="0.25">
      <c r="A528" s="2">
        <v>16522</v>
      </c>
      <c r="B528" s="2" t="s">
        <v>4</v>
      </c>
      <c r="C528" s="2" t="str">
        <f t="shared" si="40"/>
        <v>1120106##</v>
      </c>
      <c r="D528" s="2"/>
      <c r="E528" s="2" t="str">
        <f>IFERROR(VLOOKUP(1*LEFT(C528,7),DF!$A$1:$F$9447,2,FALSE),"")</f>
        <v>BOMB AMER GAB GRIS 34/48 RER</v>
      </c>
      <c r="F528">
        <v>1120106</v>
      </c>
      <c r="G528" t="s">
        <v>14317</v>
      </c>
      <c r="H528">
        <v>10</v>
      </c>
      <c r="I528">
        <v>1</v>
      </c>
    </row>
    <row r="529" spans="1:9" x14ac:dyDescent="0.25">
      <c r="A529" s="2">
        <v>16522</v>
      </c>
      <c r="B529" s="2" t="s">
        <v>4</v>
      </c>
      <c r="C529" s="2" t="s">
        <v>2807</v>
      </c>
      <c r="D529" s="2"/>
      <c r="E529" s="2" t="str">
        <f>IFERROR(VLOOKUP(1*LEFT(C529,7),DF!$A$1:$F$9447,2,FALSE),"")</f>
        <v>BOMB AMER GAB GRIS 50/54 RER</v>
      </c>
      <c r="F529">
        <v>1120106</v>
      </c>
      <c r="G529" t="s">
        <v>14317</v>
      </c>
      <c r="H529">
        <v>10</v>
      </c>
      <c r="I529">
        <v>1</v>
      </c>
    </row>
    <row r="530" spans="1:9" x14ac:dyDescent="0.25">
      <c r="A530" s="2">
        <v>16522</v>
      </c>
      <c r="B530" s="2" t="s">
        <v>4</v>
      </c>
      <c r="C530" s="2" t="s">
        <v>2815</v>
      </c>
      <c r="D530" s="2"/>
      <c r="E530" s="2" t="str">
        <f>IFERROR(VLOOKUP(1*LEFT(C530,7),DF!$A$1:$F$9447,2,FALSE),"")</f>
        <v>BOMB AMER GAB GRIS 56/60 RER</v>
      </c>
      <c r="F530">
        <v>1120106</v>
      </c>
      <c r="G530" t="s">
        <v>14317</v>
      </c>
      <c r="H530">
        <v>10</v>
      </c>
      <c r="I530">
        <v>1</v>
      </c>
    </row>
    <row r="531" spans="1:9" x14ac:dyDescent="0.25">
      <c r="A531" s="2">
        <v>16522</v>
      </c>
      <c r="B531" s="2" t="s">
        <v>4</v>
      </c>
      <c r="C531" s="2" t="s">
        <v>5889</v>
      </c>
      <c r="D531" s="2"/>
      <c r="E531" s="2" t="str">
        <f>IFERROR(VLOOKUP(1*LEFT(C531,7),DF!$A$1:$F$9447,2,FALSE),"")</f>
        <v>BOMB AMER GAB GRIS 62/66 RER</v>
      </c>
      <c r="F531">
        <v>1120106</v>
      </c>
      <c r="G531" t="s">
        <v>14317</v>
      </c>
      <c r="H531">
        <v>10</v>
      </c>
      <c r="I531">
        <v>1</v>
      </c>
    </row>
    <row r="532" spans="1:9" x14ac:dyDescent="0.25">
      <c r="A532" s="2">
        <v>16522</v>
      </c>
      <c r="B532" s="2" t="s">
        <v>4</v>
      </c>
      <c r="C532" s="2" t="str">
        <f t="shared" ref="C532" si="41">CONCATENATE(F532,"##")</f>
        <v>1120640##</v>
      </c>
      <c r="D532" s="2"/>
      <c r="E532" s="2" t="str">
        <f>IFERROR(VLOOKUP(1*LEFT(C532,7),DF!$A$1:$F$9447,2,FALSE),"")</f>
        <v>BOMB AMER RIP DIGITAL GRIS 34/48 RER</v>
      </c>
      <c r="F532">
        <v>1120640</v>
      </c>
      <c r="G532" t="s">
        <v>14318</v>
      </c>
      <c r="H532">
        <v>4</v>
      </c>
      <c r="I532">
        <v>1</v>
      </c>
    </row>
    <row r="533" spans="1:9" x14ac:dyDescent="0.25">
      <c r="A533" s="2">
        <v>16522</v>
      </c>
      <c r="B533" s="2" t="s">
        <v>4</v>
      </c>
      <c r="C533" s="2" t="s">
        <v>5543</v>
      </c>
      <c r="D533" s="2"/>
      <c r="E533" s="2" t="str">
        <f>IFERROR(VLOOKUP(1*LEFT(C533,7),DF!$A$1:$F$9447,2,FALSE),"")</f>
        <v>BOMB AMER RIP DIGITAL GRIS 50/54 RER</v>
      </c>
      <c r="F533">
        <v>1120640</v>
      </c>
      <c r="G533" t="s">
        <v>14318</v>
      </c>
      <c r="H533">
        <v>4</v>
      </c>
      <c r="I533">
        <v>1</v>
      </c>
    </row>
    <row r="534" spans="1:9" x14ac:dyDescent="0.25">
      <c r="A534" s="2">
        <v>16522</v>
      </c>
      <c r="B534" s="2" t="s">
        <v>4</v>
      </c>
      <c r="C534" s="2" t="s">
        <v>5551</v>
      </c>
      <c r="D534" s="2"/>
      <c r="E534" s="2" t="str">
        <f>IFERROR(VLOOKUP(1*LEFT(C534,7),DF!$A$1:$F$9447,2,FALSE),"")</f>
        <v>BOMB AMER RIP DIGITAL GRIS 56/60 RER</v>
      </c>
      <c r="F534">
        <v>1120640</v>
      </c>
      <c r="G534" t="s">
        <v>14318</v>
      </c>
      <c r="H534">
        <v>4</v>
      </c>
      <c r="I534">
        <v>1</v>
      </c>
    </row>
    <row r="535" spans="1:9" x14ac:dyDescent="0.25">
      <c r="A535" s="2">
        <v>16522</v>
      </c>
      <c r="B535" s="2" t="s">
        <v>4</v>
      </c>
      <c r="C535" s="2" t="s">
        <v>14303</v>
      </c>
      <c r="D535" s="2"/>
      <c r="E535" s="2" t="str">
        <f>IFERROR(VLOOKUP(1*LEFT(C535,7),DF!$A$1:$F$9447,2,FALSE),"")</f>
        <v>BOMB AMER RIP DIGITAL GRIS 62/66 RER</v>
      </c>
      <c r="F535">
        <v>1120640</v>
      </c>
      <c r="G535" t="s">
        <v>14318</v>
      </c>
      <c r="H535">
        <v>4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 t="shared" ref="C536:C568" si="42">CONCATENATE(F536,"##")</f>
        <v>1120850##</v>
      </c>
      <c r="D536" s="2"/>
      <c r="E536" s="2" t="str">
        <f>IFERROR(VLOOKUP(1*LEFT(C536,7),DF!$A$1:$F$9447,2,FALSE),"")</f>
        <v>BOMB AMER RIP INFANTERIA 34/48 RER</v>
      </c>
      <c r="F536">
        <v>1120850</v>
      </c>
      <c r="G536" t="s">
        <v>14319</v>
      </c>
      <c r="H536">
        <v>4</v>
      </c>
      <c r="I536">
        <v>1</v>
      </c>
    </row>
    <row r="537" spans="1:9" x14ac:dyDescent="0.25">
      <c r="A537" s="2">
        <v>16522</v>
      </c>
      <c r="B537" s="2" t="s">
        <v>4</v>
      </c>
      <c r="C537" s="2" t="s">
        <v>6641</v>
      </c>
      <c r="D537" s="2"/>
      <c r="E537" s="2" t="str">
        <f>IFERROR(VLOOKUP(1*LEFT(C537,7),DF!$A$1:$F$9447,2,FALSE),"")</f>
        <v>BOMB AMER RIP INFANTERIA 50/54 RER</v>
      </c>
      <c r="F537">
        <v>1120850</v>
      </c>
      <c r="G537" t="s">
        <v>14319</v>
      </c>
      <c r="H537">
        <v>4</v>
      </c>
      <c r="I537">
        <v>1</v>
      </c>
    </row>
    <row r="538" spans="1:9" x14ac:dyDescent="0.25">
      <c r="A538" s="2">
        <v>16522</v>
      </c>
      <c r="B538" s="2" t="s">
        <v>4</v>
      </c>
      <c r="C538" s="2" t="s">
        <v>6649</v>
      </c>
      <c r="D538" s="2"/>
      <c r="E538" s="2" t="str">
        <f>IFERROR(VLOOKUP(1*LEFT(C538,7),DF!$A$1:$F$9447,2,FALSE),"")</f>
        <v>BOMB AMER RIP INFANTERIA 56/60 RER</v>
      </c>
      <c r="F538">
        <v>1120850</v>
      </c>
      <c r="G538" t="s">
        <v>14319</v>
      </c>
      <c r="H538">
        <v>4</v>
      </c>
      <c r="I538">
        <v>1</v>
      </c>
    </row>
    <row r="539" spans="1:9" x14ac:dyDescent="0.25">
      <c r="A539" s="2">
        <v>16522</v>
      </c>
      <c r="B539" s="2" t="s">
        <v>4</v>
      </c>
      <c r="C539" s="2" t="s">
        <v>14304</v>
      </c>
      <c r="D539" s="2"/>
      <c r="E539" s="2" t="str">
        <f>IFERROR(VLOOKUP(1*LEFT(C539,7),DF!$A$1:$F$9447,2,FALSE),"")</f>
        <v>BOMB AMER RIP INFANTERIA 62/66 RER</v>
      </c>
      <c r="F539">
        <v>1120850</v>
      </c>
      <c r="G539" t="s">
        <v>14319</v>
      </c>
      <c r="H539">
        <v>4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 t="shared" si="42"/>
        <v>1120950##</v>
      </c>
      <c r="D540" s="2"/>
      <c r="E540" s="2" t="str">
        <f>IFERROR(VLOOKUP(1*LEFT(C540,7),DF!$A$1:$F$9447,2,FALSE),"")</f>
        <v>BOMB AMER RIP REQUISA 34/48 RER</v>
      </c>
      <c r="F540">
        <v>1120950</v>
      </c>
      <c r="G540" t="s">
        <v>14320</v>
      </c>
      <c r="H540">
        <v>4</v>
      </c>
      <c r="I540">
        <v>1</v>
      </c>
    </row>
    <row r="541" spans="1:9" x14ac:dyDescent="0.25">
      <c r="A541" s="2">
        <v>16522</v>
      </c>
      <c r="B541" s="2" t="s">
        <v>4</v>
      </c>
      <c r="C541" s="2" t="s">
        <v>4105</v>
      </c>
      <c r="D541" s="2"/>
      <c r="E541" s="2" t="str">
        <f>IFERROR(VLOOKUP(1*LEFT(C541,7),DF!$A$1:$F$9447,2,FALSE),"")</f>
        <v>BOMB AMER RIP REQUISA 50/54 RER</v>
      </c>
      <c r="F541">
        <v>1120950</v>
      </c>
      <c r="G541" t="s">
        <v>14320</v>
      </c>
      <c r="H541">
        <v>4</v>
      </c>
      <c r="I541">
        <v>1</v>
      </c>
    </row>
    <row r="542" spans="1:9" x14ac:dyDescent="0.25">
      <c r="A542" s="2">
        <v>16522</v>
      </c>
      <c r="B542" s="2" t="s">
        <v>4</v>
      </c>
      <c r="C542" s="2" t="s">
        <v>14305</v>
      </c>
      <c r="D542" s="2"/>
      <c r="E542" s="2" t="str">
        <f>IFERROR(VLOOKUP(1*LEFT(C542,7),DF!$A$1:$F$9447,2,FALSE),"")</f>
        <v>BOMB AMER RIP REQUISA 56/60 RER</v>
      </c>
      <c r="F542">
        <v>1120950</v>
      </c>
      <c r="G542" t="s">
        <v>14320</v>
      </c>
      <c r="H542">
        <v>4</v>
      </c>
      <c r="I542">
        <v>1</v>
      </c>
    </row>
    <row r="543" spans="1:9" x14ac:dyDescent="0.25">
      <c r="A543" s="2">
        <v>16522</v>
      </c>
      <c r="B543" s="2" t="s">
        <v>4</v>
      </c>
      <c r="C543" s="2" t="s">
        <v>14306</v>
      </c>
      <c r="D543" s="2"/>
      <c r="E543" s="2" t="str">
        <f>IFERROR(VLOOKUP(1*LEFT(C543,7),DF!$A$1:$F$9447,2,FALSE),"")</f>
        <v>BOMB AMER RIP REQUISA 62/66 RER</v>
      </c>
      <c r="F543">
        <v>1120950</v>
      </c>
      <c r="G543" t="s">
        <v>14320</v>
      </c>
      <c r="H543">
        <v>4</v>
      </c>
      <c r="I543">
        <v>1</v>
      </c>
    </row>
    <row r="544" spans="1:9" x14ac:dyDescent="0.25">
      <c r="A544" s="2">
        <v>16522</v>
      </c>
      <c r="B544" s="2" t="s">
        <v>4</v>
      </c>
      <c r="C544" s="2" t="str">
        <f t="shared" si="42"/>
        <v>1120130##</v>
      </c>
      <c r="D544" s="2"/>
      <c r="E544" s="2" t="str">
        <f>IFERROR(VLOOKUP(1*LEFT(C544,7),DF!$A$1:$F$9447,2,FALSE),"")</f>
        <v>BOMB CLAS GAB PENIT FEDERAL 34/48 RER</v>
      </c>
      <c r="F544">
        <v>1120130</v>
      </c>
      <c r="G544" t="s">
        <v>14321</v>
      </c>
      <c r="H544">
        <v>2</v>
      </c>
      <c r="I544">
        <v>1</v>
      </c>
    </row>
    <row r="545" spans="1:9" x14ac:dyDescent="0.25">
      <c r="A545" s="2">
        <v>16522</v>
      </c>
      <c r="B545" s="2" t="s">
        <v>4</v>
      </c>
      <c r="C545" s="2" t="s">
        <v>4553</v>
      </c>
      <c r="D545" s="2"/>
      <c r="E545" s="2" t="str">
        <f>IFERROR(VLOOKUP(1*LEFT(C545,7),DF!$A$1:$F$9447,2,FALSE),"")</f>
        <v>BOMB CLAS GAB PENIT FEDERAL 50/54 RER</v>
      </c>
      <c r="F545">
        <v>1120130</v>
      </c>
      <c r="G545" t="s">
        <v>14321</v>
      </c>
      <c r="H545">
        <v>2</v>
      </c>
      <c r="I545">
        <v>1</v>
      </c>
    </row>
    <row r="546" spans="1:9" x14ac:dyDescent="0.25">
      <c r="A546" s="2">
        <v>16522</v>
      </c>
      <c r="B546" s="2" t="s">
        <v>4</v>
      </c>
      <c r="C546" s="2" t="s">
        <v>14307</v>
      </c>
      <c r="D546" s="2"/>
      <c r="E546" s="2" t="str">
        <f>IFERROR(VLOOKUP(1*LEFT(C546,7),DF!$A$1:$F$9447,2,FALSE),"")</f>
        <v>BOMB CLAS GAB PENIT FEDERAL 56/60 RER</v>
      </c>
      <c r="F546">
        <v>1120130</v>
      </c>
      <c r="G546" t="s">
        <v>14321</v>
      </c>
      <c r="H546">
        <v>2</v>
      </c>
      <c r="I546">
        <v>1</v>
      </c>
    </row>
    <row r="547" spans="1:9" x14ac:dyDescent="0.25">
      <c r="A547" s="2">
        <v>16522</v>
      </c>
      <c r="B547" s="2" t="s">
        <v>4</v>
      </c>
      <c r="C547" s="2" t="s">
        <v>14308</v>
      </c>
      <c r="D547" s="2"/>
      <c r="E547" s="2" t="str">
        <f>IFERROR(VLOOKUP(1*LEFT(C547,7),DF!$A$1:$F$9447,2,FALSE),"")</f>
        <v>BOMB CLAS GAB PENIT FEDERAL 62/66 RER</v>
      </c>
      <c r="F547">
        <v>1120130</v>
      </c>
      <c r="G547" t="s">
        <v>14321</v>
      </c>
      <c r="H547">
        <v>2</v>
      </c>
      <c r="I547">
        <v>1</v>
      </c>
    </row>
    <row r="548" spans="1:9" x14ac:dyDescent="0.25">
      <c r="A548" s="2">
        <v>16522</v>
      </c>
      <c r="B548" s="2" t="s">
        <v>4</v>
      </c>
      <c r="C548" s="2" t="str">
        <f t="shared" si="42"/>
        <v>1120500##</v>
      </c>
      <c r="D548" s="2"/>
      <c r="E548" s="2" t="str">
        <f>IFERROR(VLOOKUP(1*LEFT(C548,7),DF!$A$1:$F$9447,2,FALSE),"")</f>
        <v>BOMB JAZAK RIP AZUL 34/48 RER</v>
      </c>
      <c r="F548">
        <v>1120500</v>
      </c>
      <c r="G548" t="s">
        <v>14322</v>
      </c>
      <c r="H548">
        <v>6</v>
      </c>
      <c r="I548">
        <v>1</v>
      </c>
    </row>
    <row r="549" spans="1:9" x14ac:dyDescent="0.25">
      <c r="A549" s="2">
        <v>16522</v>
      </c>
      <c r="B549" s="2" t="s">
        <v>4</v>
      </c>
      <c r="C549" s="2" t="s">
        <v>2309</v>
      </c>
      <c r="D549" s="2"/>
      <c r="E549" s="2" t="str">
        <f>IFERROR(VLOOKUP(1*LEFT(C549,7),DF!$A$1:$F$9447,2,FALSE),"")</f>
        <v>BOMB JAZAK RIP AZUL 50/54 RER</v>
      </c>
      <c r="F549">
        <v>1120500</v>
      </c>
      <c r="G549" t="s">
        <v>14322</v>
      </c>
      <c r="H549">
        <v>6</v>
      </c>
      <c r="I549">
        <v>1</v>
      </c>
    </row>
    <row r="550" spans="1:9" x14ac:dyDescent="0.25">
      <c r="A550" s="2">
        <v>16522</v>
      </c>
      <c r="B550" s="2" t="s">
        <v>4</v>
      </c>
      <c r="C550" s="2" t="s">
        <v>5383</v>
      </c>
      <c r="D550" s="2"/>
      <c r="E550" s="2" t="str">
        <f>IFERROR(VLOOKUP(1*LEFT(C550,7),DF!$A$1:$F$9447,2,FALSE),"")</f>
        <v>BOMB JAZAK RIP AZUL 56/60 RER</v>
      </c>
      <c r="F550">
        <v>1120500</v>
      </c>
      <c r="G550" t="s">
        <v>14322</v>
      </c>
      <c r="H550">
        <v>6</v>
      </c>
      <c r="I550">
        <v>1</v>
      </c>
    </row>
    <row r="551" spans="1:9" x14ac:dyDescent="0.25">
      <c r="A551" s="2">
        <v>16522</v>
      </c>
      <c r="B551" s="2" t="s">
        <v>4</v>
      </c>
      <c r="C551" s="2" t="s">
        <v>14309</v>
      </c>
      <c r="D551" s="2"/>
      <c r="E551" s="2" t="str">
        <f>IFERROR(VLOOKUP(1*LEFT(C551,7),DF!$A$1:$F$9447,2,FALSE),"")</f>
        <v>BOMB JAZAK RIP AZUL 62/66 RER</v>
      </c>
      <c r="F551">
        <v>1120500</v>
      </c>
      <c r="G551" t="s">
        <v>14322</v>
      </c>
      <c r="H551">
        <v>6</v>
      </c>
      <c r="I551">
        <v>1</v>
      </c>
    </row>
    <row r="552" spans="1:9" x14ac:dyDescent="0.25">
      <c r="A552" s="2">
        <v>16522</v>
      </c>
      <c r="B552" s="2" t="s">
        <v>4</v>
      </c>
      <c r="C552" s="2" t="str">
        <f t="shared" si="42"/>
        <v>1120504##</v>
      </c>
      <c r="D552" s="2"/>
      <c r="E552" s="2" t="str">
        <f>IFERROR(VLOOKUP(1*LEFT(C552,7),DF!$A$1:$F$9447,2,FALSE),"")</f>
        <v>BOMB JAZAK RIP NEGRO 34/48 RER</v>
      </c>
      <c r="F552">
        <v>1120504</v>
      </c>
      <c r="G552" t="s">
        <v>14323</v>
      </c>
      <c r="H552">
        <v>6</v>
      </c>
      <c r="I552">
        <v>1</v>
      </c>
    </row>
    <row r="553" spans="1:9" x14ac:dyDescent="0.25">
      <c r="A553" s="2">
        <v>16522</v>
      </c>
      <c r="B553" s="2" t="s">
        <v>4</v>
      </c>
      <c r="C553" s="2" t="s">
        <v>2301</v>
      </c>
      <c r="D553" s="2"/>
      <c r="E553" s="2" t="str">
        <f>IFERROR(VLOOKUP(1*LEFT(C553,7),DF!$A$1:$F$9447,2,FALSE),"")</f>
        <v>BOMB JAZAK RIP NEGRO 50/54 RER</v>
      </c>
      <c r="F553">
        <v>1120504</v>
      </c>
      <c r="G553" t="s">
        <v>14323</v>
      </c>
      <c r="H553">
        <v>6</v>
      </c>
      <c r="I553">
        <v>1</v>
      </c>
    </row>
    <row r="554" spans="1:9" x14ac:dyDescent="0.25">
      <c r="A554" s="2">
        <v>16522</v>
      </c>
      <c r="B554" s="2" t="s">
        <v>4</v>
      </c>
      <c r="C554" s="2" t="s">
        <v>2513</v>
      </c>
      <c r="D554" s="2"/>
      <c r="E554" s="2" t="str">
        <f>IFERROR(VLOOKUP(1*LEFT(C554,7),DF!$A$1:$F$9447,2,FALSE),"")</f>
        <v>BOMB JAZAK RIP NEGRO 56/60 RER</v>
      </c>
      <c r="F554">
        <v>1120504</v>
      </c>
      <c r="G554" t="s">
        <v>14323</v>
      </c>
      <c r="H554">
        <v>6</v>
      </c>
      <c r="I554">
        <v>1</v>
      </c>
    </row>
    <row r="555" spans="1:9" x14ac:dyDescent="0.25">
      <c r="A555" s="2">
        <v>16522</v>
      </c>
      <c r="B555" s="2" t="s">
        <v>4</v>
      </c>
      <c r="C555" s="2" t="s">
        <v>14310</v>
      </c>
      <c r="D555" s="2"/>
      <c r="E555" s="2" t="str">
        <f>IFERROR(VLOOKUP(1*LEFT(C555,7),DF!$A$1:$F$9447,2,FALSE),"")</f>
        <v>BOMB JAZAK RIP NEGRO 62/66 RER</v>
      </c>
      <c r="F555">
        <v>1120504</v>
      </c>
      <c r="G555" t="s">
        <v>14323</v>
      </c>
      <c r="H555">
        <v>6</v>
      </c>
      <c r="I555">
        <v>1</v>
      </c>
    </row>
    <row r="556" spans="1:9" x14ac:dyDescent="0.25">
      <c r="A556" s="2">
        <v>16522</v>
      </c>
      <c r="B556" s="2" t="s">
        <v>4</v>
      </c>
      <c r="C556" s="2" t="str">
        <f t="shared" si="42"/>
        <v>1120060##</v>
      </c>
      <c r="D556" s="2"/>
      <c r="E556" s="2" t="str">
        <f>IFERROR(VLOOKUP(1*LEFT(C556,7),DF!$A$1:$F$9447,2,FALSE),"")</f>
        <v>BOMB JAZAK RIP GRIS 34/48 RER</v>
      </c>
      <c r="F556">
        <v>1120060</v>
      </c>
      <c r="G556" t="s">
        <v>14324</v>
      </c>
      <c r="H556">
        <v>6</v>
      </c>
      <c r="I556">
        <v>1</v>
      </c>
    </row>
    <row r="557" spans="1:9" x14ac:dyDescent="0.25">
      <c r="A557" s="2">
        <v>16522</v>
      </c>
      <c r="B557" s="2" t="s">
        <v>4</v>
      </c>
      <c r="C557" s="2" t="s">
        <v>4587</v>
      </c>
      <c r="D557" s="2"/>
      <c r="E557" s="2" t="str">
        <f>IFERROR(VLOOKUP(1*LEFT(C557,7),DF!$A$1:$F$9447,2,FALSE),"")</f>
        <v>BOMB JAZAK RIP GRIS 50/54 RER</v>
      </c>
      <c r="F557">
        <v>1120060</v>
      </c>
      <c r="G557" t="s">
        <v>14324</v>
      </c>
      <c r="H557">
        <v>6</v>
      </c>
      <c r="I557">
        <v>1</v>
      </c>
    </row>
    <row r="558" spans="1:9" x14ac:dyDescent="0.25">
      <c r="A558" s="2">
        <v>16522</v>
      </c>
      <c r="B558" s="2" t="s">
        <v>4</v>
      </c>
      <c r="C558" s="2" t="s">
        <v>7008</v>
      </c>
      <c r="D558" s="2"/>
      <c r="E558" s="2" t="str">
        <f>IFERROR(VLOOKUP(1*LEFT(C558,7),DF!$A$1:$F$9447,2,FALSE),"")</f>
        <v>BOMB JAZAK RIP GRIS 56/60 RER</v>
      </c>
      <c r="F558">
        <v>1120060</v>
      </c>
      <c r="G558" t="s">
        <v>14324</v>
      </c>
      <c r="H558">
        <v>6</v>
      </c>
      <c r="I558">
        <v>1</v>
      </c>
    </row>
    <row r="559" spans="1:9" x14ac:dyDescent="0.25">
      <c r="A559" s="2">
        <v>16522</v>
      </c>
      <c r="B559" s="2" t="s">
        <v>4</v>
      </c>
      <c r="C559" s="2" t="s">
        <v>7009</v>
      </c>
      <c r="D559" s="2"/>
      <c r="E559" s="2" t="str">
        <f>IFERROR(VLOOKUP(1*LEFT(C559,7),DF!$A$1:$F$9447,2,FALSE),"")</f>
        <v>BOMB JAZAK RIP GRIS 62/64 RER</v>
      </c>
      <c r="F559">
        <v>1120060</v>
      </c>
      <c r="G559" t="s">
        <v>14324</v>
      </c>
      <c r="H559">
        <v>6</v>
      </c>
      <c r="I559">
        <v>1</v>
      </c>
    </row>
    <row r="560" spans="1:9" x14ac:dyDescent="0.25">
      <c r="A560" s="2">
        <v>16522</v>
      </c>
      <c r="B560" s="2" t="s">
        <v>4</v>
      </c>
      <c r="C560" s="2" t="str">
        <f t="shared" si="42"/>
        <v>1120055##</v>
      </c>
      <c r="D560" s="2"/>
      <c r="E560" s="2" t="str">
        <f>IFERROR(VLOOKUP(1*LEFT(C560,7),DF!$A$1:$F$9447,2,FALSE),"")</f>
        <v>BOMB JAZAK RIP BEIGE 34/48 RER</v>
      </c>
      <c r="F560">
        <v>1120055</v>
      </c>
      <c r="G560" t="s">
        <v>14325</v>
      </c>
      <c r="H560">
        <v>3</v>
      </c>
      <c r="I560">
        <v>1</v>
      </c>
    </row>
    <row r="561" spans="1:9" x14ac:dyDescent="0.25">
      <c r="A561" s="2">
        <v>16522</v>
      </c>
      <c r="B561" s="2" t="s">
        <v>4</v>
      </c>
      <c r="C561" s="2" t="s">
        <v>6517</v>
      </c>
      <c r="D561" s="2"/>
      <c r="E561" s="2" t="str">
        <f>IFERROR(VLOOKUP(1*LEFT(C561,7),DF!$A$1:$F$9447,2,FALSE),"")</f>
        <v>BOMB JAZAK RIP BEIGE 50/54 RER</v>
      </c>
      <c r="F561">
        <v>1120055</v>
      </c>
      <c r="G561" t="s">
        <v>14325</v>
      </c>
      <c r="H561">
        <v>3</v>
      </c>
      <c r="I561">
        <v>1</v>
      </c>
    </row>
    <row r="562" spans="1:9" x14ac:dyDescent="0.25">
      <c r="A562" s="2">
        <v>16522</v>
      </c>
      <c r="B562" s="2" t="s">
        <v>4</v>
      </c>
      <c r="C562" s="2" t="s">
        <v>14311</v>
      </c>
      <c r="D562" s="2"/>
      <c r="E562" s="2" t="str">
        <f>IFERROR(VLOOKUP(1*LEFT(C562,7),DF!$A$1:$F$9447,2,FALSE),"")</f>
        <v>BOMB JAZAK RIP BEIGE 56/60 RER</v>
      </c>
      <c r="F562">
        <v>1120055</v>
      </c>
      <c r="G562" t="s">
        <v>14325</v>
      </c>
      <c r="H562">
        <v>3</v>
      </c>
      <c r="I562">
        <v>1</v>
      </c>
    </row>
    <row r="563" spans="1:9" x14ac:dyDescent="0.25">
      <c r="A563" s="2">
        <v>16522</v>
      </c>
      <c r="B563" s="2" t="s">
        <v>4</v>
      </c>
      <c r="C563" s="2" t="s">
        <v>14312</v>
      </c>
      <c r="D563" s="2"/>
      <c r="E563" s="2" t="str">
        <f>IFERROR(VLOOKUP(1*LEFT(C563,7),DF!$A$1:$F$9447,2,FALSE),"")</f>
        <v>BOMB JAZAK RIP BEIGE 62/66 RER</v>
      </c>
      <c r="F563">
        <v>1120055</v>
      </c>
      <c r="G563" t="s">
        <v>14325</v>
      </c>
      <c r="H563">
        <v>3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 t="shared" si="42"/>
        <v>1120789##</v>
      </c>
      <c r="D564" s="2"/>
      <c r="E564" s="2" t="str">
        <f>IFERROR(VLOOKUP(1*LEFT(C564,7),DF!$A$1:$F$9447,2,FALSE),"")</f>
        <v>BOMB CONDOR RIP NEGRA 36/48 RER</v>
      </c>
      <c r="F564">
        <v>1120789</v>
      </c>
      <c r="G564" t="s">
        <v>14326</v>
      </c>
      <c r="H564">
        <v>6</v>
      </c>
      <c r="I564">
        <v>1</v>
      </c>
    </row>
    <row r="565" spans="1:9" x14ac:dyDescent="0.25">
      <c r="A565" s="2">
        <v>16522</v>
      </c>
      <c r="B565" s="2" t="s">
        <v>4</v>
      </c>
      <c r="C565" s="2" t="s">
        <v>3368</v>
      </c>
      <c r="D565" s="2"/>
      <c r="E565" s="2" t="str">
        <f>IFERROR(VLOOKUP(1*LEFT(C565,7),DF!$A$1:$F$9447,2,FALSE),"")</f>
        <v>BOMB CONDOR RIP NEGRA 50/54 RER</v>
      </c>
      <c r="F565">
        <v>1120789</v>
      </c>
      <c r="G565" t="s">
        <v>14326</v>
      </c>
      <c r="H565">
        <v>6</v>
      </c>
      <c r="I565">
        <v>1</v>
      </c>
    </row>
    <row r="566" spans="1:9" x14ac:dyDescent="0.25">
      <c r="A566" s="2">
        <v>16522</v>
      </c>
      <c r="B566" s="2" t="s">
        <v>4</v>
      </c>
      <c r="C566" s="2" t="s">
        <v>3376</v>
      </c>
      <c r="D566" s="2"/>
      <c r="E566" s="2" t="str">
        <f>IFERROR(VLOOKUP(1*LEFT(C566,7),DF!$A$1:$F$9447,2,FALSE),"")</f>
        <v>BOMB CONDOR RIP NEGRA 56/60 RER</v>
      </c>
      <c r="F566">
        <v>1120789</v>
      </c>
      <c r="G566" t="s">
        <v>14326</v>
      </c>
      <c r="H566">
        <v>6</v>
      </c>
      <c r="I566">
        <v>1</v>
      </c>
    </row>
    <row r="567" spans="1:9" x14ac:dyDescent="0.25">
      <c r="A567" s="2">
        <v>16522</v>
      </c>
      <c r="B567" s="2" t="s">
        <v>4</v>
      </c>
      <c r="C567" s="2" t="s">
        <v>14313</v>
      </c>
      <c r="D567" s="2"/>
      <c r="E567" s="2" t="str">
        <f>IFERROR(VLOOKUP(1*LEFT(C567,7),DF!$A$1:$F$9447,2,FALSE),"")</f>
        <v>BOMB CONDOR RIP NEGRA 62/66 RER</v>
      </c>
      <c r="F567">
        <v>1120789</v>
      </c>
      <c r="G567" t="s">
        <v>14326</v>
      </c>
      <c r="H567">
        <v>6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42"/>
        <v>1120001##</v>
      </c>
      <c r="D568" s="2"/>
      <c r="E568" s="2" t="str">
        <f>IFERROR(VLOOKUP(1*LEFT(C568,7),DF!$A$1:$F$9447,2,FALSE),"")</f>
        <v>BOMB CONDOR RIP AZUL 36/48 RER</v>
      </c>
      <c r="F568">
        <v>1120001</v>
      </c>
      <c r="G568" t="s">
        <v>14327</v>
      </c>
      <c r="H568">
        <v>5</v>
      </c>
      <c r="I568">
        <v>1</v>
      </c>
    </row>
    <row r="569" spans="1:9" x14ac:dyDescent="0.25">
      <c r="A569" s="2">
        <v>16522</v>
      </c>
      <c r="B569" s="2" t="s">
        <v>4</v>
      </c>
      <c r="C569" s="2" t="s">
        <v>3382</v>
      </c>
      <c r="D569" s="2"/>
      <c r="E569" s="2" t="str">
        <f>IFERROR(VLOOKUP(1*LEFT(C569,7),DF!$A$1:$F$9447,2,FALSE),"")</f>
        <v>BOMB CONDOR RIP AZUL 50/54 RER</v>
      </c>
      <c r="F569">
        <v>1120001</v>
      </c>
      <c r="G569" t="s">
        <v>14327</v>
      </c>
      <c r="H569">
        <v>5</v>
      </c>
      <c r="I569">
        <v>1</v>
      </c>
    </row>
    <row r="570" spans="1:9" x14ac:dyDescent="0.25">
      <c r="A570" s="2">
        <v>16522</v>
      </c>
      <c r="B570" s="2" t="s">
        <v>4</v>
      </c>
      <c r="C570" s="2" t="s">
        <v>3390</v>
      </c>
      <c r="D570" s="2"/>
      <c r="E570" s="2" t="str">
        <f>IFERROR(VLOOKUP(1*LEFT(C570,7),DF!$A$1:$F$9447,2,FALSE),"")</f>
        <v>BOMB CONDOR RIP AZUL 56/60 RER</v>
      </c>
      <c r="F570">
        <v>1120001</v>
      </c>
      <c r="G570" t="s">
        <v>14327</v>
      </c>
      <c r="H570">
        <v>5</v>
      </c>
      <c r="I570">
        <v>1</v>
      </c>
    </row>
    <row r="571" spans="1:9" x14ac:dyDescent="0.25">
      <c r="A571" s="2">
        <v>16522</v>
      </c>
      <c r="B571" s="2" t="s">
        <v>4</v>
      </c>
      <c r="C571" s="2" t="s">
        <v>14314</v>
      </c>
      <c r="D571" s="2"/>
      <c r="E571" s="2" t="str">
        <f>IFERROR(VLOOKUP(1*LEFT(C571,7),DF!$A$1:$F$9447,2,FALSE),"")</f>
        <v>BOMB CONDOR RIP AZUL 62/66 RER</v>
      </c>
      <c r="F571">
        <v>1120001</v>
      </c>
      <c r="G571" t="s">
        <v>14327</v>
      </c>
      <c r="H571">
        <v>5</v>
      </c>
      <c r="I571">
        <v>1</v>
      </c>
    </row>
    <row r="1052" spans="8:8" x14ac:dyDescent="0.25">
      <c r="H1052" s="2"/>
    </row>
    <row r="1059" spans="8:8" x14ac:dyDescent="0.25">
      <c r="H1059" s="2"/>
    </row>
    <row r="1063" spans="8:8" x14ac:dyDescent="0.25">
      <c r="H1063" s="2"/>
    </row>
  </sheetData>
  <autoFilter ref="A1:J206">
    <sortState ref="A2:J282">
      <sortCondition ref="E1:E205"/>
    </sortState>
  </autoFilter>
  <hyperlinks>
    <hyperlink ref="G251" r:id="rId1" display="https://img.rerda.com/imagenes_rerda/2101110/1.jpg,https://img.rerda.com/imagenes_rerda/2101110/2.jpg,https://img.rerda.com/imagenes_rerda/2101110/3.jpg,https://img.rerda.com/imagenes_rerda/2101110/tabla.jpg"/>
    <hyperlink ref="G252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5"/>
  <sheetViews>
    <sheetView workbookViewId="0">
      <pane ySplit="1" topLeftCell="A18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851801409</v>
      </c>
      <c r="C2" t="str">
        <f t="shared" ref="C2:C65" si="1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13788</v>
      </c>
      <c r="H2" s="7">
        <v>1</v>
      </c>
      <c r="I2" s="11" t="s">
        <v>7027</v>
      </c>
    </row>
    <row r="3" spans="1:16" x14ac:dyDescent="0.25">
      <c r="A3">
        <v>20508</v>
      </c>
      <c r="B3" t="str">
        <f t="shared" si="0"/>
        <v>851801406</v>
      </c>
      <c r="C3" t="str">
        <f t="shared" si="1"/>
        <v>8518014#06#</v>
      </c>
      <c r="D3" s="3" t="s">
        <v>8375</v>
      </c>
      <c r="E3" t="str">
        <f>IFERROR(VLOOKUP(1*LEFT(C3,7),DF!$A$1:$F$9447,2,FALSE),"")</f>
        <v>MASCARA BALACLAVA 1RA PIEL 8088-1,2/3</v>
      </c>
      <c r="F3">
        <v>8518014</v>
      </c>
      <c r="G3" s="7" t="s">
        <v>13789</v>
      </c>
      <c r="H3" s="7">
        <v>1</v>
      </c>
      <c r="I3" s="11" t="s">
        <v>8376</v>
      </c>
    </row>
    <row r="4" spans="1:16" x14ac:dyDescent="0.25">
      <c r="A4">
        <v>20508</v>
      </c>
      <c r="B4" t="str">
        <f t="shared" si="0"/>
        <v>851801403</v>
      </c>
      <c r="C4" t="str">
        <f t="shared" si="1"/>
        <v>8518014#03#</v>
      </c>
      <c r="D4" s="3" t="s">
        <v>8374</v>
      </c>
      <c r="E4" t="str">
        <f>IFERROR(VLOOKUP(1*LEFT(C4,7),DF!$A$1:$F$9447,2,FALSE),"")</f>
        <v>MASCARA BALACLAVA 1RA PIEL 8088-1,2/3</v>
      </c>
      <c r="F4">
        <v>8518014</v>
      </c>
      <c r="G4" s="7" t="s">
        <v>13790</v>
      </c>
      <c r="H4" s="7">
        <v>1</v>
      </c>
      <c r="I4" s="11" t="s">
        <v>8377</v>
      </c>
    </row>
    <row r="5" spans="1:16" x14ac:dyDescent="0.25">
      <c r="A5">
        <v>20508</v>
      </c>
      <c r="B5" t="str">
        <f t="shared" si="0"/>
        <v>870157609</v>
      </c>
      <c r="C5" t="str">
        <f t="shared" si="1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13791</v>
      </c>
      <c r="H5" s="7">
        <v>1</v>
      </c>
      <c r="I5" s="11" t="s">
        <v>7027</v>
      </c>
    </row>
    <row r="6" spans="1:16" x14ac:dyDescent="0.25">
      <c r="A6">
        <v>20508</v>
      </c>
      <c r="B6" t="str">
        <f t="shared" si="0"/>
        <v>870157606</v>
      </c>
      <c r="C6" t="str">
        <f t="shared" si="1"/>
        <v>8701576#06#</v>
      </c>
      <c r="D6" s="3" t="s">
        <v>8375</v>
      </c>
      <c r="E6" t="str">
        <f>IFERROR(VLOOKUP(1*LEFT(C6,7),DF!$A$1:$F$9447,2,FALSE),"")</f>
        <v>CINTURON COBRA HEB METALICA 5576 IMP</v>
      </c>
      <c r="F6">
        <v>8701576</v>
      </c>
      <c r="G6" s="12" t="s">
        <v>13792</v>
      </c>
      <c r="H6" s="7">
        <v>1</v>
      </c>
      <c r="I6" s="11" t="s">
        <v>8376</v>
      </c>
    </row>
    <row r="7" spans="1:16" x14ac:dyDescent="0.25">
      <c r="A7">
        <v>20508</v>
      </c>
      <c r="B7" t="str">
        <f t="shared" si="0"/>
        <v>870157603</v>
      </c>
      <c r="C7" t="str">
        <f t="shared" si="1"/>
        <v>8701576#03#</v>
      </c>
      <c r="D7" s="3" t="s">
        <v>8374</v>
      </c>
      <c r="E7" t="str">
        <f>IFERROR(VLOOKUP(1*LEFT(C7,7),DF!$A$1:$F$9447,2,FALSE),"")</f>
        <v>CINTURON COBRA HEB METALICA 5576 IMP</v>
      </c>
      <c r="F7">
        <v>8701576</v>
      </c>
      <c r="G7" s="7" t="s">
        <v>13793</v>
      </c>
      <c r="H7" s="7">
        <v>1</v>
      </c>
      <c r="I7" s="11" t="s">
        <v>8377</v>
      </c>
    </row>
    <row r="8" spans="1:16" x14ac:dyDescent="0.25">
      <c r="A8">
        <v>20508</v>
      </c>
      <c r="B8" t="str">
        <f t="shared" si="0"/>
        <v>310194803</v>
      </c>
      <c r="C8" t="str">
        <f t="shared" si="1"/>
        <v>3101948#03#</v>
      </c>
      <c r="D8" s="3" t="s">
        <v>8374</v>
      </c>
      <c r="E8" t="str">
        <f>IFERROR(VLOOKUP(1*LEFT(C8,7),DF!$A$1:$F$9447,2,FALSE),"")</f>
        <v>CONJ TERMICO RERDA ART.0948/532016 NE/BE</v>
      </c>
      <c r="F8">
        <v>3101948</v>
      </c>
      <c r="G8" s="7" t="s">
        <v>13794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 t="shared" si="0"/>
        <v>310194809</v>
      </c>
      <c r="C9" t="str">
        <f t="shared" si="1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13795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 t="shared" si="0"/>
        <v>510139009</v>
      </c>
      <c r="C10" t="str">
        <f t="shared" si="1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13796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 t="shared" si="0"/>
        <v>510139018</v>
      </c>
      <c r="C11" t="str">
        <f t="shared" si="1"/>
        <v>5101390#18#</v>
      </c>
      <c r="D11" s="3" t="s">
        <v>10868</v>
      </c>
      <c r="E11" t="str">
        <f>IFERROR(VLOOKUP(1*LEFT(C11,7),DF!$A$1:$F$9447,2,FALSE),"")</f>
        <v>CAMP ALPHA FEROCITY 500</v>
      </c>
      <c r="F11">
        <v>5101390</v>
      </c>
      <c r="G11" s="7" t="s">
        <v>13797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 t="shared" si="0"/>
        <v>510144509</v>
      </c>
      <c r="C12" t="str">
        <f t="shared" si="1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13798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 t="shared" si="0"/>
        <v>510144518</v>
      </c>
      <c r="C13" t="str">
        <f t="shared" si="1"/>
        <v>5101445#18#</v>
      </c>
      <c r="D13" s="3" t="s">
        <v>10868</v>
      </c>
      <c r="E13" t="str">
        <f>IFERROR(VLOOKUP(1*LEFT(C13,7),DF!$A$1:$F$9447,2,FALSE),"")</f>
        <v>CAMP ALPHA  SONIC 600</v>
      </c>
      <c r="F13">
        <v>5101445</v>
      </c>
      <c r="G13" s="7" t="s">
        <v>13799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 t="shared" si="0"/>
        <v>870890703</v>
      </c>
      <c r="C14" t="str">
        <f t="shared" si="1"/>
        <v>8708907#03#</v>
      </c>
      <c r="D14" s="3" t="s">
        <v>8374</v>
      </c>
      <c r="E14" t="str">
        <f>IFERROR(VLOOKUP(1*LEFT(C14,7),DF!$A$1:$F$9447,2,FALSE),"")</f>
        <v>MOCHILA ASALTO TACT40LT 3P LASER JSH1907</v>
      </c>
      <c r="F14">
        <v>8708907</v>
      </c>
      <c r="G14" s="7" t="s">
        <v>13800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 t="shared" si="0"/>
        <v>870890706</v>
      </c>
      <c r="C15" t="str">
        <f t="shared" si="1"/>
        <v>8708907#06#</v>
      </c>
      <c r="D15" s="3" t="s">
        <v>8375</v>
      </c>
      <c r="E15" t="str">
        <f>IFERROR(VLOOKUP(1*LEFT(C15,7),DF!$A$1:$F$9447,2,FALSE),"")</f>
        <v>MOCHILA ASALTO TACT40LT 3P LASER JSH1907</v>
      </c>
      <c r="F15">
        <v>8708907</v>
      </c>
      <c r="G15" s="7" t="s">
        <v>13801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 t="shared" si="0"/>
        <v>870890709</v>
      </c>
      <c r="C16" t="str">
        <f t="shared" si="1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13802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 t="shared" si="0"/>
        <v>870890723</v>
      </c>
      <c r="C17" t="str">
        <f t="shared" si="1"/>
        <v>8708907#23#</v>
      </c>
      <c r="D17" s="3" t="s">
        <v>12130</v>
      </c>
      <c r="E17" t="str">
        <f>IFERROR(VLOOKUP(1*LEFT(C17,7),DF!$A$1:$F$9447,2,FALSE),"")</f>
        <v>MOCHILA ASALTO TACT40LT 3P LASER JSH1907</v>
      </c>
      <c r="F17">
        <v>8708907</v>
      </c>
      <c r="G17" s="7" t="s">
        <v>13803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 t="shared" si="0"/>
        <v>870863703</v>
      </c>
      <c r="C18" t="str">
        <f t="shared" si="1"/>
        <v>8708637#03#</v>
      </c>
      <c r="D18" s="3" t="s">
        <v>8374</v>
      </c>
      <c r="E18" t="str">
        <f>IFERROR(VLOOKUP(1*LEFT(C18,7),DF!$A$1:$F$9447,2,FALSE),"")</f>
        <v>MOCHILA 3D GRANDE MZ-RJ-ZE-002 37.5L FRO</v>
      </c>
      <c r="F18">
        <v>8708637</v>
      </c>
      <c r="G18" s="7" t="s">
        <v>13804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 t="shared" si="0"/>
        <v>870863709</v>
      </c>
      <c r="C19" t="str">
        <f t="shared" si="1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13805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 t="shared" si="0"/>
        <v>870853606</v>
      </c>
      <c r="C20" t="str">
        <f t="shared" si="1"/>
        <v>8708536#06#</v>
      </c>
      <c r="D20" s="3" t="s">
        <v>8375</v>
      </c>
      <c r="E20" t="str">
        <f>IFERROR(VLOOKUP(1*LEFT(C20,7),DF!$A$1:$F$9447,2,FALSE),"")</f>
        <v>POUCH BOTIQUIN SIST MOLLE 536</v>
      </c>
      <c r="F20">
        <v>8708536</v>
      </c>
      <c r="G20" s="7" t="s">
        <v>13806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 t="shared" si="0"/>
        <v>870853608</v>
      </c>
      <c r="C21" t="str">
        <f t="shared" si="1"/>
        <v>8708536#08#</v>
      </c>
      <c r="D21" s="3" t="s">
        <v>12146</v>
      </c>
      <c r="E21" t="str">
        <f>IFERROR(VLOOKUP(1*LEFT(C21,7),DF!$A$1:$F$9447,2,FALSE),"")</f>
        <v>POUCH BOTIQUIN SIST MOLLE 536</v>
      </c>
      <c r="F21">
        <v>8708536</v>
      </c>
      <c r="G21" s="7" t="s">
        <v>13807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 t="shared" si="0"/>
        <v>870853609</v>
      </c>
      <c r="C22" t="str">
        <f t="shared" si="1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13808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 t="shared" si="0"/>
        <v>870853622</v>
      </c>
      <c r="C23" t="str">
        <f t="shared" si="1"/>
        <v>8708536#22#</v>
      </c>
      <c r="D23" s="3" t="s">
        <v>12147</v>
      </c>
      <c r="E23" t="str">
        <f>IFERROR(VLOOKUP(1*LEFT(C23,7),DF!$A$1:$F$9447,2,FALSE),"")</f>
        <v>POUCH BOTIQUIN SIST MOLLE 536</v>
      </c>
      <c r="F23">
        <v>8708536</v>
      </c>
      <c r="G23" s="7" t="s">
        <v>13809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 t="shared" si="0"/>
        <v>870801207</v>
      </c>
      <c r="C24" t="str">
        <f t="shared" si="1"/>
        <v>8708012#07#</v>
      </c>
      <c r="D24" s="3" t="s">
        <v>12163</v>
      </c>
      <c r="E24" t="str">
        <f>IFERROR(VLOOKUP(1*LEFT(C24,7),DF!$A$1:$F$9447,2,FALSE),"")</f>
        <v>MOCHILA MOLLE MZ-RJ-A12</v>
      </c>
      <c r="F24">
        <v>8708012</v>
      </c>
      <c r="G24" s="7" t="s">
        <v>13810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 t="shared" si="0"/>
        <v>870801208</v>
      </c>
      <c r="C25" t="str">
        <f t="shared" si="1"/>
        <v>8708012#08#</v>
      </c>
      <c r="D25" s="3" t="s">
        <v>12146</v>
      </c>
      <c r="E25" t="str">
        <f>IFERROR(VLOOKUP(1*LEFT(C25,7),DF!$A$1:$F$9447,2,FALSE),"")</f>
        <v>MOCHILA MOLLE MZ-RJ-A12</v>
      </c>
      <c r="F25">
        <v>8708012</v>
      </c>
      <c r="G25" s="7" t="s">
        <v>13811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 t="shared" si="0"/>
        <v>870801209</v>
      </c>
      <c r="C26" t="str">
        <f t="shared" si="1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13812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 t="shared" si="0"/>
        <v>870830403</v>
      </c>
      <c r="C27" t="str">
        <f t="shared" si="1"/>
        <v>8708304#03#</v>
      </c>
      <c r="D27" s="3" t="s">
        <v>8374</v>
      </c>
      <c r="E27" t="str">
        <f>IFERROR(VLOOKUP(1*LEFT(C27,7),DF!$A$1:$F$9447,2,FALSE),"")</f>
        <v>MOCHILA MOLLE MEDIANA 2304A</v>
      </c>
      <c r="F27">
        <v>8708304</v>
      </c>
      <c r="G27" s="7" t="s">
        <v>13813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 t="shared" si="0"/>
        <v>870830406</v>
      </c>
      <c r="C28" t="str">
        <f t="shared" si="1"/>
        <v>8708304#06#</v>
      </c>
      <c r="D28" s="3" t="s">
        <v>8375</v>
      </c>
      <c r="E28" t="str">
        <f>IFERROR(VLOOKUP(1*LEFT(C28,7),DF!$A$1:$F$9447,2,FALSE),"")</f>
        <v>MOCHILA MOLLE MEDIANA 2304A</v>
      </c>
      <c r="F28">
        <v>8708304</v>
      </c>
      <c r="G28" s="7" t="s">
        <v>13814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 t="shared" si="0"/>
        <v>870830407</v>
      </c>
      <c r="C29" t="str">
        <f t="shared" si="1"/>
        <v>8708304#07#</v>
      </c>
      <c r="D29" s="3" t="s">
        <v>12163</v>
      </c>
      <c r="E29" t="str">
        <f>IFERROR(VLOOKUP(1*LEFT(C29,7),DF!$A$1:$F$9447,2,FALSE),"")</f>
        <v>MOCHILA MOLLE MEDIANA 2304A</v>
      </c>
      <c r="F29">
        <v>8708304</v>
      </c>
      <c r="G29" s="7" t="s">
        <v>13815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 t="shared" si="0"/>
        <v>870830408</v>
      </c>
      <c r="C30" t="str">
        <f t="shared" si="1"/>
        <v>8708304#08#</v>
      </c>
      <c r="D30" s="3" t="s">
        <v>12146</v>
      </c>
      <c r="E30" t="str">
        <f>IFERROR(VLOOKUP(1*LEFT(C30,7),DF!$A$1:$F$9447,2,FALSE),"")</f>
        <v>MOCHILA MOLLE MEDIANA 2304A</v>
      </c>
      <c r="F30">
        <v>8708304</v>
      </c>
      <c r="G30" s="7" t="s">
        <v>13816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 t="shared" si="0"/>
        <v>870830409</v>
      </c>
      <c r="C31" t="str">
        <f t="shared" si="1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13817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 t="shared" si="0"/>
        <v>870831003</v>
      </c>
      <c r="C32" t="str">
        <f t="shared" si="1"/>
        <v>8708310#03#</v>
      </c>
      <c r="D32" s="3" t="s">
        <v>8374</v>
      </c>
      <c r="E32" t="str">
        <f>IFERROR(VLOOKUP(1*LEFT(C32,7),DF!$A$1:$F$9447,2,FALSE),"")</f>
        <v>MOCHILA TACTICA MOLLE 2310</v>
      </c>
      <c r="F32" s="7">
        <v>8708310</v>
      </c>
      <c r="G32" s="7" t="s">
        <v>13818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 t="shared" si="0"/>
        <v>870831007</v>
      </c>
      <c r="C33" t="str">
        <f t="shared" si="1"/>
        <v>8708310#07#</v>
      </c>
      <c r="D33" s="3" t="s">
        <v>12163</v>
      </c>
      <c r="E33" t="str">
        <f>IFERROR(VLOOKUP(1*LEFT(C33,7),DF!$A$1:$F$9447,2,FALSE),"")</f>
        <v>MOCHILA TACTICA MOLLE 2310</v>
      </c>
      <c r="F33" s="7">
        <v>8708310</v>
      </c>
      <c r="G33" s="7" t="s">
        <v>13819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 t="shared" si="0"/>
        <v>870831008</v>
      </c>
      <c r="C34" t="str">
        <f t="shared" si="1"/>
        <v>8708310#08#</v>
      </c>
      <c r="D34" s="3" t="s">
        <v>12146</v>
      </c>
      <c r="E34" t="str">
        <f>IFERROR(VLOOKUP(1*LEFT(C34,7),DF!$A$1:$F$9447,2,FALSE),"")</f>
        <v>MOCHILA TACTICA MOLLE 2310</v>
      </c>
      <c r="F34" s="7">
        <v>8708310</v>
      </c>
      <c r="G34" s="7" t="s">
        <v>13820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 t="shared" si="0"/>
        <v>870831009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13821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 t="shared" si="0"/>
        <v>870832307</v>
      </c>
      <c r="C36" t="str">
        <f t="shared" si="1"/>
        <v>8708323#07#</v>
      </c>
      <c r="D36" s="3" t="s">
        <v>12163</v>
      </c>
      <c r="E36" t="str">
        <f>IFERROR(VLOOKUP(1*LEFT(C36,7),DF!$A$1:$F$9447,2,FALSE),"")</f>
        <v>MORRAL TACTICO CIERRE CRUZADO 2323</v>
      </c>
      <c r="F36" s="7">
        <v>8708323</v>
      </c>
      <c r="G36" s="7" t="s">
        <v>13822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 t="shared" si="0"/>
        <v>870832308</v>
      </c>
      <c r="C37" t="str">
        <f t="shared" si="1"/>
        <v>8708323#08#</v>
      </c>
      <c r="D37" s="3" t="s">
        <v>12146</v>
      </c>
      <c r="E37" t="str">
        <f>IFERROR(VLOOKUP(1*LEFT(C37,7),DF!$A$1:$F$9447,2,FALSE),"")</f>
        <v>MORRAL TACTICO CIERRE CRUZADO 2323</v>
      </c>
      <c r="F37" s="7">
        <v>8708323</v>
      </c>
      <c r="G37" s="7" t="s">
        <v>13823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 t="shared" si="0"/>
        <v>870832309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13824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 t="shared" si="0"/>
        <v>870877406</v>
      </c>
      <c r="C39" t="str">
        <f t="shared" si="1"/>
        <v>8708774#06#</v>
      </c>
      <c r="D39" s="3" t="s">
        <v>8375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13825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 t="shared" si="0"/>
        <v>870877409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13826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 t="shared" si="0"/>
        <v>870877411</v>
      </c>
      <c r="C41" t="str">
        <f t="shared" si="1"/>
        <v>8708774#11#</v>
      </c>
      <c r="D41" s="3" t="s">
        <v>12198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13827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 t="shared" si="0"/>
        <v>861212204</v>
      </c>
      <c r="C42" t="str">
        <f t="shared" si="1"/>
        <v>8612122#04#</v>
      </c>
      <c r="D42" s="3" t="s">
        <v>12169</v>
      </c>
      <c r="E42" t="str">
        <f>IFERROR(VLOOKUP(1*LEFT(C42,7),DF!$A$1:$F$9447,2,FALSE),"")</f>
        <v>GAZEBO PLEGABLE 3X3 AUTOMATICO</v>
      </c>
      <c r="F42" s="7">
        <v>8612122</v>
      </c>
      <c r="G42" s="7" t="s">
        <v>13828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 t="shared" si="0"/>
        <v>861212218</v>
      </c>
      <c r="C43" t="str">
        <f t="shared" si="1"/>
        <v>8612122#18#</v>
      </c>
      <c r="D43" s="3" t="s">
        <v>10868</v>
      </c>
      <c r="E43" t="str">
        <f>IFERROR(VLOOKUP(1*LEFT(C43,7),DF!$A$1:$F$9447,2,FALSE),"")</f>
        <v>GAZEBO PLEGABLE 3X3 AUTOMATICO</v>
      </c>
      <c r="F43" s="7">
        <v>8612122</v>
      </c>
      <c r="G43" s="7" t="s">
        <v>13829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 t="shared" si="0"/>
        <v>861212222</v>
      </c>
      <c r="C44" t="str">
        <f t="shared" si="1"/>
        <v>8612122#22#</v>
      </c>
      <c r="D44" s="3" t="s">
        <v>12147</v>
      </c>
      <c r="E44" t="str">
        <f>IFERROR(VLOOKUP(1*LEFT(C44,7),DF!$A$1:$F$9447,2,FALSE),"")</f>
        <v>GAZEBO PLEGABLE 3X3 AUTOMATICO</v>
      </c>
      <c r="F44" s="7">
        <v>8612122</v>
      </c>
      <c r="G44" s="7" t="s">
        <v>13830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 t="shared" si="0"/>
        <v>830329708</v>
      </c>
      <c r="C45" t="str">
        <f t="shared" si="1"/>
        <v>8303297#08#</v>
      </c>
      <c r="D45" s="3" t="s">
        <v>12146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13831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 t="shared" si="0"/>
        <v>830329709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13832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 t="shared" si="0"/>
        <v>830329721</v>
      </c>
      <c r="C47" t="str">
        <f t="shared" si="1"/>
        <v>8303297#21#</v>
      </c>
      <c r="D47" s="3" t="s">
        <v>12185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13833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 t="shared" si="0"/>
        <v>870125503</v>
      </c>
      <c r="C48" t="str">
        <f t="shared" si="1"/>
        <v>8701255#03#</v>
      </c>
      <c r="D48" s="3" t="s">
        <v>8374</v>
      </c>
      <c r="E48" t="str">
        <f>IFERROR(VLOOKUP(1*LEFT(C48,7),DF!$A$1:$F$9447,2,FALSE),"")</f>
        <v>CINTURON TACTICO 3255 TG017</v>
      </c>
      <c r="F48" s="7">
        <v>8701255</v>
      </c>
      <c r="G48" s="7" t="s">
        <v>13834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 t="shared" si="0"/>
        <v>870125509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13835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 t="shared" si="0"/>
        <v>870863403</v>
      </c>
      <c r="C50" t="str">
        <f t="shared" si="1"/>
        <v>8708634#03#</v>
      </c>
      <c r="D50" s="3" t="s">
        <v>8374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13836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 t="shared" si="0"/>
        <v>870863405</v>
      </c>
      <c r="C51" t="str">
        <f t="shared" si="1"/>
        <v>8708634#05#</v>
      </c>
      <c r="D51" s="3" t="s">
        <v>12203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13837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 t="shared" si="0"/>
        <v>870863407</v>
      </c>
      <c r="C52" t="str">
        <f t="shared" si="1"/>
        <v>8708634#07#</v>
      </c>
      <c r="D52" s="3" t="s">
        <v>12163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13838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 t="shared" si="0"/>
        <v>870863409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13839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 t="shared" si="0"/>
        <v>870862806</v>
      </c>
      <c r="C54" t="str">
        <f t="shared" si="1"/>
        <v>8708628#06#</v>
      </c>
      <c r="D54" s="3" t="s">
        <v>8375</v>
      </c>
      <c r="E54" t="str">
        <f>IFERROR(VLOOKUP(1*LEFT(C54,7),DF!$A$1:$F$9447,2,FALSE),"")</f>
        <v>MOCHILA BOLSO 8126-2 50L YW-140/3</v>
      </c>
      <c r="F54" s="7">
        <v>8708628</v>
      </c>
      <c r="G54" s="7" t="s">
        <v>13840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 t="shared" si="0"/>
        <v>870862807</v>
      </c>
      <c r="C55" t="str">
        <f t="shared" si="1"/>
        <v>8708628#07#</v>
      </c>
      <c r="D55" s="3" t="s">
        <v>12163</v>
      </c>
      <c r="E55" t="str">
        <f>IFERROR(VLOOKUP(1*LEFT(C55,7),DF!$A$1:$F$9447,2,FALSE),"")</f>
        <v>MOCHILA BOLSO 8126-2 50L YW-140/3</v>
      </c>
      <c r="F55" s="7">
        <v>8708628</v>
      </c>
      <c r="G55" s="7" t="s">
        <v>13841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 t="shared" si="0"/>
        <v>852051109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13842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 t="shared" si="0"/>
        <v>852051106</v>
      </c>
      <c r="C57" t="str">
        <f t="shared" si="1"/>
        <v>8520511#06#</v>
      </c>
      <c r="D57" s="3" t="s">
        <v>8375</v>
      </c>
      <c r="E57" t="str">
        <f>IFERROR(VLOOKUP(1*LEFT(C57,7),DF!$A$1:$F$9447,2,FALSE),"")</f>
        <v>MOSQUETON POLIM PLASTICO 2072</v>
      </c>
      <c r="F57" s="7">
        <v>8520511</v>
      </c>
      <c r="G57" s="7" t="s">
        <v>13843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 t="shared" si="0"/>
        <v>852051103</v>
      </c>
      <c r="C58" t="str">
        <f t="shared" si="1"/>
        <v>8520511#03#</v>
      </c>
      <c r="D58" s="3" t="s">
        <v>8374</v>
      </c>
      <c r="E58" t="str">
        <f>IFERROR(VLOOKUP(1*LEFT(C58,7),DF!$A$1:$F$9447,2,FALSE),"")</f>
        <v>MOSQUETON POLIM PLASTICO 2072</v>
      </c>
      <c r="F58" s="7">
        <v>8520511</v>
      </c>
      <c r="G58" s="7" t="s">
        <v>13844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 t="shared" si="0"/>
        <v>850582409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13845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 t="shared" si="0"/>
        <v>850582418</v>
      </c>
      <c r="C60" t="str">
        <f t="shared" si="1"/>
        <v>8505824#18#</v>
      </c>
      <c r="D60" s="3" t="s">
        <v>10868</v>
      </c>
      <c r="E60" t="str">
        <f>IFERROR(VLOOKUP(1*LEFT(C60,7),DF!$A$1:$F$9447,2,FALSE),"")</f>
        <v>BARBIJO CORDON BICOLOR RER</v>
      </c>
      <c r="F60" s="7">
        <v>8505824</v>
      </c>
      <c r="G60" s="7" t="s">
        <v>13846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 t="shared" si="0"/>
        <v>869223011</v>
      </c>
      <c r="C61" t="str">
        <f t="shared" si="1"/>
        <v>8692230#11#</v>
      </c>
      <c r="D61" s="3" t="s">
        <v>12198</v>
      </c>
      <c r="E61" t="str">
        <f>IFERROR(VLOOKUP(1*LEFT(C61,7),DF!$A$1:$F$9447,2,FALSE),"")</f>
        <v>BOLSA DORMIR KC-003-2</v>
      </c>
      <c r="F61" s="7">
        <v>8692230</v>
      </c>
      <c r="G61" s="7" t="s">
        <v>13847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 t="shared" si="0"/>
        <v>869223004</v>
      </c>
      <c r="C62" t="str">
        <f t="shared" si="1"/>
        <v>8692230#04#</v>
      </c>
      <c r="D62" s="3" t="s">
        <v>12169</v>
      </c>
      <c r="E62" t="str">
        <f>IFERROR(VLOOKUP(1*LEFT(C62,7),DF!$A$1:$F$9447,2,FALSE),"")</f>
        <v>BOLSA DORMIR KC-003-2</v>
      </c>
      <c r="F62" s="7">
        <v>8692230</v>
      </c>
      <c r="G62" s="7" t="s">
        <v>13848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 t="shared" si="0"/>
        <v>869223018</v>
      </c>
      <c r="C63" t="str">
        <f t="shared" si="1"/>
        <v>8692230#18#</v>
      </c>
      <c r="D63" s="3" t="s">
        <v>10868</v>
      </c>
      <c r="E63" t="str">
        <f>IFERROR(VLOOKUP(1*LEFT(C63,7),DF!$A$1:$F$9447,2,FALSE),"")</f>
        <v>BOLSA DORMIR KC-003-2</v>
      </c>
      <c r="F63" s="7">
        <v>8692230</v>
      </c>
      <c r="G63" s="7" t="s">
        <v>13849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 t="shared" si="0"/>
        <v>869223006</v>
      </c>
      <c r="C64" t="str">
        <f t="shared" si="1"/>
        <v>8692230#06#</v>
      </c>
      <c r="D64" s="3" t="s">
        <v>8375</v>
      </c>
      <c r="E64" t="str">
        <f>IFERROR(VLOOKUP(1*LEFT(C64,7),DF!$A$1:$F$9447,2,FALSE),"")</f>
        <v>BOLSA DORMIR KC-003-2</v>
      </c>
      <c r="F64" s="7">
        <v>8692230</v>
      </c>
      <c r="G64" s="7" t="s">
        <v>13850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 t="shared" si="0"/>
        <v>869223029</v>
      </c>
      <c r="C65" t="str">
        <f t="shared" si="1"/>
        <v>8692230#29#</v>
      </c>
      <c r="D65" s="3" t="s">
        <v>12285</v>
      </c>
      <c r="E65" t="str">
        <f>IFERROR(VLOOKUP(1*LEFT(C65,7),DF!$A$1:$F$9447,2,FALSE),"")</f>
        <v>BOLSA DORMIR KC-003-2</v>
      </c>
      <c r="F65" s="7">
        <v>8692230</v>
      </c>
      <c r="G65" s="7" t="s">
        <v>13851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ref="C66:C129" si="3">CONCATENATE(F66,"#",D66,"#")</f>
        <v>8692230#06#</v>
      </c>
      <c r="D66" s="24" t="s">
        <v>8375</v>
      </c>
      <c r="E66" t="str">
        <f>IFERROR(VLOOKUP(1*LEFT(C66,7),DF!$A$1:$F$9447,2,FALSE),"")</f>
        <v>BOLSA DORMIR KC-003-2</v>
      </c>
      <c r="F66" s="7">
        <v>8692230</v>
      </c>
      <c r="G66" s="7" t="s">
        <v>13850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 t="shared" si="2"/>
        <v>869223013</v>
      </c>
      <c r="C67" t="str">
        <f t="shared" si="3"/>
        <v>8692230#13#</v>
      </c>
      <c r="D67" s="24" t="s">
        <v>12286</v>
      </c>
      <c r="E67" t="str">
        <f>IFERROR(VLOOKUP(1*LEFT(C67,7),DF!$A$1:$F$9447,2,FALSE),"")</f>
        <v>BOLSA DORMIR KC-003-2</v>
      </c>
      <c r="F67" s="7">
        <v>8692230</v>
      </c>
      <c r="G67" s="7" t="s">
        <v>13852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 t="shared" si="2"/>
        <v>840000801</v>
      </c>
      <c r="C68" t="str">
        <f t="shared" si="3"/>
        <v>8400008#01#</v>
      </c>
      <c r="D68" s="24" t="s">
        <v>12294</v>
      </c>
      <c r="E68" t="str">
        <f>IFERROR(VLOOKUP(1*LEFT(C68,7),DF!$A$1:$F$9447,2,FALSE),"")</f>
        <v>GORRITA BEISBOL CAMUFLADAS 2280</v>
      </c>
      <c r="F68" s="7">
        <v>8400008</v>
      </c>
      <c r="G68" s="7" t="s">
        <v>13853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 t="shared" si="2"/>
        <v>840000803</v>
      </c>
      <c r="C69" t="str">
        <f t="shared" si="3"/>
        <v>8400008#03#</v>
      </c>
      <c r="D69" s="24" t="s">
        <v>8374</v>
      </c>
      <c r="E69" t="str">
        <f>IFERROR(VLOOKUP(1*LEFT(C69,7),DF!$A$1:$F$9447,2,FALSE),"")</f>
        <v>GORRITA BEISBOL CAMUFLADAS 2280</v>
      </c>
      <c r="F69" s="7">
        <v>8400008</v>
      </c>
      <c r="G69" s="7" t="s">
        <v>13854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 t="shared" si="2"/>
        <v>840000806</v>
      </c>
      <c r="C70" t="str">
        <f t="shared" si="3"/>
        <v>8400008#06#</v>
      </c>
      <c r="D70" s="24" t="s">
        <v>8375</v>
      </c>
      <c r="E70" t="str">
        <f>IFERROR(VLOOKUP(1*LEFT(C70,7),DF!$A$1:$F$9447,2,FALSE),"")</f>
        <v>GORRITA BEISBOL CAMUFLADAS 2280</v>
      </c>
      <c r="F70" s="7">
        <v>8400008</v>
      </c>
      <c r="G70" s="7" t="s">
        <v>13855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 t="shared" si="2"/>
        <v>840000807</v>
      </c>
      <c r="C71" t="str">
        <f t="shared" si="3"/>
        <v>8400008#07#</v>
      </c>
      <c r="D71" s="24" t="s">
        <v>12163</v>
      </c>
      <c r="E71" t="str">
        <f>IFERROR(VLOOKUP(1*LEFT(C71,7),DF!$A$1:$F$9447,2,FALSE),"")</f>
        <v>GORRITA BEISBOL CAMUFLADAS 2280</v>
      </c>
      <c r="F71" s="7">
        <v>8400008</v>
      </c>
      <c r="G71" s="7" t="s">
        <v>13856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 t="shared" si="2"/>
        <v>840000808</v>
      </c>
      <c r="C72" t="str">
        <f t="shared" si="3"/>
        <v>8400008#08#</v>
      </c>
      <c r="D72" s="24" t="s">
        <v>12146</v>
      </c>
      <c r="E72" t="str">
        <f>IFERROR(VLOOKUP(1*LEFT(C72,7),DF!$A$1:$F$9447,2,FALSE),"")</f>
        <v>GORRITA BEISBOL CAMUFLADAS 2280</v>
      </c>
      <c r="F72" s="7">
        <v>8400008</v>
      </c>
      <c r="G72" s="7" t="s">
        <v>13857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 t="shared" si="2"/>
        <v>840000811</v>
      </c>
      <c r="C73" t="str">
        <f t="shared" si="3"/>
        <v>8400008#11#</v>
      </c>
      <c r="D73" s="24" t="s">
        <v>12198</v>
      </c>
      <c r="E73" t="str">
        <f>IFERROR(VLOOKUP(1*LEFT(C73,7),DF!$A$1:$F$9447,2,FALSE),"")</f>
        <v>GORRITA BEISBOL CAMUFLADAS 2280</v>
      </c>
      <c r="F73" s="7">
        <v>8400008</v>
      </c>
      <c r="G73" s="7" t="s">
        <v>13858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 t="shared" si="2"/>
        <v>840000821</v>
      </c>
      <c r="C74" t="str">
        <f t="shared" si="3"/>
        <v>8400008#21#</v>
      </c>
      <c r="D74" s="24" t="s">
        <v>12185</v>
      </c>
      <c r="E74" t="str">
        <f>IFERROR(VLOOKUP(1*LEFT(C74,7),DF!$A$1:$F$9447,2,FALSE),"")</f>
        <v>GORRITA BEISBOL CAMUFLADAS 2280</v>
      </c>
      <c r="F74" s="7">
        <v>8400008</v>
      </c>
      <c r="G74" s="7" t="s">
        <v>13859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 t="shared" si="2"/>
        <v>870899804</v>
      </c>
      <c r="C75" t="str">
        <f t="shared" si="3"/>
        <v>8708998#04#</v>
      </c>
      <c r="D75" s="24" t="s">
        <v>12169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13860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 t="shared" si="2"/>
        <v>870899805</v>
      </c>
      <c r="C76" t="str">
        <f t="shared" si="3"/>
        <v>8708998#05#</v>
      </c>
      <c r="D76" s="24" t="s">
        <v>12203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13861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 t="shared" si="2"/>
        <v>870899807</v>
      </c>
      <c r="C77" t="str">
        <f t="shared" si="3"/>
        <v>8708998#07#</v>
      </c>
      <c r="D77" s="24" t="s">
        <v>12163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13862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 t="shared" si="2"/>
        <v>870899808</v>
      </c>
      <c r="C78" t="str">
        <f t="shared" si="3"/>
        <v>8708998#08#</v>
      </c>
      <c r="D78" s="24" t="s">
        <v>12146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13863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 t="shared" si="2"/>
        <v>870899811</v>
      </c>
      <c r="C79" t="str">
        <f t="shared" si="3"/>
        <v>8708998#11#</v>
      </c>
      <c r="D79" s="24" t="s">
        <v>12198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13864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 t="shared" si="2"/>
        <v>870833303</v>
      </c>
      <c r="C80" t="str">
        <f t="shared" si="3"/>
        <v>8708333#03#</v>
      </c>
      <c r="D80" s="24" t="s">
        <v>8374</v>
      </c>
      <c r="E80" t="str">
        <f>IFERROR(VLOOKUP(1*LEFT(C80,7),DF!$A$1:$F$9447,2,FALSE),"")</f>
        <v>MOCHILA TACTICA  MZ-RJ-A33 25 LTS</v>
      </c>
      <c r="F80" s="7">
        <v>8708333</v>
      </c>
      <c r="G80" s="7" t="s">
        <v>13865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 t="shared" si="2"/>
        <v>870833309</v>
      </c>
      <c r="C81" t="str">
        <f t="shared" si="3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13866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 t="shared" si="2"/>
        <v>870842603</v>
      </c>
      <c r="C82" t="str">
        <f t="shared" si="3"/>
        <v>8708426#03#</v>
      </c>
      <c r="D82" s="24" t="s">
        <v>8374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13867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 t="shared" si="2"/>
        <v>870842606</v>
      </c>
      <c r="C83" t="str">
        <f t="shared" si="3"/>
        <v>8708426#06#</v>
      </c>
      <c r="D83" s="24" t="s">
        <v>8375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13868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 t="shared" si="2"/>
        <v>870842609</v>
      </c>
      <c r="C84" t="str">
        <f t="shared" si="3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13869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 t="shared" si="2"/>
        <v>870861101</v>
      </c>
      <c r="C85" t="str">
        <f t="shared" si="3"/>
        <v>8708611#01#</v>
      </c>
      <c r="D85" s="24" t="s">
        <v>12294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13870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12434</v>
      </c>
    </row>
    <row r="86" spans="1:13" x14ac:dyDescent="0.25">
      <c r="A86">
        <v>20508</v>
      </c>
      <c r="B86" t="str">
        <f t="shared" si="2"/>
        <v>870861104</v>
      </c>
      <c r="C86" t="str">
        <f t="shared" si="3"/>
        <v>8708611#04#</v>
      </c>
      <c r="D86" s="24" t="s">
        <v>12169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13871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 t="shared" si="2"/>
        <v>870861107</v>
      </c>
      <c r="C87" t="str">
        <f t="shared" si="3"/>
        <v>8708611#07#</v>
      </c>
      <c r="D87" s="24" t="s">
        <v>12163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13872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 t="shared" si="2"/>
        <v>870861109</v>
      </c>
      <c r="C88" t="str">
        <f t="shared" si="3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13873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 t="shared" si="2"/>
        <v>870861111</v>
      </c>
      <c r="C89" t="str">
        <f t="shared" si="3"/>
        <v>8708611#11#</v>
      </c>
      <c r="D89" s="24" t="s">
        <v>12198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13874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 t="shared" si="2"/>
        <v>870861136</v>
      </c>
      <c r="C90" t="str">
        <f t="shared" si="3"/>
        <v>8708611#36#</v>
      </c>
      <c r="D90" s="24" t="s">
        <v>12430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13875</v>
      </c>
      <c r="H90" s="7">
        <v>4</v>
      </c>
      <c r="I90" s="11" t="s">
        <v>12435</v>
      </c>
      <c r="J90" s="11" t="s">
        <v>12436</v>
      </c>
      <c r="K90" s="11" t="s">
        <v>12437</v>
      </c>
      <c r="L90" s="11" t="s">
        <v>12438</v>
      </c>
    </row>
    <row r="91" spans="1:13" x14ac:dyDescent="0.25">
      <c r="A91">
        <v>20508</v>
      </c>
      <c r="B91" t="str">
        <f t="shared" si="2"/>
        <v>870861137</v>
      </c>
      <c r="C91" t="str">
        <f t="shared" si="3"/>
        <v>8708611#37#</v>
      </c>
      <c r="D91" s="24" t="s">
        <v>12431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13876</v>
      </c>
      <c r="H91" s="7">
        <v>4</v>
      </c>
      <c r="I91" s="11" t="s">
        <v>12439</v>
      </c>
      <c r="J91" s="11" t="s">
        <v>12440</v>
      </c>
      <c r="K91" s="11" t="s">
        <v>12441</v>
      </c>
      <c r="L91" s="11" t="s">
        <v>12442</v>
      </c>
    </row>
    <row r="92" spans="1:13" x14ac:dyDescent="0.25">
      <c r="A92">
        <v>20508</v>
      </c>
      <c r="B92" t="str">
        <f t="shared" si="2"/>
        <v>870861138</v>
      </c>
      <c r="C92" t="str">
        <f t="shared" si="3"/>
        <v>8708611#38#</v>
      </c>
      <c r="D92" s="24" t="s">
        <v>12432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13877</v>
      </c>
      <c r="H92" s="7">
        <v>3</v>
      </c>
      <c r="I92" s="11" t="s">
        <v>12443</v>
      </c>
      <c r="J92" s="11" t="s">
        <v>12444</v>
      </c>
      <c r="K92" s="11" t="s">
        <v>12445</v>
      </c>
    </row>
    <row r="93" spans="1:13" x14ac:dyDescent="0.25">
      <c r="A93">
        <v>20508</v>
      </c>
      <c r="B93" t="str">
        <f t="shared" si="2"/>
        <v>870861139</v>
      </c>
      <c r="C93" t="str">
        <f t="shared" si="3"/>
        <v>8708611#39#</v>
      </c>
      <c r="D93" s="24" t="s">
        <v>12433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13878</v>
      </c>
      <c r="H93" s="7">
        <v>4</v>
      </c>
      <c r="I93" s="11" t="s">
        <v>12446</v>
      </c>
      <c r="J93" s="11" t="s">
        <v>12447</v>
      </c>
      <c r="K93" s="11" t="s">
        <v>12448</v>
      </c>
      <c r="L93" s="11" t="s">
        <v>12449</v>
      </c>
    </row>
    <row r="94" spans="1:13" x14ac:dyDescent="0.25">
      <c r="A94">
        <v>20508</v>
      </c>
      <c r="B94" t="str">
        <f t="shared" si="2"/>
        <v>820520005</v>
      </c>
      <c r="C94" t="str">
        <f t="shared" si="3"/>
        <v>8205200#05#</v>
      </c>
      <c r="D94" s="24" t="s">
        <v>12203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13879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 t="shared" si="2"/>
        <v>820520036</v>
      </c>
      <c r="C95" t="str">
        <f t="shared" si="3"/>
        <v>8205200#36#</v>
      </c>
      <c r="D95" s="24" t="s">
        <v>12430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13880</v>
      </c>
      <c r="H95" s="7">
        <v>4</v>
      </c>
      <c r="I95" s="11" t="s">
        <v>12435</v>
      </c>
      <c r="J95" s="11" t="s">
        <v>12436</v>
      </c>
      <c r="K95" s="11" t="s">
        <v>12437</v>
      </c>
      <c r="L95" s="11" t="s">
        <v>12438</v>
      </c>
    </row>
    <row r="96" spans="1:13" x14ac:dyDescent="0.25">
      <c r="A96">
        <v>20508</v>
      </c>
      <c r="B96" t="str">
        <f t="shared" si="2"/>
        <v>820520037</v>
      </c>
      <c r="C96" t="str">
        <f t="shared" si="3"/>
        <v>8205200#37#</v>
      </c>
      <c r="D96" s="24" t="s">
        <v>12431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13881</v>
      </c>
      <c r="H96" s="7">
        <v>4</v>
      </c>
      <c r="I96" s="11" t="s">
        <v>12439</v>
      </c>
      <c r="J96" s="11" t="s">
        <v>12440</v>
      </c>
      <c r="K96" s="11" t="s">
        <v>12441</v>
      </c>
      <c r="L96" s="11" t="s">
        <v>12442</v>
      </c>
    </row>
    <row r="97" spans="1:11" x14ac:dyDescent="0.25">
      <c r="A97">
        <v>20508</v>
      </c>
      <c r="B97" t="str">
        <f t="shared" si="2"/>
        <v>861208009</v>
      </c>
      <c r="C97" t="str">
        <f t="shared" si="3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13882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 t="shared" si="2"/>
        <v>861208022</v>
      </c>
      <c r="C98" t="str">
        <f t="shared" si="3"/>
        <v>8612080#22#</v>
      </c>
      <c r="D98" s="24" t="s">
        <v>12147</v>
      </c>
      <c r="E98" t="str">
        <f>IFERROR(VLOOKUP(1*LEFT(C98,7),DF!$A$1:$F$9447,2,FALSE),"")</f>
        <v>BOLSA DE DORMIR SPINIT CLASSIC</v>
      </c>
      <c r="F98" s="7">
        <v>8612080</v>
      </c>
      <c r="G98" s="7" t="s">
        <v>13883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 t="shared" si="2"/>
        <v>870860405</v>
      </c>
      <c r="C99" t="str">
        <f t="shared" si="3"/>
        <v>8708604#05#</v>
      </c>
      <c r="D99" s="24" t="s">
        <v>12203</v>
      </c>
      <c r="E99" t="str">
        <f>IFERROR(VLOOKUP(1*LEFT(C99,7),DF!$A$1:$F$9447,2,FALSE),"")</f>
        <v>RIÑONERA MZ-RJ-B04 8.5L FRONT-3</v>
      </c>
      <c r="F99" s="7">
        <v>8708604</v>
      </c>
      <c r="G99" s="7" t="s">
        <v>14117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 t="shared" si="2"/>
        <v>870860402</v>
      </c>
      <c r="C100" t="str">
        <f t="shared" si="3"/>
        <v>8708604#02#</v>
      </c>
      <c r="D100" s="24" t="s">
        <v>14078</v>
      </c>
      <c r="E100" t="str">
        <f>IFERROR(VLOOKUP(1*LEFT(C100,7),DF!$A$1:$F$9447,2,FALSE),"")</f>
        <v>RIÑONERA MZ-RJ-B04 8.5L FRONT-3</v>
      </c>
      <c r="F100" s="7">
        <v>8708604</v>
      </c>
      <c r="G100" s="7" t="s">
        <v>14118</v>
      </c>
      <c r="H100" s="7">
        <v>1</v>
      </c>
      <c r="I100" s="11" t="s">
        <v>14116</v>
      </c>
    </row>
    <row r="101" spans="1:11" x14ac:dyDescent="0.25">
      <c r="A101">
        <v>20508</v>
      </c>
      <c r="B101" t="str">
        <f t="shared" si="2"/>
        <v>870860406</v>
      </c>
      <c r="C101" t="str">
        <f t="shared" si="3"/>
        <v>8708604#06#</v>
      </c>
      <c r="D101" s="24" t="s">
        <v>8375</v>
      </c>
      <c r="E101" t="str">
        <f>IFERROR(VLOOKUP(1*LEFT(C101,7),DF!$A$1:$F$9447,2,FALSE),"")</f>
        <v>RIÑONERA MZ-RJ-B04 8.5L FRONT-3</v>
      </c>
      <c r="F101" s="7">
        <v>8708604</v>
      </c>
      <c r="G101" s="7" t="s">
        <v>14119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 t="shared" si="2"/>
        <v>870860404</v>
      </c>
      <c r="C102" t="str">
        <f t="shared" si="3"/>
        <v>8708604#04#</v>
      </c>
      <c r="D102" s="24" t="s">
        <v>12169</v>
      </c>
      <c r="E102" t="str">
        <f>IFERROR(VLOOKUP(1*LEFT(C102,7),DF!$A$1:$F$9447,2,FALSE),"")</f>
        <v>RIÑONERA MZ-RJ-B04 8.5L FRONT-3</v>
      </c>
      <c r="F102" s="7">
        <v>8708604</v>
      </c>
      <c r="G102" s="7" t="s">
        <v>14120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 t="shared" si="2"/>
        <v>870860401</v>
      </c>
      <c r="C103" t="str">
        <f t="shared" si="3"/>
        <v>8708604#01#</v>
      </c>
      <c r="D103" s="24" t="s">
        <v>12294</v>
      </c>
      <c r="E103" t="str">
        <f>IFERROR(VLOOKUP(1*LEFT(C103,7),DF!$A$1:$F$9447,2,FALSE),"")</f>
        <v>RIÑONERA MZ-RJ-B04 8.5L FRONT-3</v>
      </c>
      <c r="F103" s="7">
        <v>8708604</v>
      </c>
      <c r="G103" s="7" t="s">
        <v>14121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 t="shared" si="2"/>
        <v>870860403</v>
      </c>
      <c r="C104" t="str">
        <f t="shared" si="3"/>
        <v>8708604#03#</v>
      </c>
      <c r="D104" s="24" t="s">
        <v>8374</v>
      </c>
      <c r="E104" t="str">
        <f>IFERROR(VLOOKUP(1*LEFT(C104,7),DF!$A$1:$F$9447,2,FALSE),"")</f>
        <v>RIÑONERA MZ-RJ-B04 8.5L FRONT-3</v>
      </c>
      <c r="F104" s="7">
        <v>8708604</v>
      </c>
      <c r="G104" s="7" t="s">
        <v>14122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 t="shared" si="2"/>
        <v>870860407</v>
      </c>
      <c r="C105" t="str">
        <f t="shared" si="3"/>
        <v>8708604#07#</v>
      </c>
      <c r="D105" s="24" t="s">
        <v>12163</v>
      </c>
      <c r="E105" t="str">
        <f>IFERROR(VLOOKUP(1*LEFT(C105,7),DF!$A$1:$F$9447,2,FALSE),"")</f>
        <v>RIÑONERA MZ-RJ-B04 8.5L FRONT-3</v>
      </c>
      <c r="F105" s="7">
        <v>8708604</v>
      </c>
      <c r="G105" s="7" t="s">
        <v>14123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 t="shared" si="2"/>
        <v>870860408</v>
      </c>
      <c r="C106" t="str">
        <f t="shared" si="3"/>
        <v>8708604#08#</v>
      </c>
      <c r="D106" s="24" t="s">
        <v>12146</v>
      </c>
      <c r="E106" t="str">
        <f>IFERROR(VLOOKUP(1*LEFT(C106,7),DF!$A$1:$F$9447,2,FALSE),"")</f>
        <v>RIÑONERA MZ-RJ-B04 8.5L FRONT-3</v>
      </c>
      <c r="F106" s="7">
        <v>8708604</v>
      </c>
      <c r="G106" s="7" t="s">
        <v>14124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 t="shared" si="2"/>
        <v>870860409</v>
      </c>
      <c r="C107" t="str">
        <f t="shared" si="3"/>
        <v>8708604#09#</v>
      </c>
      <c r="D107" s="24" t="s">
        <v>7026</v>
      </c>
      <c r="E107" t="str">
        <f>IFERROR(VLOOKUP(1*LEFT(C107,7),DF!$A$1:$F$9447,2,FALSE),"")</f>
        <v>RIÑONERA MZ-RJ-B04 8.5L FRONT-3</v>
      </c>
      <c r="F107" s="7">
        <v>8708604</v>
      </c>
      <c r="G107" s="7" t="s">
        <v>14125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 t="shared" si="2"/>
        <v>870860411</v>
      </c>
      <c r="C108" t="str">
        <f t="shared" si="3"/>
        <v>8708604#11#</v>
      </c>
      <c r="D108" s="24" t="s">
        <v>12198</v>
      </c>
      <c r="E108" t="str">
        <f>IFERROR(VLOOKUP(1*LEFT(C108,7),DF!$A$1:$F$9447,2,FALSE),"")</f>
        <v>RIÑONERA MZ-RJ-B04 8.5L FRONT-3</v>
      </c>
      <c r="F108" s="7">
        <v>8708604</v>
      </c>
      <c r="G108" s="7" t="s">
        <v>14126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 t="shared" si="2"/>
        <v>870881504</v>
      </c>
      <c r="C109" t="str">
        <f t="shared" si="3"/>
        <v>8708815#04#</v>
      </c>
      <c r="D109" s="24" t="s">
        <v>12169</v>
      </c>
      <c r="E109" t="str">
        <f>IFERROR(VLOOKUP(1*LEFT(C109,7),DF!$A$1:$F$9447,2,FALSE),"")</f>
        <v>POUCH TACTICO C/PORTA CEL MOLLE 8150-18/</v>
      </c>
      <c r="F109">
        <v>8708815</v>
      </c>
      <c r="G109" s="7" t="s">
        <v>14140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 t="shared" si="2"/>
        <v>870881503</v>
      </c>
      <c r="C110" t="str">
        <f t="shared" si="3"/>
        <v>8708815#03#</v>
      </c>
      <c r="D110" s="24" t="s">
        <v>8374</v>
      </c>
      <c r="E110" t="str">
        <f>IFERROR(VLOOKUP(1*LEFT(C110,7),DF!$A$1:$F$9447,2,FALSE),"")</f>
        <v>POUCH TACTICO C/PORTA CEL MOLLE 8150-18/</v>
      </c>
      <c r="F110">
        <v>8708815</v>
      </c>
      <c r="G110" s="7" t="s">
        <v>14141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 t="shared" si="2"/>
        <v>870881506</v>
      </c>
      <c r="C111" t="str">
        <f t="shared" si="3"/>
        <v>8708815#06#</v>
      </c>
      <c r="D111" s="24" t="s">
        <v>8375</v>
      </c>
      <c r="E111" t="str">
        <f>IFERROR(VLOOKUP(1*LEFT(C111,7),DF!$A$1:$F$9447,2,FALSE),"")</f>
        <v>POUCH TACTICO C/PORTA CEL MOLLE 8150-18/</v>
      </c>
      <c r="F111">
        <v>8708815</v>
      </c>
      <c r="G111" s="7" t="s">
        <v>14142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 t="shared" si="2"/>
        <v>870881508</v>
      </c>
      <c r="C112" t="str">
        <f t="shared" si="3"/>
        <v>8708815#08#</v>
      </c>
      <c r="D112" s="24" t="s">
        <v>12146</v>
      </c>
      <c r="E112" t="str">
        <f>IFERROR(VLOOKUP(1*LEFT(C112,7),DF!$A$1:$F$9447,2,FALSE),"")</f>
        <v>POUCH TACTICO C/PORTA CEL MOLLE 8150-18/</v>
      </c>
      <c r="F112">
        <v>8708815</v>
      </c>
      <c r="G112" s="7" t="s">
        <v>14143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 t="shared" si="2"/>
        <v>870881509</v>
      </c>
      <c r="C113" t="str">
        <f t="shared" si="3"/>
        <v>8708815#09#</v>
      </c>
      <c r="D113" s="24" t="s">
        <v>7026</v>
      </c>
      <c r="E113" t="str">
        <f>IFERROR(VLOOKUP(1*LEFT(C113,7),DF!$A$1:$F$9447,2,FALSE),"")</f>
        <v>POUCH TACTICO C/PORTA CEL MOLLE 8150-18/</v>
      </c>
      <c r="F113">
        <v>8708815</v>
      </c>
      <c r="G113" s="7" t="s">
        <v>14144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 t="shared" si="2"/>
        <v>870881510</v>
      </c>
      <c r="C114" t="str">
        <f t="shared" si="3"/>
        <v>8708815#10#</v>
      </c>
      <c r="D114" s="24" t="s">
        <v>14138</v>
      </c>
      <c r="E114" t="str">
        <f>IFERROR(VLOOKUP(1*LEFT(C114,7),DF!$A$1:$F$9447,2,FALSE),"")</f>
        <v>POUCH TACTICO C/PORTA CEL MOLLE 8150-18/</v>
      </c>
      <c r="F114">
        <v>8708815</v>
      </c>
      <c r="G114" s="7" t="s">
        <v>14145</v>
      </c>
      <c r="H114" s="7">
        <v>1</v>
      </c>
      <c r="I114" s="11" t="s">
        <v>14139</v>
      </c>
    </row>
    <row r="115" spans="1:13" x14ac:dyDescent="0.25">
      <c r="A115">
        <v>20508</v>
      </c>
      <c r="B115" t="str">
        <f t="shared" si="2"/>
        <v>870881511</v>
      </c>
      <c r="C115" t="str">
        <f t="shared" si="3"/>
        <v>8708815#11#</v>
      </c>
      <c r="D115" s="24" t="s">
        <v>12198</v>
      </c>
      <c r="E115" t="str">
        <f>IFERROR(VLOOKUP(1*LEFT(C115,7),DF!$A$1:$F$9447,2,FALSE),"")</f>
        <v>POUCH TACTICO C/PORTA CEL MOLLE 8150-18/</v>
      </c>
      <c r="F115">
        <v>8708815</v>
      </c>
      <c r="G115" s="7" t="s">
        <v>14146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 t="shared" si="2"/>
        <v>852000709</v>
      </c>
      <c r="C116" t="str">
        <f t="shared" si="3"/>
        <v>8520007#09#</v>
      </c>
      <c r="D116" s="24" t="s">
        <v>7026</v>
      </c>
      <c r="E116" t="str">
        <f>IFERROR(VLOOKUP(1*LEFT(C116,7),DF!$A$1:$F$9447,2,FALSE),"")</f>
        <v>LAPICERA TACTICA KUBOTAN 5553  4236</v>
      </c>
      <c r="F116">
        <v>8520007</v>
      </c>
      <c r="G116" s="7" t="s">
        <v>14156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 t="shared" si="2"/>
        <v>852000713</v>
      </c>
      <c r="C117" t="str">
        <f t="shared" si="3"/>
        <v>8520007#13#</v>
      </c>
      <c r="D117" s="24" t="s">
        <v>12286</v>
      </c>
      <c r="E117" t="str">
        <f>IFERROR(VLOOKUP(1*LEFT(C117,7),DF!$A$1:$F$9447,2,FALSE),"")</f>
        <v>LAPICERA TACTICA KUBOTAN 5553  4236</v>
      </c>
      <c r="F117">
        <v>8520007</v>
      </c>
      <c r="G117" s="7" t="s">
        <v>14157</v>
      </c>
      <c r="H117" s="7">
        <v>4</v>
      </c>
      <c r="I117" s="11" t="s">
        <v>12292</v>
      </c>
      <c r="J117" s="11" t="s">
        <v>12293</v>
      </c>
      <c r="K117" s="11" t="s">
        <v>14154</v>
      </c>
      <c r="L117" s="11" t="s">
        <v>14155</v>
      </c>
    </row>
    <row r="118" spans="1:13" x14ac:dyDescent="0.25">
      <c r="A118">
        <v>20508</v>
      </c>
      <c r="B118" t="str">
        <f t="shared" si="2"/>
        <v>870862506</v>
      </c>
      <c r="C118" t="str">
        <f t="shared" si="3"/>
        <v>8708625#06#</v>
      </c>
      <c r="D118" s="24" t="s">
        <v>8375</v>
      </c>
      <c r="E118" t="str">
        <f>IFERROR(VLOOKUP(1*LEFT(C118,7),DF!$A$1:$F$9447,2,FALSE),"")</f>
        <v>MOCHILA BOLSO CRAZY ANTS 8124-25 30L YW-</v>
      </c>
      <c r="F118" s="7">
        <v>8708625</v>
      </c>
      <c r="G118" s="7" t="s">
        <v>14158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 t="shared" si="2"/>
        <v>870862508</v>
      </c>
      <c r="C119" t="str">
        <f t="shared" si="3"/>
        <v>8708625#08#</v>
      </c>
      <c r="D119" s="24" t="s">
        <v>12146</v>
      </c>
      <c r="E119" t="str">
        <f>IFERROR(VLOOKUP(1*LEFT(C119,7),DF!$A$1:$F$9447,2,FALSE),"")</f>
        <v>MOCHILA BOLSO CRAZY ANTS 8124-25 30L YW-</v>
      </c>
      <c r="F119" s="7">
        <v>8708625</v>
      </c>
      <c r="G119" s="7" t="s">
        <v>14159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 t="shared" si="2"/>
        <v>870862507</v>
      </c>
      <c r="C120" t="str">
        <f t="shared" si="3"/>
        <v>8708625#07#</v>
      </c>
      <c r="D120" s="24" t="s">
        <v>12163</v>
      </c>
      <c r="E120" t="str">
        <f>IFERROR(VLOOKUP(1*LEFT(C120,7),DF!$A$1:$F$9447,2,FALSE),"")</f>
        <v>MOCHILA BOLSO CRAZY ANTS 8124-25 30L YW-</v>
      </c>
      <c r="F120" s="7">
        <v>8708625</v>
      </c>
      <c r="G120" s="7" t="s">
        <v>14160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 t="shared" si="2"/>
        <v>870862509</v>
      </c>
      <c r="C121" t="str">
        <f t="shared" si="3"/>
        <v>8708625#09#</v>
      </c>
      <c r="D121" s="24" t="s">
        <v>7026</v>
      </c>
      <c r="E121" t="str">
        <f>IFERROR(VLOOKUP(1*LEFT(C121,7),DF!$A$1:$F$9447,2,FALSE),"")</f>
        <v>MOCHILA BOLSO CRAZY ANTS 8124-25 30L YW-</v>
      </c>
      <c r="F121" s="7">
        <v>8708625</v>
      </c>
      <c r="G121" s="7" t="s">
        <v>14161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 t="shared" si="2"/>
        <v>870862503</v>
      </c>
      <c r="C122" t="str">
        <f t="shared" si="3"/>
        <v>8708625#03#</v>
      </c>
      <c r="D122" s="24" t="s">
        <v>8374</v>
      </c>
      <c r="E122" t="str">
        <f>IFERROR(VLOOKUP(1*LEFT(C122,7),DF!$A$1:$F$9447,2,FALSE),"")</f>
        <v>MOCHILA BOLSO CRAZY ANTS 8124-25 30L YW-</v>
      </c>
      <c r="F122" s="7">
        <v>8708625</v>
      </c>
      <c r="G122" s="7" t="s">
        <v>14162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 t="shared" si="2"/>
        <v>870861811</v>
      </c>
      <c r="C123" t="str">
        <f t="shared" si="3"/>
        <v>8708618#11#</v>
      </c>
      <c r="D123" s="24" t="s">
        <v>12198</v>
      </c>
      <c r="E123" t="str">
        <f>IFERROR(VLOOKUP(1*LEFT(C123,7),DF!$A$1:$F$9447,2,FALSE),"")</f>
        <v>MOCHILA CAMELBACK MZ-RJ-B10 18.5L FRONT-</v>
      </c>
      <c r="F123" s="7">
        <v>8708618</v>
      </c>
      <c r="G123" s="7" t="s">
        <v>14163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 t="shared" si="2"/>
        <v>870861804</v>
      </c>
      <c r="C124" t="str">
        <f t="shared" si="3"/>
        <v>8708618#04#</v>
      </c>
      <c r="D124" s="24" t="s">
        <v>12169</v>
      </c>
      <c r="E124" t="str">
        <f>IFERROR(VLOOKUP(1*LEFT(C124,7),DF!$A$1:$F$9447,2,FALSE),"")</f>
        <v>MOCHILA CAMELBACK MZ-RJ-B10 18.5L FRONT-</v>
      </c>
      <c r="F124" s="7">
        <v>8708618</v>
      </c>
      <c r="G124" s="7" t="s">
        <v>14164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 t="shared" si="2"/>
        <v>870861805</v>
      </c>
      <c r="C125" t="str">
        <f t="shared" si="3"/>
        <v>8708618#05#</v>
      </c>
      <c r="D125" s="24" t="s">
        <v>12203</v>
      </c>
      <c r="E125" t="str">
        <f>IFERROR(VLOOKUP(1*LEFT(C125,7),DF!$A$1:$F$9447,2,FALSE),"")</f>
        <v>MOCHILA CAMELBACK MZ-RJ-B10 18.5L FRONT-</v>
      </c>
      <c r="F125" s="7">
        <v>8708618</v>
      </c>
      <c r="G125" s="7" t="s">
        <v>14165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 t="shared" si="2"/>
        <v>870861806</v>
      </c>
      <c r="C126" t="str">
        <f t="shared" si="3"/>
        <v>8708618#06#</v>
      </c>
      <c r="D126" s="24" t="s">
        <v>8375</v>
      </c>
      <c r="E126" t="str">
        <f>IFERROR(VLOOKUP(1*LEFT(C126,7),DF!$A$1:$F$9447,2,FALSE),"")</f>
        <v>MOCHILA CAMELBACK MZ-RJ-B10 18.5L FRONT-</v>
      </c>
      <c r="F126" s="7">
        <v>8708618</v>
      </c>
      <c r="G126" s="7" t="s">
        <v>14166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 t="shared" si="2"/>
        <v>870861807</v>
      </c>
      <c r="C127" t="str">
        <f t="shared" si="3"/>
        <v>8708618#07#</v>
      </c>
      <c r="D127" s="24" t="s">
        <v>12163</v>
      </c>
      <c r="E127" t="str">
        <f>IFERROR(VLOOKUP(1*LEFT(C127,7),DF!$A$1:$F$9447,2,FALSE),"")</f>
        <v>MOCHILA CAMELBACK MZ-RJ-B10 18.5L FRONT-</v>
      </c>
      <c r="F127" s="7">
        <v>8708618</v>
      </c>
      <c r="G127" s="7" t="s">
        <v>14167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 t="shared" si="2"/>
        <v>870861808</v>
      </c>
      <c r="C128" t="str">
        <f t="shared" si="3"/>
        <v>8708618#08#</v>
      </c>
      <c r="D128" s="24" t="s">
        <v>12146</v>
      </c>
      <c r="E128" t="str">
        <f>IFERROR(VLOOKUP(1*LEFT(C128,7),DF!$A$1:$F$9447,2,FALSE),"")</f>
        <v>MOCHILA CAMELBACK MZ-RJ-B10 18.5L FRONT-</v>
      </c>
      <c r="F128" s="7">
        <v>8708618</v>
      </c>
      <c r="G128" s="7" t="s">
        <v>14168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 t="shared" si="2"/>
        <v>870861809</v>
      </c>
      <c r="C129" t="str">
        <f t="shared" si="3"/>
        <v>8708618#09#</v>
      </c>
      <c r="D129" s="24" t="s">
        <v>7026</v>
      </c>
      <c r="E129" t="str">
        <f>IFERROR(VLOOKUP(1*LEFT(C129,7),DF!$A$1:$F$9447,2,FALSE),"")</f>
        <v>MOCHILA CAMELBACK MZ-RJ-B10 18.5L FRONT-</v>
      </c>
      <c r="F129" s="7">
        <v>8708618</v>
      </c>
      <c r="G129" s="7" t="s">
        <v>14169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 t="shared" ref="B130:B193" si="4">CONCATENATE(F130,D130)</f>
        <v>870861803</v>
      </c>
      <c r="C130" t="str">
        <f t="shared" ref="C130:C193" si="5">CONCATENATE(F130,"#",D130,"#")</f>
        <v>8708618#03#</v>
      </c>
      <c r="D130" s="24" t="s">
        <v>8374</v>
      </c>
      <c r="E130" t="str">
        <f>IFERROR(VLOOKUP(1*LEFT(C130,7),DF!$A$1:$F$9447,2,FALSE),"")</f>
        <v>MOCHILA CAMELBACK MZ-RJ-B10 18.5L FRONT-</v>
      </c>
      <c r="F130" s="7">
        <v>8708618</v>
      </c>
      <c r="G130" s="7" t="s">
        <v>14170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 t="shared" si="4"/>
        <v>870861810</v>
      </c>
      <c r="C131" t="str">
        <f t="shared" si="5"/>
        <v>8708618#10#</v>
      </c>
      <c r="D131" s="24" t="s">
        <v>14138</v>
      </c>
      <c r="E131" t="str">
        <f>IFERROR(VLOOKUP(1*LEFT(C131,7),DF!$A$1:$F$9447,2,FALSE),"")</f>
        <v>MOCHILA CAMELBACK MZ-RJ-B10 18.5L FRONT-</v>
      </c>
      <c r="F131" s="7">
        <v>8708618</v>
      </c>
      <c r="G131" s="7" t="s">
        <v>14171</v>
      </c>
      <c r="H131" s="7">
        <v>1</v>
      </c>
      <c r="I131" s="11" t="s">
        <v>14139</v>
      </c>
    </row>
    <row r="132" spans="1:13" x14ac:dyDescent="0.25">
      <c r="A132">
        <v>20508</v>
      </c>
      <c r="B132" t="str">
        <f t="shared" si="4"/>
        <v>870860115</v>
      </c>
      <c r="C132" t="str">
        <f t="shared" si="5"/>
        <v>8708601#15#</v>
      </c>
      <c r="D132" s="7" t="s">
        <v>14175</v>
      </c>
      <c r="E132" t="str">
        <f>IFERROR(VLOOKUP(1*LEFT(C132,7),DF!$A$1:$F$9447,2,FALSE),"")</f>
        <v>MOCHILA PUBG LEVEL 3 MZ-RJ-B01 30L FRONT</v>
      </c>
      <c r="F132" s="7">
        <v>8708601</v>
      </c>
      <c r="G132" s="7" t="s">
        <v>14203</v>
      </c>
      <c r="H132" s="7">
        <v>1</v>
      </c>
      <c r="I132" s="11" t="s">
        <v>14180</v>
      </c>
    </row>
    <row r="133" spans="1:13" x14ac:dyDescent="0.25">
      <c r="A133">
        <v>20508</v>
      </c>
      <c r="B133" t="str">
        <f t="shared" si="4"/>
        <v>870860102</v>
      </c>
      <c r="C133" t="str">
        <f t="shared" si="5"/>
        <v>8708601#02#</v>
      </c>
      <c r="D133" s="7" t="s">
        <v>14078</v>
      </c>
      <c r="E133" t="str">
        <f>IFERROR(VLOOKUP(1*LEFT(C133,7),DF!$A$1:$F$9447,2,FALSE),"")</f>
        <v>MOCHILA PUBG LEVEL 3 MZ-RJ-B01 30L FRONT</v>
      </c>
      <c r="F133" s="7">
        <v>8708601</v>
      </c>
      <c r="G133" s="7" t="s">
        <v>14204</v>
      </c>
      <c r="H133" s="7">
        <v>1</v>
      </c>
      <c r="I133" s="11" t="s">
        <v>14116</v>
      </c>
    </row>
    <row r="134" spans="1:13" x14ac:dyDescent="0.25">
      <c r="A134">
        <v>20508</v>
      </c>
      <c r="B134" t="str">
        <f t="shared" si="4"/>
        <v>870860101</v>
      </c>
      <c r="C134" t="str">
        <f t="shared" si="5"/>
        <v>8708601#01#</v>
      </c>
      <c r="D134" s="7" t="s">
        <v>12294</v>
      </c>
      <c r="E134" t="str">
        <f>IFERROR(VLOOKUP(1*LEFT(C134,7),DF!$A$1:$F$9447,2,FALSE),"")</f>
        <v>MOCHILA PUBG LEVEL 3 MZ-RJ-B01 30L FRONT</v>
      </c>
      <c r="F134" s="7">
        <v>8708601</v>
      </c>
      <c r="G134" s="7" t="s">
        <v>14205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 t="shared" si="4"/>
        <v>870860103</v>
      </c>
      <c r="C135" t="str">
        <f t="shared" si="5"/>
        <v>8708601#03#</v>
      </c>
      <c r="D135" s="7" t="s">
        <v>8374</v>
      </c>
      <c r="E135" t="str">
        <f>IFERROR(VLOOKUP(1*LEFT(C135,7),DF!$A$1:$F$9447,2,FALSE),"")</f>
        <v>MOCHILA PUBG LEVEL 3 MZ-RJ-B01 30L FRONT</v>
      </c>
      <c r="F135" s="7">
        <v>8708601</v>
      </c>
      <c r="G135" s="7" t="s">
        <v>14206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 t="shared" si="4"/>
        <v>870860104</v>
      </c>
      <c r="C136" t="str">
        <f t="shared" si="5"/>
        <v>8708601#04#</v>
      </c>
      <c r="D136" s="7" t="s">
        <v>12169</v>
      </c>
      <c r="E136" t="str">
        <f>IFERROR(VLOOKUP(1*LEFT(C136,7),DF!$A$1:$F$9447,2,FALSE),"")</f>
        <v>MOCHILA PUBG LEVEL 3 MZ-RJ-B01 30L FRONT</v>
      </c>
      <c r="F136" s="7">
        <v>8708601</v>
      </c>
      <c r="G136" s="7" t="s">
        <v>14207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 t="shared" si="4"/>
        <v>870860105</v>
      </c>
      <c r="C137" t="str">
        <f t="shared" si="5"/>
        <v>8708601#05#</v>
      </c>
      <c r="D137" s="7" t="s">
        <v>12203</v>
      </c>
      <c r="E137" t="str">
        <f>IFERROR(VLOOKUP(1*LEFT(C137,7),DF!$A$1:$F$9447,2,FALSE),"")</f>
        <v>MOCHILA PUBG LEVEL 3 MZ-RJ-B01 30L FRONT</v>
      </c>
      <c r="F137" s="7">
        <v>8708601</v>
      </c>
      <c r="G137" s="7" t="s">
        <v>14208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 t="shared" si="4"/>
        <v>870860106</v>
      </c>
      <c r="C138" t="str">
        <f t="shared" si="5"/>
        <v>8708601#06#</v>
      </c>
      <c r="D138" s="7" t="s">
        <v>8375</v>
      </c>
      <c r="E138" t="str">
        <f>IFERROR(VLOOKUP(1*LEFT(C138,7),DF!$A$1:$F$9447,2,FALSE),"")</f>
        <v>MOCHILA PUBG LEVEL 3 MZ-RJ-B01 30L FRONT</v>
      </c>
      <c r="F138" s="7">
        <v>8708601</v>
      </c>
      <c r="G138" s="7" t="s">
        <v>14209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 t="shared" si="4"/>
        <v>870860107</v>
      </c>
      <c r="C139" t="str">
        <f t="shared" si="5"/>
        <v>8708601#07#</v>
      </c>
      <c r="D139" s="7" t="s">
        <v>12163</v>
      </c>
      <c r="E139" t="str">
        <f>IFERROR(VLOOKUP(1*LEFT(C139,7),DF!$A$1:$F$9447,2,FALSE),"")</f>
        <v>MOCHILA PUBG LEVEL 3 MZ-RJ-B01 30L FRONT</v>
      </c>
      <c r="F139" s="7">
        <v>8708601</v>
      </c>
      <c r="G139" s="7" t="s">
        <v>14210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 t="shared" si="4"/>
        <v>870860108</v>
      </c>
      <c r="C140" t="str">
        <f t="shared" si="5"/>
        <v>8708601#08#</v>
      </c>
      <c r="D140" s="7" t="s">
        <v>12146</v>
      </c>
      <c r="E140" t="str">
        <f>IFERROR(VLOOKUP(1*LEFT(C140,7),DF!$A$1:$F$9447,2,FALSE),"")</f>
        <v>MOCHILA PUBG LEVEL 3 MZ-RJ-B01 30L FRONT</v>
      </c>
      <c r="F140" s="7">
        <v>8708601</v>
      </c>
      <c r="G140" s="7" t="s">
        <v>14211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 t="shared" si="4"/>
        <v>870860109</v>
      </c>
      <c r="C141" t="str">
        <f t="shared" si="5"/>
        <v>8708601#09#</v>
      </c>
      <c r="D141" s="7" t="s">
        <v>7026</v>
      </c>
      <c r="E141" t="str">
        <f>IFERROR(VLOOKUP(1*LEFT(C141,7),DF!$A$1:$F$9447,2,FALSE),"")</f>
        <v>MOCHILA PUBG LEVEL 3 MZ-RJ-B01 30L FRONT</v>
      </c>
      <c r="F141" s="7">
        <v>8708601</v>
      </c>
      <c r="G141" s="7" t="s">
        <v>14212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 t="shared" si="4"/>
        <v>870860110</v>
      </c>
      <c r="C142" t="str">
        <f t="shared" si="5"/>
        <v>8708601#10#</v>
      </c>
      <c r="D142" s="7" t="s">
        <v>14138</v>
      </c>
      <c r="E142" t="str">
        <f>IFERROR(VLOOKUP(1*LEFT(C142,7),DF!$A$1:$F$9447,2,FALSE),"")</f>
        <v>MOCHILA PUBG LEVEL 3 MZ-RJ-B01 30L FRONT</v>
      </c>
      <c r="F142" s="7">
        <v>8708601</v>
      </c>
      <c r="G142" s="7" t="s">
        <v>14213</v>
      </c>
      <c r="H142" s="7">
        <v>1</v>
      </c>
      <c r="I142" s="11" t="s">
        <v>14139</v>
      </c>
    </row>
    <row r="143" spans="1:13" x14ac:dyDescent="0.25">
      <c r="A143">
        <v>20508</v>
      </c>
      <c r="B143" t="str">
        <f t="shared" si="4"/>
        <v>870860111</v>
      </c>
      <c r="C143" t="str">
        <f t="shared" si="5"/>
        <v>8708601#11#</v>
      </c>
      <c r="D143" s="7" t="s">
        <v>12198</v>
      </c>
      <c r="E143" t="str">
        <f>IFERROR(VLOOKUP(1*LEFT(C143,7),DF!$A$1:$F$9447,2,FALSE),"")</f>
        <v>MOCHILA PUBG LEVEL 3 MZ-RJ-B01 30L FRONT</v>
      </c>
      <c r="F143" s="7">
        <v>8708601</v>
      </c>
      <c r="G143" s="7" t="s">
        <v>14214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 t="shared" si="4"/>
        <v>870860112</v>
      </c>
      <c r="C144" t="str">
        <f t="shared" si="5"/>
        <v>8708601#12#</v>
      </c>
      <c r="D144" s="7" t="s">
        <v>14176</v>
      </c>
      <c r="E144" t="str">
        <f>IFERROR(VLOOKUP(1*LEFT(C144,7),DF!$A$1:$F$9447,2,FALSE),"")</f>
        <v>MOCHILA PUBG LEVEL 3 MZ-RJ-B01 30L FRONT</v>
      </c>
      <c r="F144" s="7">
        <v>8708601</v>
      </c>
      <c r="G144" s="7" t="s">
        <v>14215</v>
      </c>
      <c r="H144" s="7">
        <v>1</v>
      </c>
      <c r="I144" s="11" t="s">
        <v>14181</v>
      </c>
    </row>
    <row r="145" spans="1:17" x14ac:dyDescent="0.25">
      <c r="A145">
        <v>20508</v>
      </c>
      <c r="B145" t="str">
        <f t="shared" si="4"/>
        <v>870860113</v>
      </c>
      <c r="C145" t="str">
        <f t="shared" si="5"/>
        <v>8708601#13#</v>
      </c>
      <c r="D145" s="7" t="s">
        <v>12286</v>
      </c>
      <c r="E145" t="str">
        <f>IFERROR(VLOOKUP(1*LEFT(C145,7),DF!$A$1:$F$9447,2,FALSE),"")</f>
        <v>MOCHILA PUBG LEVEL 3 MZ-RJ-B01 30L FRONT</v>
      </c>
      <c r="F145" s="7">
        <v>8708601</v>
      </c>
      <c r="G145" s="7" t="s">
        <v>14216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 t="shared" si="4"/>
        <v>870860114</v>
      </c>
      <c r="C146" t="str">
        <f t="shared" si="5"/>
        <v>8708601#14#</v>
      </c>
      <c r="D146" s="7" t="s">
        <v>14177</v>
      </c>
      <c r="E146" t="str">
        <f>IFERROR(VLOOKUP(1*LEFT(C146,7),DF!$A$1:$F$9447,2,FALSE),"")</f>
        <v>MOCHILA PUBG LEVEL 3 MZ-RJ-B01 30L FRONT</v>
      </c>
      <c r="F146" s="7">
        <v>8708601</v>
      </c>
      <c r="G146" s="7" t="s">
        <v>14217</v>
      </c>
      <c r="H146" s="7">
        <v>2</v>
      </c>
      <c r="I146" s="11" t="s">
        <v>14182</v>
      </c>
      <c r="J146" s="11" t="s">
        <v>14183</v>
      </c>
    </row>
    <row r="147" spans="1:17" x14ac:dyDescent="0.25">
      <c r="A147">
        <v>20508</v>
      </c>
      <c r="B147" t="str">
        <f t="shared" si="4"/>
        <v>870860116</v>
      </c>
      <c r="C147" t="str">
        <f t="shared" si="5"/>
        <v>8708601#16#</v>
      </c>
      <c r="D147" s="7" t="s">
        <v>14178</v>
      </c>
      <c r="E147" t="str">
        <f>IFERROR(VLOOKUP(1*LEFT(C147,7),DF!$A$1:$F$9447,2,FALSE),"")</f>
        <v>MOCHILA PUBG LEVEL 3 MZ-RJ-B01 30L FRONT</v>
      </c>
      <c r="F147" s="7">
        <v>8708601</v>
      </c>
      <c r="G147" s="7" t="s">
        <v>14218</v>
      </c>
      <c r="H147" s="7">
        <v>1</v>
      </c>
      <c r="I147" s="11" t="s">
        <v>14184</v>
      </c>
    </row>
    <row r="148" spans="1:17" x14ac:dyDescent="0.25">
      <c r="A148">
        <v>20508</v>
      </c>
      <c r="B148" t="str">
        <f t="shared" si="4"/>
        <v>870860117</v>
      </c>
      <c r="C148" t="str">
        <f t="shared" si="5"/>
        <v>8708601#17#</v>
      </c>
      <c r="D148" s="7" t="s">
        <v>14179</v>
      </c>
      <c r="E148" t="str">
        <f>IFERROR(VLOOKUP(1*LEFT(C148,7),DF!$A$1:$F$9447,2,FALSE),"")</f>
        <v>MOCHILA PUBG LEVEL 3 MZ-RJ-B01 30L FRONT</v>
      </c>
      <c r="F148" s="7">
        <v>8708601</v>
      </c>
      <c r="G148" s="7" t="s">
        <v>14219</v>
      </c>
      <c r="H148" s="7">
        <v>1</v>
      </c>
      <c r="I148" s="11" t="s">
        <v>14185</v>
      </c>
    </row>
    <row r="149" spans="1:17" x14ac:dyDescent="0.25">
      <c r="A149">
        <v>20508</v>
      </c>
      <c r="B149" t="str">
        <f t="shared" si="4"/>
        <v>870864303</v>
      </c>
      <c r="C149" t="str">
        <f t="shared" si="5"/>
        <v>8708643#03#</v>
      </c>
      <c r="D149" s="7" t="s">
        <v>8374</v>
      </c>
      <c r="E149" t="str">
        <f>IFERROR(VLOOKUP(1*LEFT(C149,7),DF!$A$1:$F$9447,2,FALSE),"")</f>
        <v>MOCHILA 8141-43 20.5L YW-48/3</v>
      </c>
      <c r="F149" s="7">
        <v>8708643</v>
      </c>
      <c r="G149" s="7" t="s">
        <v>14220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14186</v>
      </c>
      <c r="N149" s="11" t="s">
        <v>14187</v>
      </c>
      <c r="O149" s="11" t="s">
        <v>14188</v>
      </c>
    </row>
    <row r="150" spans="1:17" x14ac:dyDescent="0.25">
      <c r="A150">
        <v>20508</v>
      </c>
      <c r="B150" t="str">
        <f t="shared" si="4"/>
        <v>870864306</v>
      </c>
      <c r="C150" t="str">
        <f t="shared" si="5"/>
        <v>8708643#06#</v>
      </c>
      <c r="D150" s="7" t="s">
        <v>8375</v>
      </c>
      <c r="E150" t="str">
        <f>IFERROR(VLOOKUP(1*LEFT(C150,7),DF!$A$1:$F$9447,2,FALSE),"")</f>
        <v>MOCHILA 8141-43 20.5L YW-48/3</v>
      </c>
      <c r="F150" s="7">
        <v>8708643</v>
      </c>
      <c r="G150" s="7" t="s">
        <v>14221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14189</v>
      </c>
      <c r="N150" s="11" t="s">
        <v>14190</v>
      </c>
      <c r="O150" s="11" t="s">
        <v>14191</v>
      </c>
      <c r="P150" s="11" t="s">
        <v>14192</v>
      </c>
    </row>
    <row r="151" spans="1:17" x14ac:dyDescent="0.25">
      <c r="A151">
        <v>20508</v>
      </c>
      <c r="B151" t="str">
        <f t="shared" si="4"/>
        <v>870864307</v>
      </c>
      <c r="C151" t="str">
        <f t="shared" si="5"/>
        <v>8708643#07#</v>
      </c>
      <c r="D151" s="7" t="s">
        <v>12163</v>
      </c>
      <c r="E151" t="str">
        <f>IFERROR(VLOOKUP(1*LEFT(C151,7),DF!$A$1:$F$9447,2,FALSE),"")</f>
        <v>MOCHILA 8141-43 20.5L YW-48/3</v>
      </c>
      <c r="F151" s="7">
        <v>8708643</v>
      </c>
      <c r="G151" s="7" t="s">
        <v>14222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14193</v>
      </c>
      <c r="O151" s="11" t="s">
        <v>14194</v>
      </c>
    </row>
    <row r="152" spans="1:17" x14ac:dyDescent="0.25">
      <c r="A152">
        <v>20508</v>
      </c>
      <c r="B152" t="str">
        <f t="shared" si="4"/>
        <v>870864309</v>
      </c>
      <c r="C152" t="str">
        <f t="shared" si="5"/>
        <v>8708643#09#</v>
      </c>
      <c r="D152" s="7" t="s">
        <v>7026</v>
      </c>
      <c r="E152" t="str">
        <f>IFERROR(VLOOKUP(1*LEFT(C152,7),DF!$A$1:$F$9447,2,FALSE),"")</f>
        <v>MOCHILA 8141-43 20.5L YW-48/3</v>
      </c>
      <c r="F152" s="7">
        <v>8708643</v>
      </c>
      <c r="G152" s="7" t="s">
        <v>14223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 t="shared" si="4"/>
        <v>870889903</v>
      </c>
      <c r="C153" t="str">
        <f t="shared" si="5"/>
        <v>8708899#03#</v>
      </c>
      <c r="D153" s="7" t="s">
        <v>8374</v>
      </c>
      <c r="E153" t="str">
        <f>IFERROR(VLOOKUP(1*LEFT(C153,7),DF!$A$1:$F$9447,2,FALSE),"")</f>
        <v>MOCHILA MZ-RJ-A99 25 L FRONT</v>
      </c>
      <c r="F153" s="7">
        <v>8708899</v>
      </c>
      <c r="G153" s="7" t="s">
        <v>14224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 t="shared" si="4"/>
        <v>870889906</v>
      </c>
      <c r="C154" t="str">
        <f t="shared" si="5"/>
        <v>8708899#06#</v>
      </c>
      <c r="D154" s="7" t="s">
        <v>8375</v>
      </c>
      <c r="E154" t="str">
        <f>IFERROR(VLOOKUP(1*LEFT(C154,7),DF!$A$1:$F$9447,2,FALSE),"")</f>
        <v>MOCHILA MZ-RJ-A99 25 L FRONT</v>
      </c>
      <c r="F154" s="7">
        <v>8708899</v>
      </c>
      <c r="G154" s="7" t="s">
        <v>14225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 t="shared" si="4"/>
        <v>870889907</v>
      </c>
      <c r="C155" t="str">
        <f t="shared" si="5"/>
        <v>8708899#07#</v>
      </c>
      <c r="D155" s="7" t="s">
        <v>12163</v>
      </c>
      <c r="E155" t="str">
        <f>IFERROR(VLOOKUP(1*LEFT(C155,7),DF!$A$1:$F$9447,2,FALSE),"")</f>
        <v>MOCHILA MZ-RJ-A99 25 L FRONT</v>
      </c>
      <c r="F155" s="7">
        <v>8708899</v>
      </c>
      <c r="G155" s="7" t="s">
        <v>14226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 t="shared" si="4"/>
        <v>870889909</v>
      </c>
      <c r="C156" t="str">
        <f t="shared" si="5"/>
        <v>8708899#09#</v>
      </c>
      <c r="D156" s="7" t="s">
        <v>7026</v>
      </c>
      <c r="E156" t="str">
        <f>IFERROR(VLOOKUP(1*LEFT(C156,7),DF!$A$1:$F$9447,2,FALSE),"")</f>
        <v>MOCHILA MZ-RJ-A99 25 L FRONT</v>
      </c>
      <c r="F156" s="7">
        <v>8708899</v>
      </c>
      <c r="G156" s="7" t="s">
        <v>14227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 t="shared" si="4"/>
        <v>870810004</v>
      </c>
      <c r="C157" t="str">
        <f t="shared" si="5"/>
        <v>8708100#04#</v>
      </c>
      <c r="D157" s="7" t="s">
        <v>12169</v>
      </c>
      <c r="E157" t="str">
        <f>IFERROR(VLOOKUP(1*LEFT(C157,7),DF!$A$1:$F$9447,2,FALSE),"")</f>
        <v>MOCHILA PATRULLA RRD29 BLK</v>
      </c>
      <c r="F157" s="7">
        <v>8708100</v>
      </c>
      <c r="G157" s="7" t="s">
        <v>14228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 t="shared" si="4"/>
        <v>870810006</v>
      </c>
      <c r="C158" t="str">
        <f t="shared" si="5"/>
        <v>8708100#06#</v>
      </c>
      <c r="D158" s="7" t="s">
        <v>8375</v>
      </c>
      <c r="E158" t="str">
        <f>IFERROR(VLOOKUP(1*LEFT(C158,7),DF!$A$1:$F$9447,2,FALSE),"")</f>
        <v>MOCHILA PATRULLA RRD29 BLK</v>
      </c>
      <c r="F158" s="7">
        <v>8708100</v>
      </c>
      <c r="G158" s="7" t="s">
        <v>14229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14189</v>
      </c>
      <c r="N158" s="11" t="s">
        <v>14190</v>
      </c>
      <c r="O158" s="11" t="s">
        <v>14191</v>
      </c>
      <c r="P158" s="11" t="s">
        <v>14192</v>
      </c>
    </row>
    <row r="159" spans="1:17" x14ac:dyDescent="0.25">
      <c r="A159">
        <v>20508</v>
      </c>
      <c r="B159" t="str">
        <f t="shared" si="4"/>
        <v>870810009</v>
      </c>
      <c r="C159" t="str">
        <f t="shared" si="5"/>
        <v>8708100#09#</v>
      </c>
      <c r="D159" s="7" t="s">
        <v>7026</v>
      </c>
      <c r="E159" t="str">
        <f>IFERROR(VLOOKUP(1*LEFT(C159,7),DF!$A$1:$F$9447,2,FALSE),"")</f>
        <v>MOCHILA PATRULLA RRD29 BLK</v>
      </c>
      <c r="F159" s="7">
        <v>8708100</v>
      </c>
      <c r="G159" s="7" t="s">
        <v>14230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 t="shared" si="4"/>
        <v>870810021</v>
      </c>
      <c r="C160" t="str">
        <f t="shared" si="5"/>
        <v>8708100#21#</v>
      </c>
      <c r="D160" s="7" t="s">
        <v>12185</v>
      </c>
      <c r="E160" t="str">
        <f>IFERROR(VLOOKUP(1*LEFT(C160,7),DF!$A$1:$F$9447,2,FALSE),"")</f>
        <v>MOCHILA PATRULLA RRD29 BLK</v>
      </c>
      <c r="F160" s="7">
        <v>8708100</v>
      </c>
      <c r="G160" s="7" t="s">
        <v>14231</v>
      </c>
      <c r="H160" s="7">
        <v>5</v>
      </c>
      <c r="I160" s="11" t="s">
        <v>12186</v>
      </c>
      <c r="J160" s="11" t="s">
        <v>12187</v>
      </c>
      <c r="K160" s="11" t="s">
        <v>14195</v>
      </c>
      <c r="L160" s="11" t="s">
        <v>14196</v>
      </c>
      <c r="M160" s="11" t="s">
        <v>14197</v>
      </c>
    </row>
    <row r="161" spans="1:16" x14ac:dyDescent="0.25">
      <c r="A161">
        <v>20508</v>
      </c>
      <c r="B161" t="str">
        <f t="shared" si="4"/>
        <v>870861003</v>
      </c>
      <c r="C161" t="str">
        <f t="shared" si="5"/>
        <v>8708610#03#</v>
      </c>
      <c r="D161" s="7" t="s">
        <v>8374</v>
      </c>
      <c r="E161" t="str">
        <f>IFERROR(VLOOKUP(1*LEFT(C161,7),DF!$A$1:$F$9447,2,FALSE),"")</f>
        <v>MOCHILA 3D MEDIANA MZ-RJ-A10 35L FRONT 7</v>
      </c>
      <c r="F161" s="7">
        <v>8708610</v>
      </c>
      <c r="G161" s="7" t="s">
        <v>14232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14186</v>
      </c>
      <c r="N161" s="11" t="s">
        <v>14187</v>
      </c>
      <c r="O161" s="11" t="s">
        <v>14188</v>
      </c>
    </row>
    <row r="162" spans="1:16" x14ac:dyDescent="0.25">
      <c r="A162">
        <v>20508</v>
      </c>
      <c r="B162" t="str">
        <f t="shared" si="4"/>
        <v>870861004</v>
      </c>
      <c r="C162" t="str">
        <f t="shared" si="5"/>
        <v>8708610#04#</v>
      </c>
      <c r="D162" s="7" t="s">
        <v>12169</v>
      </c>
      <c r="E162" t="str">
        <f>IFERROR(VLOOKUP(1*LEFT(C162,7),DF!$A$1:$F$9447,2,FALSE),"")</f>
        <v>MOCHILA 3D MEDIANA MZ-RJ-A10 35L FRONT 7</v>
      </c>
      <c r="F162" s="7">
        <v>8708610</v>
      </c>
      <c r="G162" s="7" t="s">
        <v>14233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 t="shared" si="4"/>
        <v>870861005</v>
      </c>
      <c r="C163" t="str">
        <f t="shared" si="5"/>
        <v>8708610#05#</v>
      </c>
      <c r="D163" s="7" t="s">
        <v>12203</v>
      </c>
      <c r="E163" t="str">
        <f>IFERROR(VLOOKUP(1*LEFT(C163,7),DF!$A$1:$F$9447,2,FALSE),"")</f>
        <v>MOCHILA 3D MEDIANA MZ-RJ-A10 35L FRONT 7</v>
      </c>
      <c r="F163" s="7">
        <v>8708610</v>
      </c>
      <c r="G163" s="7" t="s">
        <v>14234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 t="shared" si="4"/>
        <v>870861006</v>
      </c>
      <c r="C164" t="str">
        <f t="shared" si="5"/>
        <v>8708610#06#</v>
      </c>
      <c r="D164" s="7" t="s">
        <v>8375</v>
      </c>
      <c r="E164" t="str">
        <f>IFERROR(VLOOKUP(1*LEFT(C164,7),DF!$A$1:$F$9447,2,FALSE),"")</f>
        <v>MOCHILA 3D MEDIANA MZ-RJ-A10 35L FRONT 7</v>
      </c>
      <c r="F164" s="7">
        <v>8708610</v>
      </c>
      <c r="G164" s="7" t="s">
        <v>14235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14189</v>
      </c>
      <c r="N164" s="11" t="s">
        <v>14190</v>
      </c>
      <c r="O164" s="11" t="s">
        <v>14191</v>
      </c>
      <c r="P164" s="11" t="s">
        <v>14192</v>
      </c>
    </row>
    <row r="165" spans="1:16" x14ac:dyDescent="0.25">
      <c r="A165">
        <v>20508</v>
      </c>
      <c r="B165" t="str">
        <f t="shared" si="4"/>
        <v>870861007</v>
      </c>
      <c r="C165" t="str">
        <f t="shared" si="5"/>
        <v>8708610#07#</v>
      </c>
      <c r="D165" s="7" t="s">
        <v>12163</v>
      </c>
      <c r="E165" t="str">
        <f>IFERROR(VLOOKUP(1*LEFT(C165,7),DF!$A$1:$F$9447,2,FALSE),"")</f>
        <v>MOCHILA 3D MEDIANA MZ-RJ-A10 35L FRONT 7</v>
      </c>
      <c r="F165" s="7">
        <v>8708610</v>
      </c>
      <c r="G165" s="7" t="s">
        <v>14236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14193</v>
      </c>
      <c r="O165" s="11" t="s">
        <v>14194</v>
      </c>
    </row>
    <row r="166" spans="1:16" x14ac:dyDescent="0.25">
      <c r="A166">
        <v>20508</v>
      </c>
      <c r="B166" t="str">
        <f t="shared" si="4"/>
        <v>870861008</v>
      </c>
      <c r="C166" t="str">
        <f t="shared" si="5"/>
        <v>8708610#08#</v>
      </c>
      <c r="D166" s="7" t="s">
        <v>12146</v>
      </c>
      <c r="E166" t="str">
        <f>IFERROR(VLOOKUP(1*LEFT(C166,7),DF!$A$1:$F$9447,2,FALSE),"")</f>
        <v>MOCHILA 3D MEDIANA MZ-RJ-A10 35L FRONT 7</v>
      </c>
      <c r="F166" s="7">
        <v>8708610</v>
      </c>
      <c r="G166" s="7" t="s">
        <v>14237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 t="shared" si="4"/>
        <v>870861009</v>
      </c>
      <c r="C167" t="str">
        <f t="shared" si="5"/>
        <v>8708610#09#</v>
      </c>
      <c r="D167" s="7" t="s">
        <v>7026</v>
      </c>
      <c r="E167" t="str">
        <f>IFERROR(VLOOKUP(1*LEFT(C167,7),DF!$A$1:$F$9447,2,FALSE),"")</f>
        <v>MOCHILA 3D MEDIANA MZ-RJ-A10 35L FRONT 7</v>
      </c>
      <c r="F167" s="7">
        <v>8708610</v>
      </c>
      <c r="G167" s="7" t="s">
        <v>14238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 t="shared" si="4"/>
        <v>870861010</v>
      </c>
      <c r="C168" t="str">
        <f t="shared" si="5"/>
        <v>8708610#10#</v>
      </c>
      <c r="D168" s="7" t="s">
        <v>14138</v>
      </c>
      <c r="E168" t="str">
        <f>IFERROR(VLOOKUP(1*LEFT(C168,7),DF!$A$1:$F$9447,2,FALSE),"")</f>
        <v>MOCHILA 3D MEDIANA MZ-RJ-A10 35L FRONT 7</v>
      </c>
      <c r="F168" s="7">
        <v>8708610</v>
      </c>
      <c r="G168" s="7" t="s">
        <v>14239</v>
      </c>
      <c r="H168" s="7">
        <v>5</v>
      </c>
      <c r="I168" s="11" t="s">
        <v>14139</v>
      </c>
      <c r="J168" s="11" t="s">
        <v>14198</v>
      </c>
      <c r="K168" s="11" t="s">
        <v>14199</v>
      </c>
      <c r="L168" s="11" t="s">
        <v>14200</v>
      </c>
      <c r="M168" s="11" t="s">
        <v>14201</v>
      </c>
    </row>
    <row r="169" spans="1:16" x14ac:dyDescent="0.25">
      <c r="A169">
        <v>20508</v>
      </c>
      <c r="B169" t="str">
        <f t="shared" si="4"/>
        <v>870861011</v>
      </c>
      <c r="C169" t="str">
        <f t="shared" si="5"/>
        <v>8708610#11#</v>
      </c>
      <c r="D169" s="7" t="s">
        <v>12198</v>
      </c>
      <c r="E169" t="str">
        <f>IFERROR(VLOOKUP(1*LEFT(C169,7),DF!$A$1:$F$9447,2,FALSE),"")</f>
        <v>MOCHILA 3D MEDIANA MZ-RJ-A10 35L FRONT 7</v>
      </c>
      <c r="F169" s="7">
        <v>8708610</v>
      </c>
      <c r="G169" s="7" t="s">
        <v>14240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 t="shared" si="4"/>
        <v>870860903</v>
      </c>
      <c r="C170" t="str">
        <f t="shared" si="5"/>
        <v>8708609#03#</v>
      </c>
      <c r="D170" s="7" t="s">
        <v>8374</v>
      </c>
      <c r="E170" t="str">
        <f>IFERROR(VLOOKUP(1*LEFT(C170,7),DF!$A$1:$F$9447,2,FALSE),"")</f>
        <v>MOCHILA MZ-RJ-B35809 38.5L FRONT-114/3,6</v>
      </c>
      <c r="F170" s="7">
        <v>8708609</v>
      </c>
      <c r="G170" s="7" t="s">
        <v>14241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 t="shared" si="4"/>
        <v>870860905</v>
      </c>
      <c r="C171" t="str">
        <f t="shared" si="5"/>
        <v>8708609#05#</v>
      </c>
      <c r="D171" s="7" t="s">
        <v>12203</v>
      </c>
      <c r="E171" t="str">
        <f>IFERROR(VLOOKUP(1*LEFT(C171,7),DF!$A$1:$F$9447,2,FALSE),"")</f>
        <v>MOCHILA MZ-RJ-B35809 38.5L FRONT-114/3,6</v>
      </c>
      <c r="F171" s="7">
        <v>8708609</v>
      </c>
      <c r="G171" s="7" t="s">
        <v>14242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 t="shared" si="4"/>
        <v>870860907</v>
      </c>
      <c r="C172" t="str">
        <f t="shared" si="5"/>
        <v>8708609#07#</v>
      </c>
      <c r="D172" s="7" t="s">
        <v>12163</v>
      </c>
      <c r="E172" t="str">
        <f>IFERROR(VLOOKUP(1*LEFT(C172,7),DF!$A$1:$F$9447,2,FALSE),"")</f>
        <v>MOCHILA MZ-RJ-B35809 38.5L FRONT-114/3,6</v>
      </c>
      <c r="F172" s="7">
        <v>8708609</v>
      </c>
      <c r="G172" s="7" t="s">
        <v>14243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 t="shared" si="4"/>
        <v>870860908</v>
      </c>
      <c r="C173" t="str">
        <f t="shared" si="5"/>
        <v>8708609#08#</v>
      </c>
      <c r="D173" s="7" t="s">
        <v>12146</v>
      </c>
      <c r="E173" t="str">
        <f>IFERROR(VLOOKUP(1*LEFT(C173,7),DF!$A$1:$F$9447,2,FALSE),"")</f>
        <v>MOCHILA MZ-RJ-B35809 38.5L FRONT-114/3,6</v>
      </c>
      <c r="F173" s="7">
        <v>8708609</v>
      </c>
      <c r="G173" s="7" t="s">
        <v>14244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 t="shared" si="4"/>
        <v>870860911</v>
      </c>
      <c r="C174" t="str">
        <f t="shared" si="5"/>
        <v>8708609#11#</v>
      </c>
      <c r="D174" s="7" t="s">
        <v>12198</v>
      </c>
      <c r="E174" t="str">
        <f>IFERROR(VLOOKUP(1*LEFT(C174,7),DF!$A$1:$F$9447,2,FALSE),"")</f>
        <v>MOCHILA MZ-RJ-B35809 38.5L FRONT-114/3,6</v>
      </c>
      <c r="F174" s="7">
        <v>8708609</v>
      </c>
      <c r="G174" s="7" t="s">
        <v>14245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 t="shared" si="4"/>
        <v>870860801</v>
      </c>
      <c r="C175" t="str">
        <f t="shared" si="5"/>
        <v>8708608#01#</v>
      </c>
      <c r="D175" s="7" t="s">
        <v>12294</v>
      </c>
      <c r="E175" t="str">
        <f>IFERROR(VLOOKUP(1*LEFT(C175,7),DF!$A$1:$F$9447,2,FALSE),"")</f>
        <v>MOCHILA 3 POUCH MZ-RJ-A08 33L FRONT-138/</v>
      </c>
      <c r="F175" s="7">
        <v>8708608</v>
      </c>
      <c r="G175" s="7" t="s">
        <v>14246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12434</v>
      </c>
    </row>
    <row r="176" spans="1:16" x14ac:dyDescent="0.25">
      <c r="A176">
        <v>20508</v>
      </c>
      <c r="B176" t="str">
        <f t="shared" si="4"/>
        <v>870860802</v>
      </c>
      <c r="C176" t="str">
        <f t="shared" si="5"/>
        <v>8708608#02#</v>
      </c>
      <c r="D176" s="7" t="s">
        <v>14078</v>
      </c>
      <c r="E176" t="str">
        <f>IFERROR(VLOOKUP(1*LEFT(C176,7),DF!$A$1:$F$9447,2,FALSE),"")</f>
        <v>MOCHILA 3 POUCH MZ-RJ-A08 33L FRONT-138/</v>
      </c>
      <c r="F176" s="7">
        <v>8708608</v>
      </c>
      <c r="G176" s="7" t="s">
        <v>14247</v>
      </c>
      <c r="H176" s="7">
        <v>1</v>
      </c>
      <c r="I176" s="11" t="s">
        <v>14116</v>
      </c>
    </row>
    <row r="177" spans="1:15" x14ac:dyDescent="0.25">
      <c r="A177">
        <v>20508</v>
      </c>
      <c r="B177" t="str">
        <f t="shared" si="4"/>
        <v>870860803</v>
      </c>
      <c r="C177" t="str">
        <f t="shared" si="5"/>
        <v>8708608#03#</v>
      </c>
      <c r="D177" s="7" t="s">
        <v>8374</v>
      </c>
      <c r="E177" t="str">
        <f>IFERROR(VLOOKUP(1*LEFT(C177,7),DF!$A$1:$F$9447,2,FALSE),"")</f>
        <v>MOCHILA 3 POUCH MZ-RJ-A08 33L FRONT-138/</v>
      </c>
      <c r="F177" s="7">
        <v>8708608</v>
      </c>
      <c r="G177" s="7" t="s">
        <v>14248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 t="shared" si="4"/>
        <v>870860804</v>
      </c>
      <c r="C178" t="str">
        <f t="shared" si="5"/>
        <v>8708608#04#</v>
      </c>
      <c r="D178" s="7" t="s">
        <v>12169</v>
      </c>
      <c r="E178" t="str">
        <f>IFERROR(VLOOKUP(1*LEFT(C178,7),DF!$A$1:$F$9447,2,FALSE),"")</f>
        <v>MOCHILA 3 POUCH MZ-RJ-A08 33L FRONT-138/</v>
      </c>
      <c r="F178" s="7">
        <v>8708608</v>
      </c>
      <c r="G178" s="7" t="s">
        <v>14249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 t="shared" si="4"/>
        <v>870860805</v>
      </c>
      <c r="C179" t="str">
        <f t="shared" si="5"/>
        <v>8708608#05#</v>
      </c>
      <c r="D179" s="7" t="s">
        <v>12203</v>
      </c>
      <c r="E179" t="str">
        <f>IFERROR(VLOOKUP(1*LEFT(C179,7),DF!$A$1:$F$9447,2,FALSE),"")</f>
        <v>MOCHILA 3 POUCH MZ-RJ-A08 33L FRONT-138/</v>
      </c>
      <c r="F179" s="7">
        <v>8708608</v>
      </c>
      <c r="G179" s="7" t="s">
        <v>14250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 t="shared" si="4"/>
        <v>870860806</v>
      </c>
      <c r="C180" t="str">
        <f t="shared" si="5"/>
        <v>8708608#06#</v>
      </c>
      <c r="D180" s="7" t="s">
        <v>8375</v>
      </c>
      <c r="E180" t="str">
        <f>IFERROR(VLOOKUP(1*LEFT(C180,7),DF!$A$1:$F$9447,2,FALSE),"")</f>
        <v>MOCHILA 3 POUCH MZ-RJ-A08 33L FRONT-138/</v>
      </c>
      <c r="F180" s="7">
        <v>8708608</v>
      </c>
      <c r="G180" s="7" t="s">
        <v>14251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14189</v>
      </c>
    </row>
    <row r="181" spans="1:15" x14ac:dyDescent="0.25">
      <c r="A181">
        <v>20508</v>
      </c>
      <c r="B181" t="str">
        <f t="shared" si="4"/>
        <v>870860807</v>
      </c>
      <c r="C181" t="str">
        <f t="shared" si="5"/>
        <v>8708608#07#</v>
      </c>
      <c r="D181" s="7" t="s">
        <v>12163</v>
      </c>
      <c r="E181" t="str">
        <f>IFERROR(VLOOKUP(1*LEFT(C181,7),DF!$A$1:$F$9447,2,FALSE),"")</f>
        <v>MOCHILA 3 POUCH MZ-RJ-A08 33L FRONT-138/</v>
      </c>
      <c r="F181" s="7">
        <v>8708608</v>
      </c>
      <c r="G181" s="7" t="s">
        <v>14252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 t="shared" si="4"/>
        <v>870860808</v>
      </c>
      <c r="C182" t="str">
        <f t="shared" si="5"/>
        <v>8708608#08#</v>
      </c>
      <c r="D182" s="7" t="s">
        <v>12146</v>
      </c>
      <c r="E182" t="str">
        <f>IFERROR(VLOOKUP(1*LEFT(C182,7),DF!$A$1:$F$9447,2,FALSE),"")</f>
        <v>MOCHILA 3 POUCH MZ-RJ-A08 33L FRONT-138/</v>
      </c>
      <c r="F182" s="7">
        <v>8708608</v>
      </c>
      <c r="G182" s="7" t="s">
        <v>14253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 t="shared" si="4"/>
        <v>870860809</v>
      </c>
      <c r="C183" t="str">
        <f t="shared" si="5"/>
        <v>8708608#09#</v>
      </c>
      <c r="D183" s="7" t="s">
        <v>7026</v>
      </c>
      <c r="E183" t="str">
        <f>IFERROR(VLOOKUP(1*LEFT(C183,7),DF!$A$1:$F$9447,2,FALSE),"")</f>
        <v>MOCHILA 3 POUCH MZ-RJ-A08 33L FRONT-138/</v>
      </c>
      <c r="F183" s="7">
        <v>8708608</v>
      </c>
      <c r="G183" s="7" t="s">
        <v>14254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 t="shared" si="4"/>
        <v>870860810</v>
      </c>
      <c r="C184" t="str">
        <f t="shared" si="5"/>
        <v>8708608#10#</v>
      </c>
      <c r="D184" s="7" t="s">
        <v>14138</v>
      </c>
      <c r="E184" t="str">
        <f>IFERROR(VLOOKUP(1*LEFT(C184,7),DF!$A$1:$F$9447,2,FALSE),"")</f>
        <v>MOCHILA 3 POUCH MZ-RJ-A08 33L FRONT-138/</v>
      </c>
      <c r="F184" s="7">
        <v>8708608</v>
      </c>
      <c r="G184" s="7" t="s">
        <v>14255</v>
      </c>
      <c r="H184" s="7">
        <v>1</v>
      </c>
      <c r="I184" s="11" t="s">
        <v>14139</v>
      </c>
    </row>
    <row r="185" spans="1:15" x14ac:dyDescent="0.25">
      <c r="A185">
        <v>20508</v>
      </c>
      <c r="B185" t="str">
        <f t="shared" si="4"/>
        <v>870860811</v>
      </c>
      <c r="C185" t="str">
        <f t="shared" si="5"/>
        <v>8708608#11#</v>
      </c>
      <c r="D185" s="7" t="s">
        <v>12198</v>
      </c>
      <c r="E185" t="str">
        <f>IFERROR(VLOOKUP(1*LEFT(C185,7),DF!$A$1:$F$9447,2,FALSE),"")</f>
        <v>MOCHILA 3 POUCH MZ-RJ-A08 33L FRONT-138/</v>
      </c>
      <c r="F185" s="7">
        <v>8708608</v>
      </c>
      <c r="G185" s="7" t="s">
        <v>14256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 t="shared" si="4"/>
        <v>870860812</v>
      </c>
      <c r="C186" t="str">
        <f t="shared" si="5"/>
        <v>8708608#12#</v>
      </c>
      <c r="D186" s="7" t="s">
        <v>14176</v>
      </c>
      <c r="E186" t="str">
        <f>IFERROR(VLOOKUP(1*LEFT(C186,7),DF!$A$1:$F$9447,2,FALSE),"")</f>
        <v>MOCHILA 3 POUCH MZ-RJ-A08 33L FRONT-138/</v>
      </c>
      <c r="F186" s="7">
        <v>8708608</v>
      </c>
      <c r="G186" s="7" t="s">
        <v>14257</v>
      </c>
      <c r="H186" s="7">
        <v>1</v>
      </c>
      <c r="I186" s="11" t="s">
        <v>14181</v>
      </c>
    </row>
    <row r="187" spans="1:15" x14ac:dyDescent="0.25">
      <c r="A187">
        <v>20508</v>
      </c>
      <c r="B187" t="str">
        <f t="shared" si="4"/>
        <v>870860814</v>
      </c>
      <c r="C187" t="str">
        <f t="shared" si="5"/>
        <v>8708608#14#</v>
      </c>
      <c r="D187" s="7" t="s">
        <v>14177</v>
      </c>
      <c r="E187" t="str">
        <f>IFERROR(VLOOKUP(1*LEFT(C187,7),DF!$A$1:$F$9447,2,FALSE),"")</f>
        <v>MOCHILA 3 POUCH MZ-RJ-A08 33L FRONT-138/</v>
      </c>
      <c r="F187" s="7">
        <v>8708608</v>
      </c>
      <c r="G187" s="7" t="s">
        <v>14258</v>
      </c>
      <c r="H187" s="7">
        <v>1</v>
      </c>
      <c r="I187" s="11" t="s">
        <v>14182</v>
      </c>
    </row>
    <row r="188" spans="1:15" x14ac:dyDescent="0.25">
      <c r="A188">
        <v>20508</v>
      </c>
      <c r="B188" t="str">
        <f t="shared" si="4"/>
        <v>870860203</v>
      </c>
      <c r="C188" t="str">
        <f t="shared" si="5"/>
        <v>8708602#03#</v>
      </c>
      <c r="D188" s="7" t="s">
        <v>8374</v>
      </c>
      <c r="E188" t="str">
        <f>IFERROR(VLOOKUP(1*LEFT(C188,7),DF!$A$1:$F$9447,2,FALSE),"")</f>
        <v>MOCHILA 3D CHICA MZ-RJ-B02 22.5L FRONT-5</v>
      </c>
      <c r="F188" s="7">
        <v>8708602</v>
      </c>
      <c r="G188" s="7" t="s">
        <v>14259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14186</v>
      </c>
      <c r="N188" s="11" t="s">
        <v>14187</v>
      </c>
      <c r="O188" s="11" t="s">
        <v>14188</v>
      </c>
    </row>
    <row r="189" spans="1:15" x14ac:dyDescent="0.25">
      <c r="A189">
        <v>20508</v>
      </c>
      <c r="B189" t="str">
        <f t="shared" si="4"/>
        <v>870860201</v>
      </c>
      <c r="C189" t="str">
        <f t="shared" si="5"/>
        <v>8708602#01#</v>
      </c>
      <c r="D189" s="7" t="s">
        <v>12294</v>
      </c>
      <c r="E189" t="str">
        <f>IFERROR(VLOOKUP(1*LEFT(C189,7),DF!$A$1:$F$9447,2,FALSE),"")</f>
        <v>MOCHILA 3D CHICA MZ-RJ-B02 22.5L FRONT-5</v>
      </c>
      <c r="F189" s="7">
        <v>8708602</v>
      </c>
      <c r="G189" s="7" t="s">
        <v>14260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 t="shared" si="4"/>
        <v>870860204</v>
      </c>
      <c r="C190" t="str">
        <f t="shared" si="5"/>
        <v>8708602#04#</v>
      </c>
      <c r="D190" s="7" t="s">
        <v>12169</v>
      </c>
      <c r="E190" t="str">
        <f>IFERROR(VLOOKUP(1*LEFT(C190,7),DF!$A$1:$F$9447,2,FALSE),"")</f>
        <v>MOCHILA 3D CHICA MZ-RJ-B02 22.5L FRONT-5</v>
      </c>
      <c r="F190" s="7">
        <v>8708602</v>
      </c>
      <c r="G190" s="7" t="s">
        <v>14261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 t="shared" si="4"/>
        <v>870860202</v>
      </c>
      <c r="C191" t="str">
        <f t="shared" si="5"/>
        <v>8708602#02#</v>
      </c>
      <c r="D191" s="7" t="s">
        <v>14078</v>
      </c>
      <c r="E191" t="str">
        <f>IFERROR(VLOOKUP(1*LEFT(C191,7),DF!$A$1:$F$9447,2,FALSE),"")</f>
        <v>MOCHILA 3D CHICA MZ-RJ-B02 22.5L FRONT-5</v>
      </c>
      <c r="F191" s="7">
        <v>8708602</v>
      </c>
      <c r="G191" s="7" t="s">
        <v>14262</v>
      </c>
      <c r="H191" s="7">
        <v>1</v>
      </c>
      <c r="I191" s="11" t="s">
        <v>14116</v>
      </c>
    </row>
    <row r="192" spans="1:15" x14ac:dyDescent="0.25">
      <c r="A192">
        <v>20508</v>
      </c>
      <c r="B192" t="str">
        <f t="shared" si="4"/>
        <v>870860205</v>
      </c>
      <c r="C192" t="str">
        <f t="shared" si="5"/>
        <v>8708602#05#</v>
      </c>
      <c r="D192" s="7" t="s">
        <v>12203</v>
      </c>
      <c r="E192" t="str">
        <f>IFERROR(VLOOKUP(1*LEFT(C192,7),DF!$A$1:$F$9447,2,FALSE),"")</f>
        <v>MOCHILA 3D CHICA MZ-RJ-B02 22.5L FRONT-5</v>
      </c>
      <c r="F192" s="7">
        <v>8708602</v>
      </c>
      <c r="G192" s="7" t="s">
        <v>14263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 t="shared" si="4"/>
        <v>870860206</v>
      </c>
      <c r="C193" t="str">
        <f t="shared" si="5"/>
        <v>8708602#06#</v>
      </c>
      <c r="D193" s="7" t="s">
        <v>8375</v>
      </c>
      <c r="E193" t="str">
        <f>IFERROR(VLOOKUP(1*LEFT(C193,7),DF!$A$1:$F$9447,2,FALSE),"")</f>
        <v>MOCHILA 3D CHICA MZ-RJ-B02 22.5L FRONT-5</v>
      </c>
      <c r="F193" s="7">
        <v>8708602</v>
      </c>
      <c r="G193" s="7" t="s">
        <v>14264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14189</v>
      </c>
      <c r="N193" s="11" t="s">
        <v>14190</v>
      </c>
      <c r="O193" s="11" t="s">
        <v>14191</v>
      </c>
      <c r="P193" s="11" t="s">
        <v>14192</v>
      </c>
    </row>
    <row r="194" spans="1:16" x14ac:dyDescent="0.25">
      <c r="A194">
        <v>20508</v>
      </c>
      <c r="B194" t="str">
        <f t="shared" ref="B194:B214" si="6">CONCATENATE(F194,D194)</f>
        <v>870860207</v>
      </c>
      <c r="C194" t="str">
        <f t="shared" ref="C194:C214" si="7">CONCATENATE(F194,"#",D194,"#")</f>
        <v>8708602#07#</v>
      </c>
      <c r="D194" s="7" t="s">
        <v>12163</v>
      </c>
      <c r="E194" t="str">
        <f>IFERROR(VLOOKUP(1*LEFT(C194,7),DF!$A$1:$F$9447,2,FALSE),"")</f>
        <v>MOCHILA 3D CHICA MZ-RJ-B02 22.5L FRONT-5</v>
      </c>
      <c r="F194" s="7">
        <v>8708602</v>
      </c>
      <c r="G194" s="7" t="s">
        <v>14265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14193</v>
      </c>
      <c r="O194" s="11" t="s">
        <v>14194</v>
      </c>
    </row>
    <row r="195" spans="1:16" x14ac:dyDescent="0.25">
      <c r="A195">
        <v>20508</v>
      </c>
      <c r="B195" t="str">
        <f t="shared" si="6"/>
        <v>870860208</v>
      </c>
      <c r="C195" t="str">
        <f t="shared" si="7"/>
        <v>8708602#08#</v>
      </c>
      <c r="D195" s="7" t="s">
        <v>12146</v>
      </c>
      <c r="E195" t="str">
        <f>IFERROR(VLOOKUP(1*LEFT(C195,7),DF!$A$1:$F$9447,2,FALSE),"")</f>
        <v>MOCHILA 3D CHICA MZ-RJ-B02 22.5L FRONT-5</v>
      </c>
      <c r="F195" s="7">
        <v>8708602</v>
      </c>
      <c r="G195" s="7" t="s">
        <v>14266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 t="shared" si="6"/>
        <v>870860209</v>
      </c>
      <c r="C196" t="str">
        <f t="shared" si="7"/>
        <v>8708602#09#</v>
      </c>
      <c r="D196" s="7" t="s">
        <v>7026</v>
      </c>
      <c r="E196" t="str">
        <f>IFERROR(VLOOKUP(1*LEFT(C196,7),DF!$A$1:$F$9447,2,FALSE),"")</f>
        <v>MOCHILA 3D CHICA MZ-RJ-B02 22.5L FRONT-5</v>
      </c>
      <c r="F196" s="7">
        <v>8708602</v>
      </c>
      <c r="G196" s="7" t="s">
        <v>14267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 t="shared" si="6"/>
        <v>870860210</v>
      </c>
      <c r="C197" t="str">
        <f t="shared" si="7"/>
        <v>8708602#10#</v>
      </c>
      <c r="D197" s="7" t="s">
        <v>14138</v>
      </c>
      <c r="E197" t="str">
        <f>IFERROR(VLOOKUP(1*LEFT(C197,7),DF!$A$1:$F$9447,2,FALSE),"")</f>
        <v>MOCHILA 3D CHICA MZ-RJ-B02 22.5L FRONT-5</v>
      </c>
      <c r="F197" s="7">
        <v>8708602</v>
      </c>
      <c r="G197" s="7" t="s">
        <v>14268</v>
      </c>
      <c r="H197" s="7">
        <v>5</v>
      </c>
      <c r="I197" s="11" t="s">
        <v>14139</v>
      </c>
      <c r="J197" s="11" t="s">
        <v>14198</v>
      </c>
      <c r="K197" s="11" t="s">
        <v>14199</v>
      </c>
      <c r="L197" s="11" t="s">
        <v>14200</v>
      </c>
      <c r="M197" s="11" t="s">
        <v>14201</v>
      </c>
    </row>
    <row r="198" spans="1:16" x14ac:dyDescent="0.25">
      <c r="A198">
        <v>20508</v>
      </c>
      <c r="B198" t="str">
        <f t="shared" si="6"/>
        <v>870860211</v>
      </c>
      <c r="C198" t="str">
        <f t="shared" si="7"/>
        <v>8708602#11#</v>
      </c>
      <c r="D198" s="7" t="s">
        <v>12198</v>
      </c>
      <c r="E198" t="str">
        <f>IFERROR(VLOOKUP(1*LEFT(C198,7),DF!$A$1:$F$9447,2,FALSE),"")</f>
        <v>MOCHILA 3D CHICA MZ-RJ-B02 22.5L FRONT-5</v>
      </c>
      <c r="F198" s="7">
        <v>8708602</v>
      </c>
      <c r="G198" s="7" t="s">
        <v>14269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 t="shared" si="6"/>
        <v>870860214</v>
      </c>
      <c r="C199" t="str">
        <f t="shared" si="7"/>
        <v>8708602#14#</v>
      </c>
      <c r="D199" s="7" t="s">
        <v>14177</v>
      </c>
      <c r="E199" t="str">
        <f>IFERROR(VLOOKUP(1*LEFT(C199,7),DF!$A$1:$F$9447,2,FALSE),"")</f>
        <v>MOCHILA 3D CHICA MZ-RJ-B02 22.5L FRONT-5</v>
      </c>
      <c r="F199" s="7">
        <v>8708602</v>
      </c>
      <c r="G199" s="7" t="s">
        <v>14270</v>
      </c>
      <c r="H199" s="7">
        <v>1</v>
      </c>
      <c r="I199" s="11" t="s">
        <v>14182</v>
      </c>
    </row>
    <row r="200" spans="1:16" x14ac:dyDescent="0.25">
      <c r="A200">
        <v>20508</v>
      </c>
      <c r="B200" t="str">
        <f t="shared" si="6"/>
        <v>870855010</v>
      </c>
      <c r="C200" t="str">
        <f t="shared" si="7"/>
        <v>8708550#10#</v>
      </c>
      <c r="D200" s="7" t="s">
        <v>14138</v>
      </c>
      <c r="E200" t="str">
        <f>IFERROR(VLOOKUP(1*LEFT(C200,7),DF!$A$1:$F$9447,2,FALSE),"")</f>
        <v>MORRAL BOLSO TACTICO PORTA BOTELLA 8147-</v>
      </c>
      <c r="F200" s="7">
        <v>8708550</v>
      </c>
      <c r="G200" s="7" t="s">
        <v>14271</v>
      </c>
      <c r="H200" s="7">
        <v>6</v>
      </c>
      <c r="I200" s="11" t="s">
        <v>14139</v>
      </c>
      <c r="J200" s="11" t="s">
        <v>14198</v>
      </c>
      <c r="K200" s="11" t="s">
        <v>14199</v>
      </c>
      <c r="L200" s="11" t="s">
        <v>14200</v>
      </c>
      <c r="M200" s="11" t="s">
        <v>14201</v>
      </c>
      <c r="N200" s="11" t="s">
        <v>14202</v>
      </c>
    </row>
    <row r="201" spans="1:16" x14ac:dyDescent="0.25">
      <c r="A201">
        <v>20508</v>
      </c>
      <c r="B201" t="str">
        <f t="shared" si="6"/>
        <v>870855003</v>
      </c>
      <c r="C201" t="str">
        <f t="shared" si="7"/>
        <v>8708550#03#</v>
      </c>
      <c r="D201" s="7" t="s">
        <v>8374</v>
      </c>
      <c r="E201" t="str">
        <f>IFERROR(VLOOKUP(1*LEFT(C201,7),DF!$A$1:$F$9447,2,FALSE),"")</f>
        <v>MORRAL BOLSO TACTICO PORTA BOTELLA 8147-</v>
      </c>
      <c r="F201" s="7">
        <v>8708550</v>
      </c>
      <c r="G201" s="7" t="s">
        <v>14272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 t="shared" si="6"/>
        <v>870855006</v>
      </c>
      <c r="C202" t="str">
        <f t="shared" si="7"/>
        <v>8708550#06#</v>
      </c>
      <c r="D202" s="7" t="s">
        <v>8375</v>
      </c>
      <c r="E202" t="str">
        <f>IFERROR(VLOOKUP(1*LEFT(C202,7),DF!$A$1:$F$9447,2,FALSE),"")</f>
        <v>MORRAL BOLSO TACTICO PORTA BOTELLA 8147-</v>
      </c>
      <c r="F202" s="7">
        <v>8708550</v>
      </c>
      <c r="G202" t="s">
        <v>14273</v>
      </c>
      <c r="H202">
        <v>1</v>
      </c>
      <c r="I202" s="11" t="s">
        <v>8376</v>
      </c>
    </row>
    <row r="203" spans="1:16" x14ac:dyDescent="0.25">
      <c r="A203">
        <v>20508</v>
      </c>
      <c r="B203" t="str">
        <f t="shared" si="6"/>
        <v>870855007</v>
      </c>
      <c r="C203" t="str">
        <f t="shared" si="7"/>
        <v>8708550#07#</v>
      </c>
      <c r="D203" s="7" t="s">
        <v>12163</v>
      </c>
      <c r="E203" t="str">
        <f>IFERROR(VLOOKUP(1*LEFT(C203,7),DF!$A$1:$F$9447,2,FALSE),"")</f>
        <v>MORRAL BOLSO TACTICO PORTA BOTELLA 8147-</v>
      </c>
      <c r="F203" s="7">
        <v>8708550</v>
      </c>
      <c r="G203" t="s">
        <v>14274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 t="shared" si="6"/>
        <v>870855008</v>
      </c>
      <c r="C204" t="str">
        <f t="shared" si="7"/>
        <v>8708550#08#</v>
      </c>
      <c r="D204" s="7" t="s">
        <v>12146</v>
      </c>
      <c r="E204" t="str">
        <f>IFERROR(VLOOKUP(1*LEFT(C204,7),DF!$A$1:$F$9447,2,FALSE),"")</f>
        <v>MORRAL BOLSO TACTICO PORTA BOTELLA 8147-</v>
      </c>
      <c r="F204" s="7">
        <v>8708550</v>
      </c>
      <c r="G204" t="s">
        <v>14275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 t="shared" si="6"/>
        <v>870855009</v>
      </c>
      <c r="C205" t="str">
        <f t="shared" si="7"/>
        <v>8708550#09#</v>
      </c>
      <c r="D205" s="7" t="s">
        <v>7026</v>
      </c>
      <c r="E205" t="str">
        <f>IFERROR(VLOOKUP(1*LEFT(C205,7),DF!$A$1:$F$9447,2,FALSE),"")</f>
        <v>MORRAL BOLSO TACTICO PORTA BOTELLA 8147-</v>
      </c>
      <c r="F205" s="7">
        <v>8708550</v>
      </c>
      <c r="G205" t="s">
        <v>14276</v>
      </c>
      <c r="H205">
        <v>1</v>
      </c>
      <c r="I205" s="11" t="s">
        <v>7027</v>
      </c>
    </row>
    <row r="206" spans="1:16" x14ac:dyDescent="0.25">
      <c r="A206">
        <v>20508</v>
      </c>
      <c r="B206" t="str">
        <f t="shared" si="6"/>
        <v>870855004</v>
      </c>
      <c r="C206" t="str">
        <f t="shared" si="7"/>
        <v>8708550#04#</v>
      </c>
      <c r="D206" s="7" t="s">
        <v>12169</v>
      </c>
      <c r="E206" t="str">
        <f>IFERROR(VLOOKUP(1*LEFT(C206,7),DF!$A$1:$F$9447,2,FALSE),"")</f>
        <v>MORRAL BOLSO TACTICO PORTA BOTELLA 8147-</v>
      </c>
      <c r="F206" s="7">
        <v>8708550</v>
      </c>
      <c r="G206" t="s">
        <v>14277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 t="shared" si="6"/>
        <v>870103809</v>
      </c>
      <c r="C207" t="str">
        <f t="shared" si="7"/>
        <v>8701038#09#</v>
      </c>
      <c r="D207" s="24" t="s">
        <v>7026</v>
      </c>
      <c r="E207" t="str">
        <f>IFERROR(VLOOKUP(1*LEFT(C207,7),DF!$A$1:$F$9447,2,FALSE),"")</f>
        <v>CINTURON TACTICO RANGER HEBILLA FA38</v>
      </c>
      <c r="F207">
        <v>8701038</v>
      </c>
      <c r="G207" t="s">
        <v>14288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 t="shared" si="6"/>
        <v>870103806</v>
      </c>
      <c r="C208" t="str">
        <f t="shared" si="7"/>
        <v>8701038#06#</v>
      </c>
      <c r="D208" s="24" t="s">
        <v>8375</v>
      </c>
      <c r="E208" t="str">
        <f>IFERROR(VLOOKUP(1*LEFT(C208,7),DF!$A$1:$F$9447,2,FALSE),"")</f>
        <v>CINTURON TACTICO RANGER HEBILLA FA38</v>
      </c>
      <c r="F208">
        <v>8701038</v>
      </c>
      <c r="G208" t="s">
        <v>14289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 t="shared" si="6"/>
        <v>870860903</v>
      </c>
      <c r="C209" t="str">
        <f t="shared" si="7"/>
        <v>8708609#03#</v>
      </c>
      <c r="D209" s="24" t="s">
        <v>8374</v>
      </c>
      <c r="E209" t="str">
        <f>IFERROR(VLOOKUP(1*LEFT(C209,7),DF!$A$1:$F$9447,2,FALSE),"")</f>
        <v>MOCHILA MZ-RJ-B35809 38.5L FRONT-114/3,6</v>
      </c>
      <c r="F209">
        <v>8708609</v>
      </c>
      <c r="G209" t="s">
        <v>14241</v>
      </c>
      <c r="H209">
        <v>1</v>
      </c>
      <c r="I209" s="11" t="s">
        <v>8377</v>
      </c>
    </row>
    <row r="210" spans="1:9" x14ac:dyDescent="0.25">
      <c r="A210">
        <v>20508</v>
      </c>
      <c r="B210" t="str">
        <f t="shared" si="6"/>
        <v>870860909</v>
      </c>
      <c r="C210" t="str">
        <f t="shared" si="7"/>
        <v>8708609#09#</v>
      </c>
      <c r="D210" s="24" t="s">
        <v>7026</v>
      </c>
      <c r="E210" t="str">
        <f>IFERROR(VLOOKUP(1*LEFT(C210,7),DF!$A$1:$F$9447,2,FALSE),"")</f>
        <v>MOCHILA MZ-RJ-B35809 38.5L FRONT-114/3,6</v>
      </c>
      <c r="F210">
        <v>8708609</v>
      </c>
      <c r="G210" t="s">
        <v>14290</v>
      </c>
      <c r="H210">
        <v>1</v>
      </c>
      <c r="I210" s="11" t="s">
        <v>7027</v>
      </c>
    </row>
    <row r="211" spans="1:9" x14ac:dyDescent="0.25">
      <c r="A211">
        <v>20508</v>
      </c>
      <c r="B211" t="str">
        <f t="shared" si="6"/>
        <v>870860905</v>
      </c>
      <c r="C211" t="str">
        <f t="shared" si="7"/>
        <v>8708609#05#</v>
      </c>
      <c r="D211" s="24" t="s">
        <v>12203</v>
      </c>
      <c r="E211" t="str">
        <f>IFERROR(VLOOKUP(1*LEFT(C211,7),DF!$A$1:$F$9447,2,FALSE),"")</f>
        <v>MOCHILA MZ-RJ-B35809 38.5L FRONT-114/3,6</v>
      </c>
      <c r="F211">
        <v>8708609</v>
      </c>
      <c r="G211" t="s">
        <v>14242</v>
      </c>
      <c r="H211">
        <v>1</v>
      </c>
      <c r="I211" s="11" t="s">
        <v>12283</v>
      </c>
    </row>
    <row r="212" spans="1:9" x14ac:dyDescent="0.25">
      <c r="A212">
        <v>20508</v>
      </c>
      <c r="B212" t="str">
        <f t="shared" si="6"/>
        <v>870860907</v>
      </c>
      <c r="C212" t="str">
        <f t="shared" si="7"/>
        <v>8708609#07#</v>
      </c>
      <c r="D212" s="24" t="s">
        <v>12163</v>
      </c>
      <c r="E212" t="str">
        <f>IFERROR(VLOOKUP(1*LEFT(C212,7),DF!$A$1:$F$9447,2,FALSE),"")</f>
        <v>MOCHILA MZ-RJ-B35809 38.5L FRONT-114/3,6</v>
      </c>
      <c r="F212">
        <v>8708609</v>
      </c>
      <c r="G212" t="s">
        <v>14243</v>
      </c>
      <c r="H212">
        <v>1</v>
      </c>
      <c r="I212" s="11" t="s">
        <v>12164</v>
      </c>
    </row>
    <row r="213" spans="1:9" x14ac:dyDescent="0.25">
      <c r="A213">
        <v>20508</v>
      </c>
      <c r="B213" t="str">
        <f t="shared" si="6"/>
        <v>870860908</v>
      </c>
      <c r="C213" t="str">
        <f t="shared" si="7"/>
        <v>8708609#08#</v>
      </c>
      <c r="D213" s="24" t="s">
        <v>12146</v>
      </c>
      <c r="E213" t="str">
        <f>IFERROR(VLOOKUP(1*LEFT(C213,7),DF!$A$1:$F$9447,2,FALSE),"")</f>
        <v>MOCHILA MZ-RJ-B35809 38.5L FRONT-114/3,6</v>
      </c>
      <c r="F213">
        <v>8708609</v>
      </c>
      <c r="G213" t="s">
        <v>14244</v>
      </c>
      <c r="H213">
        <v>1</v>
      </c>
      <c r="I213" s="11" t="s">
        <v>12150</v>
      </c>
    </row>
    <row r="214" spans="1:9" x14ac:dyDescent="0.25">
      <c r="A214">
        <v>20508</v>
      </c>
      <c r="B214" t="str">
        <f t="shared" si="6"/>
        <v>870860911</v>
      </c>
      <c r="C214" t="str">
        <f t="shared" si="7"/>
        <v>8708609#11#</v>
      </c>
      <c r="D214" s="24" t="s">
        <v>12198</v>
      </c>
      <c r="E214" t="str">
        <f>IFERROR(VLOOKUP(1*LEFT(C214,7),DF!$A$1:$F$9447,2,FALSE),"")</f>
        <v>MOCHILA MZ-RJ-B35809 38.5L FRONT-114/3,6</v>
      </c>
      <c r="F214">
        <v>8708609</v>
      </c>
      <c r="G214" t="s">
        <v>14245</v>
      </c>
      <c r="H214">
        <v>1</v>
      </c>
      <c r="I214" s="11" t="s">
        <v>12199</v>
      </c>
    </row>
    <row r="215" spans="1:9" x14ac:dyDescent="0.25">
      <c r="D215" s="7"/>
    </row>
  </sheetData>
  <sortState ref="A2:Q21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05"/>
  <sheetViews>
    <sheetView workbookViewId="0">
      <pane ySplit="1" topLeftCell="A33" activePane="bottomLeft" state="frozen"/>
      <selection pane="bottomLeft" activeCell="L593" sqref="L59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13236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13237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13238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13239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13240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13241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13242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13243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13244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IFERROR(VLOOKUP(1*LEFT(C11,7),DF!$A$1:$F$9447,2,FALSE),"")</f>
        <v>BARBIJO CORDON DORADO AZZ</v>
      </c>
      <c r="F11">
        <v>8505823</v>
      </c>
      <c r="G11" t="s">
        <v>13245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IFERROR(VLOOKUP(1*LEFT(C12,7),DF!$A$1:$F$9447,2,FALSE),"")</f>
        <v>BARBIJO CORDON NEGRO AZZ</v>
      </c>
      <c r="F12">
        <v>8505820</v>
      </c>
      <c r="G12" t="s">
        <v>13246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13247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13248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13249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13250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13251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13252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13253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13254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13255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13256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13257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13258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13259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13260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13261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13262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13263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13264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13265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13266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IFERROR(VLOOKUP(1*LEFT(C33,7),DF!$A$1:$F$9447,2,FALSE),"")</f>
        <v>BASE ACRIL. AUXILIAR RER</v>
      </c>
      <c r="F33">
        <v>8505154</v>
      </c>
      <c r="G33" t="s">
        <v>13267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5" si="1"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13268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13269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13270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13271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13272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13273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IFERROR(VLOOKUP(1*LEFT(C40,7),DF!$A$1:$F$9447,2,FALSE),"")</f>
        <v>BOINA PANA AZUL RER</v>
      </c>
      <c r="F40">
        <v>8301000</v>
      </c>
      <c r="G40" t="s">
        <v>13274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IFERROR(VLOOKUP(1*LEFT(C41,7),DF!$A$1:$F$9447,2,FALSE),"")</f>
        <v>BOINA PANA BEIGE LMGE RER</v>
      </c>
      <c r="F41">
        <v>8301008</v>
      </c>
      <c r="G41" t="s">
        <v>13275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IFERROR(VLOOKUP(1*LEFT(C42,7),DF!$A$1:$F$9447,2,FALSE),"")</f>
        <v>BOINA PANA NEGRA RER</v>
      </c>
      <c r="F42">
        <v>8301805</v>
      </c>
      <c r="G42" t="s">
        <v>13276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IFERROR(VLOOKUP(1*LEFT(C43,7),DF!$A$1:$F$9447,2,FALSE),"")</f>
        <v>BOINA TELA AZUL MF</v>
      </c>
      <c r="F43">
        <v>8301495</v>
      </c>
      <c r="G43" t="s">
        <v>13277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IFERROR(VLOOKUP(1*LEFT(C44,7),DF!$A$1:$F$9447,2,FALSE),"")</f>
        <v>BOINA TELA NEGRA MF</v>
      </c>
      <c r="F44">
        <v>8301700</v>
      </c>
      <c r="G44" t="s">
        <v>13278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IFERROR(VLOOKUP(1*LEFT(C45,7),DF!$A$1:$F$9447,2,FALSE),"")</f>
        <v>BOLSA DE DORMIR KC-002-1</v>
      </c>
      <c r="F45">
        <v>8692232</v>
      </c>
      <c r="G45" t="s">
        <v>13279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IFERROR(VLOOKUP(1*LEFT(C46,7),DF!$A$1:$F$9447,2,FALSE),"")</f>
        <v>BOLSA DE DORMIR KC-008-4</v>
      </c>
      <c r="F46">
        <v>8692231</v>
      </c>
      <c r="G46" t="s">
        <v>13280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IFERROR(VLOOKUP(1*LEFT(C47,7),DF!$A$1:$F$9447,2,FALSE),"")</f>
        <v>BOLSA DE DORMIR KC016</v>
      </c>
      <c r="F47">
        <v>8692233</v>
      </c>
      <c r="G47" t="s">
        <v>13281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8708104##</v>
      </c>
      <c r="D48" s="2"/>
      <c r="E48" s="2" t="str">
        <f>IFERROR(VLOOKUP(1*LEFT(C48,7),DF!$A$1:$F$9447,2,FALSE),"")</f>
        <v>BOLSO MALETIN  PORTA PIST. RRD31 BLK</v>
      </c>
      <c r="F48">
        <v>8708104</v>
      </c>
      <c r="G48" t="s">
        <v>14107</v>
      </c>
      <c r="H48">
        <v>6</v>
      </c>
    </row>
    <row r="49" spans="1:8" x14ac:dyDescent="0.25">
      <c r="A49" s="2">
        <v>16522</v>
      </c>
      <c r="B49" s="2" t="s">
        <v>4</v>
      </c>
      <c r="C49" s="2" t="str">
        <f t="shared" si="1"/>
        <v>8708099##</v>
      </c>
      <c r="D49" s="2"/>
      <c r="E49" s="2" t="str">
        <f>IFERROR(VLOOKUP(1*LEFT(C49,7),DF!$A$1:$F$9447,2,FALSE),"")</f>
        <v>BOLSO MOCHILA GRANDE</v>
      </c>
      <c r="F49">
        <v>8708099</v>
      </c>
      <c r="G49" t="s">
        <v>13282</v>
      </c>
      <c r="H49">
        <v>3</v>
      </c>
    </row>
    <row r="50" spans="1:8" x14ac:dyDescent="0.25">
      <c r="A50" s="2">
        <v>16522</v>
      </c>
      <c r="B50" s="2" t="s">
        <v>4</v>
      </c>
      <c r="C50" s="2" t="str">
        <f t="shared" si="1"/>
        <v>8708020##</v>
      </c>
      <c r="D50" s="2"/>
      <c r="E50" s="2" t="str">
        <f>IFERROR(VLOOKUP(1*LEFT(C50,7),DF!$A$1:$F$9447,2,FALSE),"")</f>
        <v>BOTIQUIN MOLLE RRD82 BLK</v>
      </c>
      <c r="F50">
        <v>8708020</v>
      </c>
      <c r="G50" t="s">
        <v>14102</v>
      </c>
      <c r="H50">
        <v>5</v>
      </c>
    </row>
    <row r="51" spans="1:8" x14ac:dyDescent="0.25">
      <c r="A51" s="2">
        <v>16522</v>
      </c>
      <c r="B51" s="2" t="s">
        <v>4</v>
      </c>
      <c r="C51" s="2" t="str">
        <f t="shared" si="1"/>
        <v>8520124##</v>
      </c>
      <c r="D51" s="2"/>
      <c r="E51" s="2" t="str">
        <f>IFERROR(VLOOKUP(1*LEFT(C51,7),DF!$A$1:$F$9447,2,FALSE),"")</f>
        <v>BRAZALETE PARACOR BRUJ+ TERMOMETRO 4321</v>
      </c>
      <c r="F51" s="7">
        <v>8520124</v>
      </c>
      <c r="G51" t="s">
        <v>13283</v>
      </c>
      <c r="H51">
        <v>5</v>
      </c>
    </row>
    <row r="52" spans="1:8" x14ac:dyDescent="0.25">
      <c r="A52">
        <v>16522</v>
      </c>
      <c r="B52" t="s">
        <v>4</v>
      </c>
      <c r="C52" t="str">
        <f t="shared" si="1"/>
        <v>7800000##</v>
      </c>
      <c r="E52" t="str">
        <f>IFERROR(VLOOKUP(1*LEFT(C52,7),DF!$A$1:$F$9447,2,FALSE),"")</f>
        <v>CABLE USB</v>
      </c>
      <c r="F52">
        <v>7800000</v>
      </c>
      <c r="G52" t="s">
        <v>13284</v>
      </c>
      <c r="H52">
        <v>2</v>
      </c>
    </row>
    <row r="53" spans="1:8" x14ac:dyDescent="0.25">
      <c r="A53">
        <v>16522</v>
      </c>
      <c r="B53" t="s">
        <v>4</v>
      </c>
      <c r="C53" t="str">
        <f t="shared" si="1"/>
        <v>8511522##</v>
      </c>
      <c r="E53" t="str">
        <f>IFERROR(VLOOKUP(1*LEFT(C53,7),DF!$A$1:$F$9447,2,FALSE),"")</f>
        <v>CACHAS ANATOMICAS BERSA  10442 RER</v>
      </c>
      <c r="F53">
        <v>8511522</v>
      </c>
      <c r="G53" t="s">
        <v>13285</v>
      </c>
      <c r="H53">
        <v>2</v>
      </c>
    </row>
    <row r="54" spans="1:8" x14ac:dyDescent="0.25">
      <c r="A54">
        <v>16522</v>
      </c>
      <c r="B54" t="s">
        <v>4</v>
      </c>
      <c r="C54" t="str">
        <f t="shared" si="1"/>
        <v>8692010##</v>
      </c>
      <c r="E54" t="str">
        <f>IFERROR(VLOOKUP(1*LEFT(C54,7),DF!$A$1:$F$9447,2,FALSE),"")</f>
        <v>CAMPING CARPA DE EMERGENCIA 4319</v>
      </c>
      <c r="F54">
        <v>8692010</v>
      </c>
      <c r="G54" t="s">
        <v>13286</v>
      </c>
      <c r="H54">
        <v>3</v>
      </c>
    </row>
    <row r="55" spans="1:8" x14ac:dyDescent="0.25">
      <c r="A55">
        <v>16522</v>
      </c>
      <c r="B55" t="s">
        <v>4</v>
      </c>
      <c r="C55" t="str">
        <f t="shared" si="1"/>
        <v>8692011##</v>
      </c>
      <c r="E55" t="str">
        <f>IFERROR(VLOOKUP(1*LEFT(C55,7),DF!$A$1:$F$9447,2,FALSE),"")</f>
        <v>CAMPING INFLADOR 68612</v>
      </c>
      <c r="F55">
        <v>8692011</v>
      </c>
      <c r="G55" t="s">
        <v>13287</v>
      </c>
      <c r="H55">
        <v>3</v>
      </c>
    </row>
    <row r="56" spans="1:8" x14ac:dyDescent="0.25">
      <c r="A56" s="2">
        <v>16522</v>
      </c>
      <c r="B56" s="2" t="s">
        <v>4</v>
      </c>
      <c r="C56" s="2" t="str">
        <f t="shared" si="1"/>
        <v>8702660##</v>
      </c>
      <c r="D56" s="2"/>
      <c r="E56" s="2" t="str">
        <f>IFERROR(VLOOKUP(1*LEFT(C56,7),DF!$A$1:$F$9447,2,FALSE),"")</f>
        <v>CANANA PORTA CART 8T T660 TB</v>
      </c>
      <c r="F56">
        <v>8702660</v>
      </c>
      <c r="G56" t="s">
        <v>13288</v>
      </c>
      <c r="H56">
        <v>3</v>
      </c>
    </row>
    <row r="57" spans="1:8" x14ac:dyDescent="0.25">
      <c r="A57">
        <v>16522</v>
      </c>
      <c r="B57" t="s">
        <v>4</v>
      </c>
      <c r="C57" t="str">
        <f t="shared" si="1"/>
        <v>8612057##</v>
      </c>
      <c r="E57" t="str">
        <f>IFERROR(VLOOKUP(1*LEFT(C57,7),DF!$A$1:$F$9447,2,FALSE),"")</f>
        <v>CARPA 16986-3</v>
      </c>
      <c r="F57">
        <v>8612057</v>
      </c>
      <c r="G57" t="s">
        <v>13289</v>
      </c>
      <c r="H57">
        <v>4</v>
      </c>
    </row>
    <row r="58" spans="1:8" x14ac:dyDescent="0.25">
      <c r="A58">
        <v>16522</v>
      </c>
      <c r="B58" t="s">
        <v>4</v>
      </c>
      <c r="C58" t="str">
        <f t="shared" si="1"/>
        <v>8612056##</v>
      </c>
      <c r="E58" t="str">
        <f>IFERROR(VLOOKUP(1*LEFT(C58,7),DF!$A$1:$F$9447,2,FALSE),"")</f>
        <v>CARPA 3 PERS 16986-1</v>
      </c>
      <c r="F58">
        <v>8612056</v>
      </c>
      <c r="G58" t="s">
        <v>13290</v>
      </c>
      <c r="H58">
        <v>6</v>
      </c>
    </row>
    <row r="59" spans="1:8" x14ac:dyDescent="0.25">
      <c r="A59">
        <v>16522</v>
      </c>
      <c r="B59" t="s">
        <v>4</v>
      </c>
      <c r="C59" t="str">
        <f t="shared" si="1"/>
        <v>8612058##</v>
      </c>
      <c r="E59" t="str">
        <f>IFERROR(VLOOKUP(1*LEFT(C59,7),DF!$A$1:$F$9447,2,FALSE),"")</f>
        <v>CARPA CAMPING A03</v>
      </c>
      <c r="F59">
        <v>8612058</v>
      </c>
      <c r="G59" t="s">
        <v>13291</v>
      </c>
      <c r="H59">
        <v>4</v>
      </c>
    </row>
    <row r="60" spans="1:8" x14ac:dyDescent="0.25">
      <c r="A60" s="2">
        <v>16522</v>
      </c>
      <c r="B60" s="2" t="s">
        <v>4</v>
      </c>
      <c r="C60" s="2" t="str">
        <f t="shared" si="1"/>
        <v>8303123##</v>
      </c>
      <c r="D60" s="2"/>
      <c r="E60" s="2" t="str">
        <f>IFERROR(VLOOKUP(1*LEFT(C60,7),DF!$A$1:$F$9447,2,FALSE),"")</f>
        <v>CASQ AMER REVER RIP STOP</v>
      </c>
      <c r="F60" s="7">
        <v>8303123</v>
      </c>
      <c r="G60" t="s">
        <v>13292</v>
      </c>
      <c r="H60">
        <v>7</v>
      </c>
    </row>
    <row r="61" spans="1:8" x14ac:dyDescent="0.25">
      <c r="A61">
        <v>16522</v>
      </c>
      <c r="B61" t="s">
        <v>4</v>
      </c>
      <c r="C61" t="str">
        <f t="shared" si="1"/>
        <v>8303665##</v>
      </c>
      <c r="E61" s="2" t="str">
        <f>IFERROR(VLOOKUP(1*LEFT(C61,7),DF!$A$1:$F$9447,2,FALSE),"")</f>
        <v>CASQ ARMADO  VERDE</v>
      </c>
      <c r="F61">
        <v>8303665</v>
      </c>
      <c r="G61" t="s">
        <v>13293</v>
      </c>
      <c r="H61">
        <v>5</v>
      </c>
    </row>
    <row r="62" spans="1:8" x14ac:dyDescent="0.25">
      <c r="A62">
        <v>16522</v>
      </c>
      <c r="B62" t="s">
        <v>4</v>
      </c>
      <c r="C62" t="str">
        <f t="shared" si="1"/>
        <v>8303222##</v>
      </c>
      <c r="E62" s="2" t="str">
        <f>IFERROR(VLOOKUP(1*LEFT(C62,7),DF!$A$1:$F$9447,2,FALSE),"")</f>
        <v>CASQ ARMADO GAB AZUL</v>
      </c>
      <c r="F62">
        <v>8303222</v>
      </c>
      <c r="G62" t="s">
        <v>13294</v>
      </c>
      <c r="H62">
        <v>5</v>
      </c>
    </row>
    <row r="63" spans="1:8" x14ac:dyDescent="0.25">
      <c r="A63" s="2">
        <v>16522</v>
      </c>
      <c r="B63" s="2" t="s">
        <v>4</v>
      </c>
      <c r="C63" s="2" t="str">
        <f t="shared" si="1"/>
        <v>8303014##</v>
      </c>
      <c r="D63" s="2"/>
      <c r="E63" s="2" t="str">
        <f>IFERROR(VLOOKUP(1*LEFT(C63,7),DF!$A$1:$F$9447,2,FALSE),"")</f>
        <v>CASQ AZUL URBANO TUCUMAN</v>
      </c>
      <c r="F63">
        <v>8303014</v>
      </c>
      <c r="G63" t="s">
        <v>13295</v>
      </c>
      <c r="H63">
        <v>5</v>
      </c>
    </row>
    <row r="64" spans="1:8" x14ac:dyDescent="0.25">
      <c r="A64">
        <v>16522</v>
      </c>
      <c r="B64" t="s">
        <v>4</v>
      </c>
      <c r="C64" t="str">
        <f t="shared" si="1"/>
        <v>8303677##</v>
      </c>
      <c r="E64" s="2" t="str">
        <f>IFERROR(VLOOKUP(1*LEFT(C64,7),DF!$A$1:$F$9447,2,FALSE),"")</f>
        <v>CASQ GAB AZUL AJUSTABLE C/TRABA 4674</v>
      </c>
      <c r="F64">
        <v>8303677</v>
      </c>
      <c r="G64" t="s">
        <v>13296</v>
      </c>
      <c r="H64">
        <v>6</v>
      </c>
    </row>
    <row r="65" spans="1:8" x14ac:dyDescent="0.25">
      <c r="A65" s="2">
        <v>16522</v>
      </c>
      <c r="B65" s="2" t="s">
        <v>4</v>
      </c>
      <c r="C65" s="2" t="str">
        <f t="shared" si="1"/>
        <v>8303005##</v>
      </c>
      <c r="D65" s="2"/>
      <c r="E65" s="2" t="str">
        <f>IFERROR(VLOOKUP(1*LEFT(C65,7),DF!$A$1:$F$9447,2,FALSE),"")</f>
        <v>CASQ GAB AZUL CON ABROJO</v>
      </c>
      <c r="F65" s="2">
        <v>8303005</v>
      </c>
      <c r="G65" t="s">
        <v>13297</v>
      </c>
      <c r="H65">
        <v>4</v>
      </c>
    </row>
    <row r="66" spans="1:8" x14ac:dyDescent="0.25">
      <c r="A66" s="2">
        <v>16522</v>
      </c>
      <c r="B66" s="2" t="s">
        <v>4</v>
      </c>
      <c r="C66" s="2" t="str">
        <f t="shared" ref="C66:C97" si="2">CONCATENATE(F66,"##")</f>
        <v>8303010##</v>
      </c>
      <c r="D66" s="2"/>
      <c r="E66" s="2" t="str">
        <f>IFERROR(VLOOKUP(1*LEFT(C66,7),DF!$A$1:$F$9447,2,FALSE),"")</f>
        <v>CASQ GAB AZUL CON ABROJO</v>
      </c>
      <c r="F66" s="2">
        <v>8303010</v>
      </c>
      <c r="G66" t="s">
        <v>13298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 t="shared" si="2"/>
        <v>8303114##</v>
      </c>
      <c r="D67" s="2"/>
      <c r="E67" s="2" t="str">
        <f>IFERROR(VLOOKUP(1*LEFT(C67,7),DF!$A$1:$F$9447,2,FALSE),"")</f>
        <v>CASQ GAB GRIS ABROJO</v>
      </c>
      <c r="F67">
        <v>8303114</v>
      </c>
      <c r="G67" t="s">
        <v>13299</v>
      </c>
      <c r="H67">
        <v>5</v>
      </c>
    </row>
    <row r="68" spans="1:8" x14ac:dyDescent="0.25">
      <c r="A68" s="2">
        <v>16522</v>
      </c>
      <c r="B68" s="2" t="s">
        <v>4</v>
      </c>
      <c r="C68" s="2" t="str">
        <f t="shared" si="2"/>
        <v>8303674##</v>
      </c>
      <c r="D68" s="2"/>
      <c r="E68" s="2" t="str">
        <f>IFERROR(VLOOKUP(1*LEFT(C68,7),DF!$A$1:$F$9447,2,FALSE),"")</f>
        <v>CASQ GAB NEGRO AJUSTABLE C/TRABA 4674</v>
      </c>
      <c r="F68">
        <v>8303674</v>
      </c>
      <c r="G68" t="s">
        <v>13300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 t="shared" si="2"/>
        <v>8303006##</v>
      </c>
      <c r="D69" s="2"/>
      <c r="E69" s="2" t="str">
        <f>IFERROR(VLOOKUP(1*LEFT(C69,7),DF!$A$1:$F$9447,2,FALSE),"")</f>
        <v>CASQ GAB NEGRO CON ABROJO</v>
      </c>
      <c r="F69" s="7">
        <v>8303006</v>
      </c>
      <c r="G69" t="s">
        <v>13301</v>
      </c>
      <c r="H69">
        <v>4</v>
      </c>
    </row>
    <row r="70" spans="1:8" x14ac:dyDescent="0.25">
      <c r="A70" s="2">
        <v>16522</v>
      </c>
      <c r="B70" s="2" t="s">
        <v>4</v>
      </c>
      <c r="C70" s="2" t="str">
        <f t="shared" si="2"/>
        <v>8303112##</v>
      </c>
      <c r="D70" s="2"/>
      <c r="E70" s="2" t="str">
        <f>IFERROR(VLOOKUP(1*LEFT(C70,7),DF!$A$1:$F$9447,2,FALSE),"")</f>
        <v>CASQ GRIS BORD NEUQUEN</v>
      </c>
      <c r="F70" s="7">
        <v>8303112</v>
      </c>
      <c r="G70" t="s">
        <v>13302</v>
      </c>
      <c r="H70">
        <v>6</v>
      </c>
    </row>
    <row r="71" spans="1:8" x14ac:dyDescent="0.25">
      <c r="A71" s="2">
        <v>16522</v>
      </c>
      <c r="B71" s="2" t="s">
        <v>4</v>
      </c>
      <c r="C71" s="2" t="str">
        <f t="shared" si="2"/>
        <v>8303111##</v>
      </c>
      <c r="D71" s="2"/>
      <c r="E71" s="2" t="str">
        <f>IFERROR(VLOOKUP(1*LEFT(C71,7),DF!$A$1:$F$9447,2,FALSE),"")</f>
        <v>CASQ NEGRO BORD NEUQUEN</v>
      </c>
      <c r="F71">
        <v>8303111</v>
      </c>
      <c r="G71" t="s">
        <v>13303</v>
      </c>
      <c r="H71">
        <v>6</v>
      </c>
    </row>
    <row r="72" spans="1:8" x14ac:dyDescent="0.25">
      <c r="A72" s="2">
        <v>16522</v>
      </c>
      <c r="B72" s="2" t="s">
        <v>4</v>
      </c>
      <c r="C72" s="2" t="str">
        <f t="shared" si="2"/>
        <v>8303120##</v>
      </c>
      <c r="D72" s="2"/>
      <c r="E72" s="2" t="str">
        <f>IFERROR(VLOOKUP(1*LEFT(C72,7),DF!$A$1:$F$9447,2,FALSE),"")</f>
        <v>CASQ REVER GABARD.</v>
      </c>
      <c r="F72" s="7">
        <v>8303120</v>
      </c>
      <c r="G72" t="s">
        <v>13304</v>
      </c>
      <c r="H72">
        <v>8</v>
      </c>
    </row>
    <row r="73" spans="1:8" x14ac:dyDescent="0.25">
      <c r="A73" s="2">
        <v>16522</v>
      </c>
      <c r="B73" s="2" t="s">
        <v>4</v>
      </c>
      <c r="C73" s="2" t="str">
        <f t="shared" si="2"/>
        <v>8303495##</v>
      </c>
      <c r="D73" s="2"/>
      <c r="E73" s="2" t="str">
        <f>IFERROR(VLOOKUP(1*LEFT(C73,7),DF!$A$1:$F$9447,2,FALSE),"")</f>
        <v>CASQ RIP AZUL C ABROJO</v>
      </c>
      <c r="F73">
        <v>8303495</v>
      </c>
      <c r="G73" t="s">
        <v>13305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 t="shared" si="2"/>
        <v>8303130##</v>
      </c>
      <c r="D74" s="2"/>
      <c r="E74" s="2" t="str">
        <f>IFERROR(VLOOKUP(1*LEFT(C74,7),DF!$A$1:$F$9447,2,FALSE),"")</f>
        <v>CASQ RIP AZUL C/OJALILLOS IMP</v>
      </c>
      <c r="F74" s="7">
        <v>8303130</v>
      </c>
      <c r="G74" t="s">
        <v>13306</v>
      </c>
      <c r="H74">
        <v>3</v>
      </c>
    </row>
    <row r="75" spans="1:8" x14ac:dyDescent="0.25">
      <c r="A75">
        <v>16522</v>
      </c>
      <c r="B75" t="s">
        <v>4</v>
      </c>
      <c r="C75" t="str">
        <f t="shared" si="2"/>
        <v>8303003##</v>
      </c>
      <c r="E75" s="2" t="str">
        <f>IFERROR(VLOOKUP(1*LEFT(C75,7),DF!$A$1:$F$9447,2,FALSE),"")</f>
        <v>CASQ RIP AZUL CRIO GENERAL VISERA BORD</v>
      </c>
      <c r="F75">
        <v>8303003</v>
      </c>
      <c r="G75" t="s">
        <v>13307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 t="shared" si="2"/>
        <v>8303442##</v>
      </c>
      <c r="D76" s="2"/>
      <c r="E76" s="2" t="str">
        <f>IFERROR(VLOOKUP(1*LEFT(C76,7),DF!$A$1:$F$9447,2,FALSE),"")</f>
        <v>CASQ RIP AZUL NOCHE 442 C/ABR</v>
      </c>
      <c r="F76" s="7">
        <v>8303442</v>
      </c>
      <c r="G76" t="s">
        <v>13308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 t="shared" si="2"/>
        <v>8303800##</v>
      </c>
      <c r="D77" s="2"/>
      <c r="E77" s="2" t="str">
        <f>IFERROR(VLOOKUP(1*LEFT(C77,7),DF!$A$1:$F$9447,2,FALSE),"")</f>
        <v>CASQ RIP AZUL NQUEN. RER</v>
      </c>
      <c r="F77">
        <v>8303800</v>
      </c>
      <c r="G77" t="s">
        <v>13309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 t="shared" si="2"/>
        <v>8303902##</v>
      </c>
      <c r="D78" s="2"/>
      <c r="E78" s="2" t="str">
        <f>IFERROR(VLOOKUP(1*LEFT(C78,7),DF!$A$1:$F$9447,2,FALSE),"")</f>
        <v>CASQ RIP BEIGE ABROJO</v>
      </c>
      <c r="F78">
        <v>8303902</v>
      </c>
      <c r="G78" t="s">
        <v>13310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 t="shared" si="2"/>
        <v>8303128##</v>
      </c>
      <c r="D79" s="2"/>
      <c r="E79" s="2" t="str">
        <f>IFERROR(VLOOKUP(1*LEFT(C79,7),DF!$A$1:$F$9447,2,FALSE),"")</f>
        <v>CASQ RIP DIGITAL ACU</v>
      </c>
      <c r="F79" s="7">
        <v>8303128</v>
      </c>
      <c r="G79" t="s">
        <v>13311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 t="shared" si="2"/>
        <v>8303113##</v>
      </c>
      <c r="D80" s="2"/>
      <c r="E80" s="2" t="str">
        <f>IFERROR(VLOOKUP(1*LEFT(C80,7),DF!$A$1:$F$9447,2,FALSE),"")</f>
        <v>CASQ RIP GRIS ABROJO</v>
      </c>
      <c r="F80">
        <v>8303113</v>
      </c>
      <c r="G80" t="s">
        <v>13312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 t="shared" si="2"/>
        <v>8303544##</v>
      </c>
      <c r="D81" s="2"/>
      <c r="E81" s="2" t="str">
        <f>IFERROR(VLOOKUP(1*LEFT(C81,7),DF!$A$1:$F$9447,2,FALSE),"")</f>
        <v>CASQ RIP INFANTERIA CON ABROJO</v>
      </c>
      <c r="F81">
        <v>8303544</v>
      </c>
      <c r="G81" t="s">
        <v>13313</v>
      </c>
      <c r="H81">
        <v>3</v>
      </c>
    </row>
    <row r="82" spans="1:9" x14ac:dyDescent="0.25">
      <c r="A82" s="2">
        <v>16522</v>
      </c>
      <c r="B82" s="2" t="s">
        <v>4</v>
      </c>
      <c r="C82" s="2" t="str">
        <f t="shared" si="2"/>
        <v>8303900##</v>
      </c>
      <c r="D82" s="2"/>
      <c r="E82" s="2" t="str">
        <f>IFERROR(VLOOKUP(1*LEFT(C82,7),DF!$A$1:$F$9447,2,FALSE),"")</f>
        <v>CASQ RIP NEGRO ABROJO</v>
      </c>
      <c r="F82">
        <v>8303900</v>
      </c>
      <c r="G82" t="s">
        <v>13314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 t="shared" si="2"/>
        <v>8303129##</v>
      </c>
      <c r="D83" s="2"/>
      <c r="E83" s="2" t="str">
        <f>IFERROR(VLOOKUP(1*LEFT(C83,7),DF!$A$1:$F$9447,2,FALSE),"")</f>
        <v>CASQ RIP NEGRO C/OJALILLOS IMP</v>
      </c>
      <c r="F83" s="7">
        <v>8303129</v>
      </c>
      <c r="G83" t="s">
        <v>13315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 t="shared" si="2"/>
        <v>8303701##</v>
      </c>
      <c r="D84" s="2"/>
      <c r="E84" s="2" t="str">
        <f>IFERROR(VLOOKUP(1*LEFT(C84,7),DF!$A$1:$F$9447,2,FALSE),"")</f>
        <v>CASQ RIP NEGRO NQUEN. VISERA BORDADA RER</v>
      </c>
      <c r="F84">
        <v>8303701</v>
      </c>
      <c r="G84" t="s">
        <v>13316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 t="shared" si="2"/>
        <v>8303007##</v>
      </c>
      <c r="D85" s="2"/>
      <c r="E85" s="2" t="str">
        <f>IFERROR(VLOOKUP(1*LEFT(C85,7),DF!$A$1:$F$9447,2,FALSE),"")</f>
        <v>CASQ RIP REQUISA</v>
      </c>
      <c r="F85">
        <v>8303007</v>
      </c>
      <c r="G85" t="s">
        <v>13317</v>
      </c>
      <c r="H85">
        <v>5</v>
      </c>
    </row>
    <row r="86" spans="1:9" x14ac:dyDescent="0.25">
      <c r="A86" s="2">
        <v>16522</v>
      </c>
      <c r="B86" s="2" t="s">
        <v>4</v>
      </c>
      <c r="C86" s="2" t="str">
        <f t="shared" si="2"/>
        <v>8303133##</v>
      </c>
      <c r="D86" s="2"/>
      <c r="E86" s="2" t="str">
        <f>IFERROR(VLOOKUP(1*LEFT(C86,7),DF!$A$1:$F$9447,2,FALSE),"")</f>
        <v>CASQ RIP RURAL  C/ABROJO</v>
      </c>
      <c r="F86">
        <v>8303133</v>
      </c>
      <c r="G86" t="s">
        <v>13318</v>
      </c>
      <c r="H86">
        <v>5</v>
      </c>
    </row>
    <row r="87" spans="1:9" x14ac:dyDescent="0.25">
      <c r="A87" s="2">
        <v>16522</v>
      </c>
      <c r="B87" s="2" t="s">
        <v>4</v>
      </c>
      <c r="C87" s="2" t="str">
        <f t="shared" si="2"/>
        <v>2401101##</v>
      </c>
      <c r="D87" s="2"/>
      <c r="E87" s="2" t="str">
        <f>IFERROR(VLOOKUP(1*LEFT(C87,7),DF!$A$1:$F$9447,2,FALSE),"")</f>
        <v>CHALECO ARNES ISARELI C/REFLACTARIORRD2B</v>
      </c>
      <c r="F87">
        <v>2401101</v>
      </c>
      <c r="G87" t="s">
        <v>13319</v>
      </c>
      <c r="H87">
        <v>5</v>
      </c>
    </row>
    <row r="88" spans="1:9" x14ac:dyDescent="0.25">
      <c r="A88">
        <v>16522</v>
      </c>
      <c r="B88" t="s">
        <v>4</v>
      </c>
      <c r="C88" t="str">
        <f t="shared" si="2"/>
        <v>2401242##</v>
      </c>
      <c r="E88" t="str">
        <f>IFERROR(VLOOKUP(1*LEFT(C88,7),DF!$A$1:$F$9447,2,FALSE),"")</f>
        <v>CHALECO ARNES ISRAELI MOLLE RRD1 BLK</v>
      </c>
      <c r="F88">
        <v>2401242</v>
      </c>
      <c r="G88" t="s">
        <v>13320</v>
      </c>
      <c r="H88">
        <v>3</v>
      </c>
    </row>
    <row r="89" spans="1:9" x14ac:dyDescent="0.25">
      <c r="A89">
        <v>16522</v>
      </c>
      <c r="B89" t="s">
        <v>4</v>
      </c>
      <c r="C89" t="str">
        <f t="shared" si="2"/>
        <v>2401550##</v>
      </c>
      <c r="E89" t="str">
        <f>IFERROR(VLOOKUP(1*LEFT(C89,7),DF!$A$1:$F$9447,2,FALSE),"")</f>
        <v>CHALECO ARNES VIAL VERDE GN RRD2b BLK</v>
      </c>
      <c r="F89">
        <v>2401550</v>
      </c>
      <c r="G89" t="s">
        <v>13321</v>
      </c>
      <c r="H89">
        <v>4</v>
      </c>
    </row>
    <row r="90" spans="1:9" x14ac:dyDescent="0.25">
      <c r="A90" s="2">
        <v>16522</v>
      </c>
      <c r="B90" s="2" t="s">
        <v>4</v>
      </c>
      <c r="C90" s="2" t="str">
        <f t="shared" si="2"/>
        <v>5102001##</v>
      </c>
      <c r="D90" s="2"/>
      <c r="E90" s="2" t="str">
        <f>IFERROR(VLOOKUP(1*LEFT(C90,7),DF!$A$1:$F$9447,2,FALSE),"")</f>
        <v>CHALECO BOMBERO C/REFLECIVA RER</v>
      </c>
      <c r="F90" s="7">
        <v>5102001</v>
      </c>
      <c r="G90" t="s">
        <v>13322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 t="shared" si="2"/>
        <v>2401584##</v>
      </c>
      <c r="D91" s="2"/>
      <c r="E91" s="2" t="str">
        <f>IFERROR(VLOOKUP(1*LEFT(C91,7),DF!$A$1:$F$9447,2,FALSE),"")</f>
        <v>CHALECO C/V LANA NEGRO MILIT EMTRI007 EM</v>
      </c>
      <c r="F91" s="7">
        <v>2401584</v>
      </c>
      <c r="G91" t="s">
        <v>13323</v>
      </c>
      <c r="H91">
        <v>3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 t="shared" si="2"/>
        <v>2401249##</v>
      </c>
      <c r="D92" s="2"/>
      <c r="E92" s="2" t="str">
        <f>IFERROR(VLOOKUP(1*LEFT(C92,7),DF!$A$1:$F$9447,2,FALSE),"")</f>
        <v>CHALECO CARRIER C/PORTA ELEM MAZ/RRD</v>
      </c>
      <c r="F92" s="7">
        <v>2401249</v>
      </c>
      <c r="G92" t="s">
        <v>13324</v>
      </c>
      <c r="H92">
        <v>8</v>
      </c>
    </row>
    <row r="93" spans="1:9" x14ac:dyDescent="0.25">
      <c r="A93" s="2">
        <v>16522</v>
      </c>
      <c r="B93" s="2" t="s">
        <v>4</v>
      </c>
      <c r="C93" s="2" t="str">
        <f t="shared" si="2"/>
        <v>2401022##</v>
      </c>
      <c r="D93" s="2"/>
      <c r="E93" s="2" t="str">
        <f>IFERROR(VLOOKUP(1*LEFT(C93,7),DF!$A$1:$F$9447,2,FALSE),"")</f>
        <v>CHALECO DE TRANSPORTE RIV / RRD5 RER</v>
      </c>
      <c r="F93" s="7">
        <v>2401022</v>
      </c>
      <c r="G93" t="s">
        <v>13325</v>
      </c>
      <c r="H93">
        <v>3</v>
      </c>
    </row>
    <row r="94" spans="1:9" x14ac:dyDescent="0.25">
      <c r="A94" s="2">
        <v>16522</v>
      </c>
      <c r="B94" s="2" t="s">
        <v>4</v>
      </c>
      <c r="C94" s="2" t="str">
        <f t="shared" si="2"/>
        <v>8708116##</v>
      </c>
      <c r="D94" s="2"/>
      <c r="E94" s="2" t="str">
        <f>IFERROR(VLOOKUP(1*LEFT(C94,7),DF!$A$1:$F$9447,2,FALSE),"")</f>
        <v>CHALECO FUNDA ALBATROS 5 ELEM RRD63 BLK</v>
      </c>
      <c r="F94" s="7">
        <v>8708116</v>
      </c>
      <c r="G94" t="s">
        <v>13326</v>
      </c>
      <c r="H94">
        <v>6</v>
      </c>
      <c r="I94">
        <v>1</v>
      </c>
    </row>
    <row r="95" spans="1:9" x14ac:dyDescent="0.25">
      <c r="A95" s="2">
        <v>16522</v>
      </c>
      <c r="B95" s="2" t="s">
        <v>4</v>
      </c>
      <c r="C95" s="2" t="str">
        <f t="shared" si="2"/>
        <v>8708113##</v>
      </c>
      <c r="D95" s="2"/>
      <c r="E95" s="2" t="str">
        <f>IFERROR(VLOOKUP(1*LEFT(C95,7),DF!$A$1:$F$9447,2,FALSE),"")</f>
        <v>CHALECO FUNDA ALPHA BALISTICA RRD42 BLK</v>
      </c>
      <c r="F95" s="7">
        <v>8708113</v>
      </c>
      <c r="G95" t="s">
        <v>13327</v>
      </c>
      <c r="H95">
        <v>4</v>
      </c>
      <c r="I95">
        <v>1</v>
      </c>
    </row>
    <row r="96" spans="1:9" x14ac:dyDescent="0.25">
      <c r="A96" s="2">
        <v>16522</v>
      </c>
      <c r="B96" s="2" t="s">
        <v>4</v>
      </c>
      <c r="C96" s="2" t="str">
        <f t="shared" si="2"/>
        <v>2401103##</v>
      </c>
      <c r="D96" s="2"/>
      <c r="E96" s="2" t="str">
        <f>IFERROR(VLOOKUP(1*LEFT(C96,7),DF!$A$1:$F$9447,2,FALSE),"")</f>
        <v>CHALECO FUNDA BALIST MOLLE RRD4 BLK</v>
      </c>
      <c r="F96" s="7">
        <v>2401103</v>
      </c>
      <c r="G96" t="s">
        <v>13328</v>
      </c>
      <c r="H96">
        <v>4</v>
      </c>
    </row>
    <row r="97" spans="1:9" x14ac:dyDescent="0.25">
      <c r="A97" s="2">
        <v>16522</v>
      </c>
      <c r="B97" s="2" t="s">
        <v>4</v>
      </c>
      <c r="C97" s="2" t="str">
        <f t="shared" si="2"/>
        <v>8708111##</v>
      </c>
      <c r="D97" s="2"/>
      <c r="E97" s="2" t="str">
        <f>IFERROR(VLOOKUP(1*LEFT(C97,7),DF!$A$1:$F$9447,2,FALSE),"")</f>
        <v>CHALECO FUNDA BALISTICA BASICA RRD6 BLK</v>
      </c>
      <c r="F97" s="7">
        <v>8708111</v>
      </c>
      <c r="G97" t="s">
        <v>13329</v>
      </c>
      <c r="H97">
        <v>4</v>
      </c>
    </row>
    <row r="98" spans="1:9" x14ac:dyDescent="0.25">
      <c r="A98" s="2">
        <v>16522</v>
      </c>
      <c r="B98" s="2" t="s">
        <v>4</v>
      </c>
      <c r="C98" s="2" t="str">
        <f t="shared" ref="C98:C125" si="3">CONCATENATE(F98,"##")</f>
        <v>8708112##</v>
      </c>
      <c r="D98" s="2"/>
      <c r="E98" s="2" t="str">
        <f>IFERROR(VLOOKUP(1*LEFT(C98,7),DF!$A$1:$F$9447,2,FALSE),"")</f>
        <v>CHALECO FUNDA BALISTICA COMPL RRD7 BLK</v>
      </c>
      <c r="F98" s="7">
        <v>8708112</v>
      </c>
      <c r="G98" t="s">
        <v>13330</v>
      </c>
      <c r="H98">
        <v>7</v>
      </c>
    </row>
    <row r="99" spans="1:9" x14ac:dyDescent="0.25">
      <c r="A99">
        <v>16522</v>
      </c>
      <c r="B99" t="s">
        <v>4</v>
      </c>
      <c r="C99" t="str">
        <f t="shared" si="3"/>
        <v>8708999##</v>
      </c>
      <c r="E99" t="str">
        <f>IFERROR(VLOOKUP(1*LEFT(C99,7),DF!$A$1:$F$9447,2,FALSE),"")</f>
        <v>CHALECO FUNDA MAGAL CHICO MOLLE RRD/ET B</v>
      </c>
      <c r="F99">
        <v>8708999</v>
      </c>
      <c r="G99" t="s">
        <v>13331</v>
      </c>
      <c r="H99">
        <v>5</v>
      </c>
    </row>
    <row r="100" spans="1:9" x14ac:dyDescent="0.25">
      <c r="A100">
        <v>16522</v>
      </c>
      <c r="B100" t="s">
        <v>4</v>
      </c>
      <c r="C100" t="str">
        <f t="shared" si="3"/>
        <v>8708888##</v>
      </c>
      <c r="E100" t="str">
        <f>IFERROR(VLOOKUP(1*LEFT(C100,7),DF!$A$1:$F$9447,2,FALSE),"")</f>
        <v>CHALECO FUNDA MAGAL GRANDE MOLLE RRD/ET</v>
      </c>
      <c r="F100">
        <v>8708888</v>
      </c>
      <c r="G100" t="s">
        <v>13332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8708300##</v>
      </c>
      <c r="D101" s="2"/>
      <c r="E101" s="2" t="str">
        <f>IFERROR(VLOOKUP(1*LEFT(C101,7),DF!$A$1:$F$9447,2,FALSE),"")</f>
        <v>CHALECO FUNDA MOLLE</v>
      </c>
      <c r="F101" s="7">
        <v>8708300</v>
      </c>
      <c r="G101" t="s">
        <v>13333</v>
      </c>
      <c r="H101">
        <v>4</v>
      </c>
    </row>
    <row r="102" spans="1:9" x14ac:dyDescent="0.25">
      <c r="A102" s="2">
        <v>16522</v>
      </c>
      <c r="B102" s="2" t="s">
        <v>4</v>
      </c>
      <c r="C102" s="2" t="str">
        <f t="shared" si="3"/>
        <v>8708301##</v>
      </c>
      <c r="D102" s="2"/>
      <c r="E102" s="2" t="str">
        <f>IFERROR(VLOOKUP(1*LEFT(C102,7),DF!$A$1:$F$9447,2,FALSE),"")</f>
        <v>CHALECO FUNDA MOLLE PORTA NIVEL2</v>
      </c>
      <c r="F102" s="7">
        <v>8708301</v>
      </c>
      <c r="G102" t="s">
        <v>13334</v>
      </c>
      <c r="H102">
        <v>4</v>
      </c>
      <c r="I102">
        <v>1</v>
      </c>
    </row>
    <row r="103" spans="1:9" x14ac:dyDescent="0.25">
      <c r="A103" s="2">
        <v>16522</v>
      </c>
      <c r="B103" s="2" t="s">
        <v>4</v>
      </c>
      <c r="C103" s="2" t="str">
        <f t="shared" si="3"/>
        <v>2401806##</v>
      </c>
      <c r="D103" s="2"/>
      <c r="E103" s="2" t="str">
        <f>IFERROR(VLOOKUP(1*LEFT(C103,7),DF!$A$1:$F$9447,2,FALSE),"")</f>
        <v>CHALECO ISRAELI HALCON MAZ</v>
      </c>
      <c r="F103">
        <v>2401806</v>
      </c>
      <c r="G103" t="s">
        <v>14115</v>
      </c>
      <c r="H103">
        <v>4</v>
      </c>
    </row>
    <row r="104" spans="1:9" x14ac:dyDescent="0.25">
      <c r="A104" s="2">
        <v>16522</v>
      </c>
      <c r="B104" s="2" t="s">
        <v>4</v>
      </c>
      <c r="C104" s="2" t="str">
        <f t="shared" si="3"/>
        <v>2401298##</v>
      </c>
      <c r="D104" s="2"/>
      <c r="E104" s="2" t="str">
        <f>IFERROR(VLOOKUP(1*LEFT(C104,7),DF!$A$1:$F$9447,2,FALSE),"")</f>
        <v>CHALECO LANA AZUL MILTAR RER</v>
      </c>
      <c r="F104" s="7">
        <v>2401298</v>
      </c>
      <c r="G104" t="s">
        <v>13335</v>
      </c>
      <c r="H104">
        <v>3</v>
      </c>
      <c r="I104">
        <v>1</v>
      </c>
    </row>
    <row r="105" spans="1:9" x14ac:dyDescent="0.25">
      <c r="A105">
        <v>16522</v>
      </c>
      <c r="B105" t="s">
        <v>4</v>
      </c>
      <c r="C105" t="str">
        <f t="shared" si="3"/>
        <v>8708651##</v>
      </c>
      <c r="E105" t="str">
        <f>IFERROR(VLOOKUP(1*LEFT(C105,7),DF!$A$1:$F$9447,2,FALSE),"")</f>
        <v>CHALECO TACTICO MOLLE AIRSOFT/PAINTBALL</v>
      </c>
      <c r="F105">
        <v>8708651</v>
      </c>
      <c r="G105" t="s">
        <v>13336</v>
      </c>
      <c r="H105">
        <v>5</v>
      </c>
    </row>
    <row r="106" spans="1:9" x14ac:dyDescent="0.25">
      <c r="A106" s="2">
        <v>16522</v>
      </c>
      <c r="B106" s="2" t="s">
        <v>4</v>
      </c>
      <c r="C106" s="2" t="str">
        <f t="shared" si="3"/>
        <v>2401100##</v>
      </c>
      <c r="D106" s="2"/>
      <c r="E106" s="2" t="str">
        <f>IFERROR(VLOOKUP(1*LEFT(C106,7),DF!$A$1:$F$9447,2,FALSE),"")</f>
        <v>CHALECO TACTICO RRD3 BLK</v>
      </c>
      <c r="F106" s="7">
        <v>2401100</v>
      </c>
      <c r="G106" t="s">
        <v>13337</v>
      </c>
      <c r="H106">
        <v>3</v>
      </c>
    </row>
    <row r="107" spans="1:9" x14ac:dyDescent="0.25">
      <c r="A107" s="2">
        <v>16522</v>
      </c>
      <c r="B107" s="2" t="s">
        <v>4</v>
      </c>
      <c r="C107" s="2" t="str">
        <f t="shared" si="3"/>
        <v>8307810##</v>
      </c>
      <c r="D107" s="2"/>
      <c r="E107" s="2" t="str">
        <f>IFERROR(VLOOKUP(1*LEFT(C107,7),DF!$A$1:$F$9447,2,FALSE),"")</f>
        <v>CHAMBERGO DE PELO DE LIEBRE RER</v>
      </c>
      <c r="F107" s="7">
        <v>8307810</v>
      </c>
      <c r="G107" t="s">
        <v>13338</v>
      </c>
      <c r="H107">
        <v>5</v>
      </c>
    </row>
    <row r="108" spans="1:9" x14ac:dyDescent="0.25">
      <c r="A108">
        <v>16522</v>
      </c>
      <c r="B108" t="s">
        <v>4</v>
      </c>
      <c r="C108" t="str">
        <f t="shared" si="3"/>
        <v>5320787##</v>
      </c>
      <c r="E108" t="str">
        <f>IFERROR(VLOOKUP(1*LEFT(C108,7),DF!$A$1:$F$9447,2,FALSE),"")</f>
        <v>CHAQUETILLA POLICIA/PENIT 176N0110 FC</v>
      </c>
      <c r="F108">
        <v>5320787</v>
      </c>
      <c r="G108" t="s">
        <v>13339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2101300##</v>
      </c>
      <c r="D109" s="2"/>
      <c r="E109" s="2" t="str">
        <f>IFERROR(VLOOKUP(1*LEFT(C109,7),DF!$A$1:$F$9447,2,FALSE),"")</f>
        <v>CHOMBA MC CIERRE CIENTIFICA RER</v>
      </c>
      <c r="F109" s="7">
        <v>2101300</v>
      </c>
      <c r="G109" t="s">
        <v>13340</v>
      </c>
      <c r="H109">
        <v>3</v>
      </c>
      <c r="I109">
        <v>1</v>
      </c>
    </row>
    <row r="110" spans="1:9" x14ac:dyDescent="0.25">
      <c r="A110">
        <v>16522</v>
      </c>
      <c r="B110" t="s">
        <v>4</v>
      </c>
      <c r="C110" t="str">
        <f t="shared" si="3"/>
        <v>8601050##</v>
      </c>
      <c r="E110" t="str">
        <f>IFERROR(VLOOKUP(1*LEFT(C110,7),DF!$A$1:$F$9447,2,FALSE),"")</f>
        <v>CINTA DUCT TAPE DOBLE TELA SILVER PLATEA</v>
      </c>
      <c r="F110">
        <v>8601050</v>
      </c>
      <c r="G110" t="s">
        <v>13341</v>
      </c>
      <c r="H110">
        <v>4</v>
      </c>
    </row>
    <row r="111" spans="1:9" x14ac:dyDescent="0.25">
      <c r="A111">
        <v>16522</v>
      </c>
      <c r="B111" t="s">
        <v>4</v>
      </c>
      <c r="C111" t="str">
        <f t="shared" si="3"/>
        <v>8701093##</v>
      </c>
      <c r="E111" t="str">
        <f>IFERROR(VLOOKUP(1*LEFT(C111,7),DF!$A$1:$F$9447,2,FALSE),"")</f>
        <v>CINTO DELTA XTL 549 BEIGE XTR</v>
      </c>
      <c r="F111">
        <v>8701093</v>
      </c>
      <c r="G111" t="s">
        <v>13342</v>
      </c>
      <c r="H111">
        <v>1</v>
      </c>
    </row>
    <row r="112" spans="1:9" x14ac:dyDescent="0.25">
      <c r="A112">
        <v>16522</v>
      </c>
      <c r="B112" t="s">
        <v>4</v>
      </c>
      <c r="C112" t="str">
        <f t="shared" si="3"/>
        <v>8701090##</v>
      </c>
      <c r="E112" t="str">
        <f>IFERROR(VLOOKUP(1*LEFT(C112,7),DF!$A$1:$F$9447,2,FALSE),"")</f>
        <v>CINTO DELTA XTL 549 NEGRO XTR</v>
      </c>
      <c r="F112">
        <v>8701090</v>
      </c>
      <c r="G112" t="s">
        <v>13343</v>
      </c>
      <c r="H112">
        <v>1</v>
      </c>
    </row>
    <row r="113" spans="1:8" x14ac:dyDescent="0.25">
      <c r="A113">
        <v>16522</v>
      </c>
      <c r="B113" t="s">
        <v>4</v>
      </c>
      <c r="C113" t="str">
        <f t="shared" si="3"/>
        <v>8701092##</v>
      </c>
      <c r="E113" t="str">
        <f>IFERROR(VLOOKUP(1*LEFT(C113,7),DF!$A$1:$F$9447,2,FALSE),"")</f>
        <v>CINTO DELTA XTL 549 VERDE XTR</v>
      </c>
      <c r="F113">
        <v>8701092</v>
      </c>
      <c r="G113" t="s">
        <v>13344</v>
      </c>
      <c r="H113">
        <v>1</v>
      </c>
    </row>
    <row r="114" spans="1:8" x14ac:dyDescent="0.25">
      <c r="A114">
        <v>16522</v>
      </c>
      <c r="B114" t="s">
        <v>4</v>
      </c>
      <c r="C114" t="str">
        <f t="shared" si="3"/>
        <v>8701750##</v>
      </c>
      <c r="E114" t="str">
        <f>IFERROR(VLOOKUP(1*LEFT(C114,7),DF!$A$1:$F$9447,2,FALSE),"")</f>
        <v>CINTURON AMERIC GRIS T650 TB</v>
      </c>
      <c r="F114">
        <v>8701750</v>
      </c>
      <c r="G114" t="s">
        <v>13345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3"/>
        <v>8701541##</v>
      </c>
      <c r="E115" t="str">
        <f>IFERROR(VLOOKUP(1*LEFT(C115,7),DF!$A$1:$F$9447,2,FALSE),"")</f>
        <v>CINTURON AMERIC TRIPLE SEG 016 H RED RER</v>
      </c>
      <c r="F115">
        <v>8701541</v>
      </c>
      <c r="G115" t="s">
        <v>13346</v>
      </c>
      <c r="H115">
        <v>3</v>
      </c>
    </row>
    <row r="116" spans="1:8" x14ac:dyDescent="0.25">
      <c r="A116" s="2">
        <v>16522</v>
      </c>
      <c r="B116" s="2" t="s">
        <v>4</v>
      </c>
      <c r="C116" s="2" t="str">
        <f t="shared" si="3"/>
        <v>8701542##</v>
      </c>
      <c r="D116" s="2"/>
      <c r="E116" s="2" t="str">
        <f>IFERROR(VLOOKUP(1*LEFT(C116,7),DF!$A$1:$F$9447,2,FALSE),"")</f>
        <v>CINTURON AMERIC TRIPLE SEG 018 H CUA RER</v>
      </c>
      <c r="F116" s="7">
        <v>8701542</v>
      </c>
      <c r="G116" t="s">
        <v>13347</v>
      </c>
      <c r="H116">
        <v>4</v>
      </c>
    </row>
    <row r="117" spans="1:8" x14ac:dyDescent="0.25">
      <c r="A117">
        <v>16522</v>
      </c>
      <c r="B117" t="s">
        <v>4</v>
      </c>
      <c r="C117" t="str">
        <f t="shared" si="3"/>
        <v>8701999##</v>
      </c>
      <c r="E117" t="str">
        <f>IFERROR(VLOOKUP(1*LEFT(C117,7),DF!$A$1:$F$9447,2,FALSE),"")</f>
        <v>CINTURON CUERO 30 MM LMGE RER</v>
      </c>
      <c r="F117">
        <v>8701999</v>
      </c>
      <c r="G117" t="s">
        <v>13348</v>
      </c>
      <c r="H117">
        <v>4</v>
      </c>
    </row>
    <row r="118" spans="1:8" x14ac:dyDescent="0.25">
      <c r="A118">
        <v>16522</v>
      </c>
      <c r="B118" t="s">
        <v>4</v>
      </c>
      <c r="C118" t="str">
        <f t="shared" si="3"/>
        <v>8701735##</v>
      </c>
      <c r="E118" t="str">
        <f>IFERROR(VLOOKUP(1*LEFT(C118,7),DF!$A$1:$F$9447,2,FALSE),"")</f>
        <v>CINTURON CUERO OFICAL SIN DADO 1050 TB</v>
      </c>
      <c r="F118">
        <v>8701735</v>
      </c>
      <c r="G118" t="s">
        <v>13349</v>
      </c>
      <c r="H118">
        <v>4</v>
      </c>
    </row>
    <row r="119" spans="1:8" x14ac:dyDescent="0.25">
      <c r="A119">
        <v>16522</v>
      </c>
      <c r="B119" t="s">
        <v>4</v>
      </c>
      <c r="C119" t="str">
        <f t="shared" si="3"/>
        <v>8701033##</v>
      </c>
      <c r="E119" t="str">
        <f>IFERROR(VLOOKUP(1*LEFT(C119,7),DF!$A$1:$F$9447,2,FALSE),"")</f>
        <v>CINTURON CUERO OFICIAL CON DADO 1033 TB</v>
      </c>
      <c r="F119">
        <v>8701033</v>
      </c>
      <c r="G119" t="s">
        <v>13350</v>
      </c>
      <c r="H119">
        <v>3</v>
      </c>
    </row>
    <row r="120" spans="1:8" x14ac:dyDescent="0.25">
      <c r="A120">
        <v>16522</v>
      </c>
      <c r="B120" t="s">
        <v>4</v>
      </c>
      <c r="C120" t="str">
        <f t="shared" si="3"/>
        <v>8701856##</v>
      </c>
      <c r="E120" t="str">
        <f>IFERROR(VLOOKUP(1*LEFT(C120,7),DF!$A$1:$F$9447,2,FALSE),"")</f>
        <v>CINTURON RERDA DOBLEACCION GRIS RER</v>
      </c>
      <c r="F120">
        <v>8701856</v>
      </c>
      <c r="G120" t="s">
        <v>13351</v>
      </c>
      <c r="H120">
        <v>3</v>
      </c>
    </row>
    <row r="121" spans="1:8" x14ac:dyDescent="0.25">
      <c r="A121">
        <v>16522</v>
      </c>
      <c r="B121" t="s">
        <v>4</v>
      </c>
      <c r="C121" t="str">
        <f t="shared" si="3"/>
        <v>8701575##</v>
      </c>
      <c r="E121" t="str">
        <f>IFERROR(VLOOKUP(1*LEFT(C121,7),DF!$A$1:$F$9447,2,FALSE),"")</f>
        <v>CINTURON TACTICO C/HEBILLA METALICA 5575</v>
      </c>
      <c r="F121">
        <v>8701575</v>
      </c>
      <c r="G121" t="s">
        <v>13352</v>
      </c>
      <c r="H121">
        <v>3</v>
      </c>
    </row>
    <row r="122" spans="1:8" x14ac:dyDescent="0.25">
      <c r="A122">
        <v>16522</v>
      </c>
      <c r="B122" t="s">
        <v>4</v>
      </c>
      <c r="C122" t="str">
        <f t="shared" si="3"/>
        <v>8701495##</v>
      </c>
      <c r="E122" t="str">
        <f>IFERROR(VLOOKUP(1*LEFT(C122,7),DF!$A$1:$F$9447,2,FALSE),"")</f>
        <v>CINTURON TACTICO URBANO CHICO  5494/2</v>
      </c>
      <c r="F122">
        <v>8701495</v>
      </c>
      <c r="G122" t="s">
        <v>13353</v>
      </c>
      <c r="H122">
        <v>4</v>
      </c>
    </row>
    <row r="123" spans="1:8" x14ac:dyDescent="0.25">
      <c r="A123">
        <v>16522</v>
      </c>
      <c r="B123" t="s">
        <v>4</v>
      </c>
      <c r="C123" t="str">
        <f t="shared" si="3"/>
        <v>8701494##</v>
      </c>
      <c r="E123" t="str">
        <f>IFERROR(VLOOKUP(1*LEFT(C123,7),DF!$A$1:$F$9447,2,FALSE),"")</f>
        <v>CINTURON TACTICO URBANO GRANDE  5494/3</v>
      </c>
      <c r="F123">
        <v>8701494</v>
      </c>
      <c r="G123" t="s">
        <v>13354</v>
      </c>
      <c r="H123">
        <v>4</v>
      </c>
    </row>
    <row r="124" spans="1:8" x14ac:dyDescent="0.25">
      <c r="A124">
        <v>16522</v>
      </c>
      <c r="B124" t="s">
        <v>4</v>
      </c>
      <c r="C124" t="str">
        <f t="shared" si="3"/>
        <v>8614015##</v>
      </c>
      <c r="E124" t="str">
        <f>IFERROR(VLOOKUP(1*LEFT(C124,7),DF!$A$1:$F$9447,2,FALSE),"")</f>
        <v>COLCHON INFLABLE AVENLI 1 PLAZA 20411</v>
      </c>
      <c r="F124">
        <v>8614015</v>
      </c>
      <c r="G124" t="s">
        <v>13355</v>
      </c>
      <c r="H124">
        <v>5</v>
      </c>
    </row>
    <row r="125" spans="1:8" x14ac:dyDescent="0.25">
      <c r="A125">
        <v>16522</v>
      </c>
      <c r="B125" t="s">
        <v>4</v>
      </c>
      <c r="C125" t="str">
        <f t="shared" si="3"/>
        <v>8614016##</v>
      </c>
      <c r="E125" t="str">
        <f>IFERROR(VLOOKUP(1*LEFT(C125,7),DF!$A$1:$F$9447,2,FALSE),"")</f>
        <v>COLCHON INFLABLE AVENLI 2 PLAZA 20256</v>
      </c>
      <c r="F125">
        <v>8614016</v>
      </c>
      <c r="G125" t="s">
        <v>13356</v>
      </c>
      <c r="H125">
        <v>4</v>
      </c>
    </row>
    <row r="126" spans="1:8" x14ac:dyDescent="0.25">
      <c r="A126" s="2">
        <v>16522</v>
      </c>
      <c r="B126" s="2" t="s">
        <v>4</v>
      </c>
      <c r="C126" s="2" t="s">
        <v>12380</v>
      </c>
      <c r="D126" s="2"/>
      <c r="E126" s="2" t="str">
        <f>IFERROR(VLOOKUP(1*LEFT(C126,7),DF!$A$1:$F$9447,2,FALSE),"")</f>
        <v>CONJ DEPORTIVO AGENTES INFOPE RER</v>
      </c>
      <c r="F126">
        <v>3101102</v>
      </c>
      <c r="G126" t="s">
        <v>13357</v>
      </c>
      <c r="H126">
        <v>3</v>
      </c>
    </row>
    <row r="127" spans="1:8" x14ac:dyDescent="0.25">
      <c r="A127" s="2">
        <v>16522</v>
      </c>
      <c r="B127" s="2" t="s">
        <v>4</v>
      </c>
      <c r="C127" s="2" t="s">
        <v>12381</v>
      </c>
      <c r="D127" s="2"/>
      <c r="E127" s="2" t="str">
        <f>IFERROR(VLOOKUP(1*LEFT(C127,7),DF!$A$1:$F$9447,2,FALSE),"")</f>
        <v>CONJ DEPORTIVO AUXILIAR IUSP RER</v>
      </c>
      <c r="F127">
        <v>3101370</v>
      </c>
      <c r="G127" t="s">
        <v>13358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 t="shared" ref="C128:C191" si="4">CONCATENATE(F128,"##")</f>
        <v>3101102##</v>
      </c>
      <c r="D128" s="2"/>
      <c r="E128" s="2" t="str">
        <f>IFERROR(VLOOKUP(1*LEFT(C128,7),DF!$A$1:$F$9447,2,FALSE),"")</f>
        <v>CONJ DEPORTIVO TECNICO INFOPE RER</v>
      </c>
      <c r="F128">
        <v>3101102</v>
      </c>
      <c r="G128" t="s">
        <v>13357</v>
      </c>
      <c r="H128">
        <v>3</v>
      </c>
    </row>
    <row r="129" spans="1:8" x14ac:dyDescent="0.25">
      <c r="A129" s="2">
        <v>16522</v>
      </c>
      <c r="B129" s="2" t="s">
        <v>4</v>
      </c>
      <c r="C129" s="2" t="str">
        <f t="shared" si="4"/>
        <v>3101370##</v>
      </c>
      <c r="D129" s="2"/>
      <c r="E129" s="2" t="str">
        <f>IFERROR(VLOOKUP(1*LEFT(C129,7),DF!$A$1:$F$9447,2,FALSE),"")</f>
        <v>CONJ DEPORTIVO TECNICO IUSP RER</v>
      </c>
      <c r="F129">
        <v>3101370</v>
      </c>
      <c r="G129" t="s">
        <v>13358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8518753##</v>
      </c>
      <c r="D130" s="2"/>
      <c r="E130" s="2" t="str">
        <f>IFERROR(VLOOKUP(1*LEFT(C130,7),DF!$A$1:$F$9447,2,FALSE),"")</f>
        <v>CONJ MASCARA NEOPRENE Y GAFAS RER</v>
      </c>
      <c r="F130">
        <v>8518753</v>
      </c>
      <c r="G130" t="s">
        <v>13359</v>
      </c>
      <c r="H130">
        <v>3</v>
      </c>
    </row>
    <row r="131" spans="1:8" x14ac:dyDescent="0.25">
      <c r="A131" s="2">
        <v>16522</v>
      </c>
      <c r="B131" s="2" t="s">
        <v>4</v>
      </c>
      <c r="C131" s="2" t="str">
        <f t="shared" si="4"/>
        <v>3101949##</v>
      </c>
      <c r="D131" s="2"/>
      <c r="E131" s="2" t="str">
        <f>IFERROR(VLOOKUP(1*LEFT(C131,7),DF!$A$1:$F$9447,2,FALSE),"")</f>
        <v>CONJUNTO 1RA PIEL NEG/VER ART 0948532016</v>
      </c>
      <c r="F131">
        <v>3101949</v>
      </c>
      <c r="G131" t="s">
        <v>13360</v>
      </c>
      <c r="H131">
        <v>2</v>
      </c>
    </row>
    <row r="132" spans="1:8" x14ac:dyDescent="0.25">
      <c r="A132" s="2">
        <v>16522</v>
      </c>
      <c r="B132" s="2" t="s">
        <v>4</v>
      </c>
      <c r="C132" s="2" t="str">
        <f t="shared" si="4"/>
        <v>8515760##</v>
      </c>
      <c r="D132" s="2"/>
      <c r="E132" s="2" t="str">
        <f>IFERROR(VLOOKUP(1*LEFT(C132,7),DF!$A$1:$F$9447,2,FALSE),"")</f>
        <v>CORBATA UNIFORME GRIS JLC</v>
      </c>
      <c r="F132">
        <v>8515760</v>
      </c>
      <c r="G132" t="s">
        <v>13361</v>
      </c>
      <c r="H132">
        <v>1</v>
      </c>
    </row>
    <row r="133" spans="1:8" x14ac:dyDescent="0.25">
      <c r="A133" s="2">
        <v>16522</v>
      </c>
      <c r="B133" s="2" t="s">
        <v>4</v>
      </c>
      <c r="C133" s="2" t="str">
        <f t="shared" si="4"/>
        <v>8515749##</v>
      </c>
      <c r="D133" s="2"/>
      <c r="E133" s="2" t="str">
        <f>IFERROR(VLOOKUP(1*LEFT(C133,7),DF!$A$1:$F$9447,2,FALSE),"")</f>
        <v>CORBATA UNIFORME MARRON JLC</v>
      </c>
      <c r="F133">
        <v>8515749</v>
      </c>
      <c r="G133" t="s">
        <v>13362</v>
      </c>
      <c r="H133">
        <v>1</v>
      </c>
    </row>
    <row r="134" spans="1:8" x14ac:dyDescent="0.25">
      <c r="A134" s="2">
        <v>16522</v>
      </c>
      <c r="B134" s="2" t="s">
        <v>4</v>
      </c>
      <c r="C134" s="2" t="str">
        <f t="shared" si="4"/>
        <v>8515740##</v>
      </c>
      <c r="D134" s="2"/>
      <c r="E134" s="2" t="str">
        <f>IFERROR(VLOOKUP(1*LEFT(C134,7),DF!$A$1:$F$9447,2,FALSE),"")</f>
        <v>CORBATA UNIFORME VERDE JLC</v>
      </c>
      <c r="F134">
        <v>8515740</v>
      </c>
      <c r="G134" t="s">
        <v>13363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4"/>
        <v>8508132##</v>
      </c>
      <c r="E135" t="str">
        <f>IFERROR(VLOOKUP(1*LEFT(C135,7),DF!$A$1:$F$9447,2,FALSE),"")</f>
        <v>CREMA PARA BORCEGUIES RER</v>
      </c>
      <c r="F135">
        <v>8508132</v>
      </c>
      <c r="G135" t="s">
        <v>13364</v>
      </c>
      <c r="H135">
        <v>2</v>
      </c>
    </row>
    <row r="136" spans="1:8" x14ac:dyDescent="0.25">
      <c r="A136">
        <v>16522</v>
      </c>
      <c r="B136" t="s">
        <v>4</v>
      </c>
      <c r="C136" t="str">
        <f t="shared" si="4"/>
        <v>8521024##</v>
      </c>
      <c r="E136" t="str">
        <f>IFERROR(VLOOKUP(1*LEFT(C136,7),DF!$A$1:$F$9447,2,FALSE),"")</f>
        <v>CUCHILLO 2175 27CM</v>
      </c>
      <c r="F136">
        <v>8521024</v>
      </c>
      <c r="G136" t="s">
        <v>13365</v>
      </c>
      <c r="H136">
        <v>4</v>
      </c>
    </row>
    <row r="137" spans="1:8" x14ac:dyDescent="0.25">
      <c r="A137" s="2">
        <v>16522</v>
      </c>
      <c r="B137" s="2" t="s">
        <v>4</v>
      </c>
      <c r="C137" s="2" t="str">
        <f t="shared" si="4"/>
        <v>8521040##</v>
      </c>
      <c r="D137" s="2"/>
      <c r="E137" s="2" t="str">
        <f>IFERROR(VLOOKUP(1*LEFT(C137,7),DF!$A$1:$F$9447,2,FALSE),"")</f>
        <v>CUCHILLO DA1 FUNDA NEGRA</v>
      </c>
      <c r="F137">
        <v>8521040</v>
      </c>
      <c r="G137" t="s">
        <v>13366</v>
      </c>
      <c r="H137">
        <v>6</v>
      </c>
    </row>
    <row r="138" spans="1:8" x14ac:dyDescent="0.25">
      <c r="A138">
        <v>16522</v>
      </c>
      <c r="B138" t="s">
        <v>4</v>
      </c>
      <c r="C138" t="str">
        <f t="shared" si="4"/>
        <v>8521102##</v>
      </c>
      <c r="E138" t="str">
        <f>IFERROR(VLOOKUP(1*LEFT(C138,7),DF!$A$1:$F$9447,2,FALSE),"")</f>
        <v>CUCHILLO NEGRO C/FUNDA Y AFILADOR 0812-14 IMP</v>
      </c>
      <c r="F138">
        <v>8521102</v>
      </c>
      <c r="G138" t="s">
        <v>13367</v>
      </c>
      <c r="H138">
        <v>10</v>
      </c>
    </row>
    <row r="139" spans="1:8" x14ac:dyDescent="0.25">
      <c r="A139" s="2">
        <v>16522</v>
      </c>
      <c r="B139" s="2" t="s">
        <v>4</v>
      </c>
      <c r="C139" s="2" t="str">
        <f t="shared" si="4"/>
        <v>7709204##</v>
      </c>
      <c r="D139" s="2"/>
      <c r="E139" s="2" t="str">
        <f>IFERROR(VLOOKUP(1*LEFT(C139,7),DF!$A$1:$F$9447,2,FALSE),"")</f>
        <v>ESC BORD CATACPOL</v>
      </c>
      <c r="F139">
        <v>7709204</v>
      </c>
      <c r="G139" t="s">
        <v>13368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 t="shared" si="4"/>
        <v>7709203##</v>
      </c>
      <c r="D140" s="2"/>
      <c r="E140" s="2" t="str">
        <f>IFERROR(VLOOKUP(1*LEFT(C140,7),DF!$A$1:$F$9447,2,FALSE),"")</f>
        <v>ESC BORD CATACPOL   BAJA VISIV</v>
      </c>
      <c r="F140">
        <v>7709203</v>
      </c>
      <c r="G140" t="s">
        <v>13369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 t="shared" si="4"/>
        <v>7709440##</v>
      </c>
      <c r="D141" s="2"/>
      <c r="E141" s="2" t="str">
        <f>IFERROR(VLOOKUP(1*LEFT(C141,7),DF!$A$1:$F$9447,2,FALSE),"")</f>
        <v>ESC BORD CATAM. POL OFICIAL 36</v>
      </c>
      <c r="F141">
        <v>7709440</v>
      </c>
      <c r="G141" t="s">
        <v>13370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4"/>
        <v>7709459##</v>
      </c>
      <c r="E142" t="str">
        <f>IFERROR(VLOOKUP(1*LEFT(C142,7),DF!$A$1:$F$9447,2,FALSE),"")</f>
        <v>ESC BORD G.N.  (BRAZO)</v>
      </c>
      <c r="F142" s="7">
        <v>7709459</v>
      </c>
      <c r="G142" t="s">
        <v>13371</v>
      </c>
      <c r="H142">
        <v>1</v>
      </c>
    </row>
    <row r="143" spans="1:8" x14ac:dyDescent="0.25">
      <c r="A143" s="2">
        <v>16522</v>
      </c>
      <c r="B143" s="2" t="s">
        <v>4</v>
      </c>
      <c r="C143" s="2" t="str">
        <f t="shared" si="4"/>
        <v>7709439##</v>
      </c>
      <c r="D143" s="2"/>
      <c r="E143" s="2" t="str">
        <f>IFERROR(VLOOKUP(1*LEFT(C143,7),DF!$A$1:$F$9447,2,FALSE),"")</f>
        <v>ESC BORD JUJUY POLICIA BB TVS434-2</v>
      </c>
      <c r="F143">
        <v>7709439</v>
      </c>
      <c r="G143" t="s">
        <v>13372</v>
      </c>
      <c r="H143">
        <v>1</v>
      </c>
    </row>
    <row r="144" spans="1:8" x14ac:dyDescent="0.25">
      <c r="A144" s="2">
        <v>16522</v>
      </c>
      <c r="B144" s="2" t="s">
        <v>4</v>
      </c>
      <c r="C144" s="2" t="str">
        <f t="shared" si="4"/>
        <v>7709833##</v>
      </c>
      <c r="D144" s="2"/>
      <c r="E144" s="2" t="str">
        <f>IFERROR(VLOOKUP(1*LEFT(C144,7),DF!$A$1:$F$9447,2,FALSE),"")</f>
        <v>ESC BORD LA RIOJA POLICIA   TVS 515</v>
      </c>
      <c r="F144">
        <v>7709833</v>
      </c>
      <c r="G144" t="s">
        <v>13373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4"/>
        <v>7709654##</v>
      </c>
      <c r="E145" t="str">
        <f>IFERROR(VLOOKUP(1*LEFT(C145,7),DF!$A$1:$F$9447,2,FALSE),"")</f>
        <v>ESC BORD MZA B CIVICO    BARG</v>
      </c>
      <c r="F145" s="7">
        <v>7709654</v>
      </c>
      <c r="G145" t="s">
        <v>13374</v>
      </c>
      <c r="H145">
        <v>1</v>
      </c>
    </row>
    <row r="146" spans="1:8" x14ac:dyDescent="0.25">
      <c r="A146">
        <v>16522</v>
      </c>
      <c r="B146" t="s">
        <v>4</v>
      </c>
      <c r="C146" t="str">
        <f t="shared" si="4"/>
        <v>7709855##</v>
      </c>
      <c r="E146" t="str">
        <f>IFERROR(VLOOKUP(1*LEFT(C146,7),DF!$A$1:$F$9447,2,FALSE),"")</f>
        <v>ESC BORD MZA BANDA DE MUSICA GUSTAVO BAR</v>
      </c>
      <c r="F146" s="7">
        <v>7709855</v>
      </c>
      <c r="G146" t="s">
        <v>13375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4"/>
        <v>7709365##</v>
      </c>
      <c r="E147" s="2" t="str">
        <f>IFERROR(VLOOKUP(1*LEFT(C147,7),DF!$A$1:$F$9447,2,FALSE),"")</f>
        <v>ESC BORD MZA BOINA  INFANTERIA     BARG</v>
      </c>
      <c r="F147" s="7">
        <v>7709365</v>
      </c>
      <c r="G147" t="s">
        <v>13376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4"/>
        <v>7709101##</v>
      </c>
      <c r="E148" s="2" t="str">
        <f>IFERROR(VLOOKUP(1*LEFT(C148,7),DF!$A$1:$F$9447,2,FALSE),"")</f>
        <v>ESC BORD MZA BOINA CABALLERIA     BARG</v>
      </c>
      <c r="F148" s="7">
        <v>7709101</v>
      </c>
      <c r="G148" t="s">
        <v>13377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4"/>
        <v>7709364##</v>
      </c>
      <c r="E149" s="2" t="str">
        <f>IFERROR(VLOOKUP(1*LEFT(C149,7),DF!$A$1:$F$9447,2,FALSE),"")</f>
        <v>ESC BORD MZA BOINA CANES</v>
      </c>
      <c r="F149" s="7">
        <v>7709364</v>
      </c>
      <c r="G149" t="s">
        <v>13378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4"/>
        <v>7709021##</v>
      </c>
      <c r="E150" s="2" t="str">
        <f>IFERROR(VLOOKUP(1*LEFT(C150,7),DF!$A$1:$F$9447,2,FALSE),"")</f>
        <v>ESC BORD MZA BOINA GEOP</v>
      </c>
      <c r="F150" s="7">
        <v>7709021</v>
      </c>
      <c r="G150" t="s">
        <v>13379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4"/>
        <v>7709401##</v>
      </c>
      <c r="E151" s="2" t="str">
        <f>IFERROR(VLOOKUP(1*LEFT(C151,7),DF!$A$1:$F$9447,2,FALSE),"")</f>
        <v>ESC BORD MZA BOINA GES       BARG</v>
      </c>
      <c r="F151" s="7">
        <v>7709401</v>
      </c>
      <c r="G151" t="s">
        <v>13380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4"/>
        <v>7709233##</v>
      </c>
      <c r="E152" s="2" t="str">
        <f>IFERROR(VLOOKUP(1*LEFT(C152,7),DF!$A$1:$F$9447,2,FALSE),"")</f>
        <v>ESC BORD MZA BOINA LICEO LMGE BARG</v>
      </c>
      <c r="F152" s="7">
        <v>7709233</v>
      </c>
      <c r="G152" t="s">
        <v>13381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4"/>
        <v>7709016##</v>
      </c>
      <c r="E153" s="2" t="str">
        <f>IFERROR(VLOOKUP(1*LEFT(C153,7),DF!$A$1:$F$9447,2,FALSE),"")</f>
        <v>ESC BORD MZA BOINA MOTORIZADA   BARG</v>
      </c>
      <c r="F153" s="7">
        <v>7709016</v>
      </c>
      <c r="G153" t="s">
        <v>13382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4"/>
        <v>7709572##</v>
      </c>
      <c r="E154" t="str">
        <f>IFERROR(VLOOKUP(1*LEFT(C154,7),DF!$A$1:$F$9447,2,FALSE),"")</f>
        <v>ESC BORD MZA BOMBEROS          BARG</v>
      </c>
      <c r="F154" s="7">
        <v>7709572</v>
      </c>
      <c r="G154" t="s">
        <v>13383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4"/>
        <v>7709103##</v>
      </c>
      <c r="E155" t="str">
        <f>IFERROR(VLOOKUP(1*LEFT(C155,7),DF!$A$1:$F$9447,2,FALSE),"")</f>
        <v>ESC BORD MZA BRAZO GES</v>
      </c>
      <c r="F155" s="7">
        <v>7709103</v>
      </c>
      <c r="G155" t="s">
        <v>13384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4"/>
        <v>7709103##</v>
      </c>
      <c r="D156" s="2"/>
      <c r="E156" s="2" t="str">
        <f>IFERROR(VLOOKUP(1*LEFT(C156,7),DF!$A$1:$F$9447,2,FALSE),"")</f>
        <v>ESC BORD MZA BRAZO GES</v>
      </c>
      <c r="F156">
        <v>7709103</v>
      </c>
      <c r="G156" t="s">
        <v>13384</v>
      </c>
      <c r="H156">
        <v>1</v>
      </c>
    </row>
    <row r="157" spans="1:8" x14ac:dyDescent="0.25">
      <c r="A157">
        <v>16522</v>
      </c>
      <c r="B157" t="s">
        <v>4</v>
      </c>
      <c r="C157" t="str">
        <f t="shared" si="4"/>
        <v>7709753##</v>
      </c>
      <c r="E157" t="str">
        <f>IFERROR(VLOOKUP(1*LEFT(C157,7),DF!$A$1:$F$9447,2,FALSE),"")</f>
        <v>ESC BORD MZA CABALLERIA TV 424-14</v>
      </c>
      <c r="F157" s="7">
        <v>7709753</v>
      </c>
      <c r="G157" t="s">
        <v>13385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4"/>
        <v>7709854##</v>
      </c>
      <c r="E158" t="str">
        <f>IFERROR(VLOOKUP(1*LEFT(C158,7),DF!$A$1:$F$9447,2,FALSE),"")</f>
        <v>ESC BORD MZA CANES BRAZO</v>
      </c>
      <c r="F158" s="7">
        <v>7709854</v>
      </c>
      <c r="G158" t="s">
        <v>13386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4"/>
        <v>7709017##</v>
      </c>
      <c r="D159" s="2"/>
      <c r="E159" s="2" t="str">
        <f>IFERROR(VLOOKUP(1*LEFT(C159,7),DF!$A$1:$F$9447,2,FALSE),"")</f>
        <v>ESC BORD MZA DEFENSA CIVIL</v>
      </c>
      <c r="F159">
        <v>7709017</v>
      </c>
      <c r="G159" t="s">
        <v>13387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4"/>
        <v>7709625##</v>
      </c>
      <c r="E160" t="str">
        <f>IFERROR(VLOOKUP(1*LEFT(C160,7),DF!$A$1:$F$9447,2,FALSE),"")</f>
        <v>ESC BORD MZA INFANTERIA BAJA V. TV</v>
      </c>
      <c r="F160" s="7">
        <v>7709625</v>
      </c>
      <c r="G160" t="s">
        <v>13388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4"/>
        <v>7709158##</v>
      </c>
      <c r="D161" s="2"/>
      <c r="E161" s="2" t="str">
        <f>IFERROR(VLOOKUP(1*LEFT(C161,7),DF!$A$1:$F$9447,2,FALSE),"")</f>
        <v>ESC BORD MZA INFANTERIA BELGRANO</v>
      </c>
      <c r="F161">
        <v>7709158</v>
      </c>
      <c r="G161" t="s">
        <v>13389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4"/>
        <v>7709238##</v>
      </c>
      <c r="D162" s="2"/>
      <c r="E162" s="2" t="str">
        <f>IFERROR(VLOOKUP(1*LEFT(C162,7),DF!$A$1:$F$9447,2,FALSE),"")</f>
        <v>ESC BORD MZA IUSP B.VISIB. CUERPO INSTR.</v>
      </c>
      <c r="F162">
        <v>7709238</v>
      </c>
      <c r="G162" t="s">
        <v>13390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4"/>
        <v>7709139##</v>
      </c>
      <c r="E163" t="str">
        <f>IFERROR(VLOOKUP(1*LEFT(C163,7),DF!$A$1:$F$9447,2,FALSE),"")</f>
        <v>ESC BORD MZA IUSP BEIGE CUERPO INSTR.</v>
      </c>
      <c r="F163" s="7">
        <v>7709139</v>
      </c>
      <c r="G163" t="s">
        <v>13391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4"/>
        <v>7709138##</v>
      </c>
      <c r="E164" t="str">
        <f>IFERROR(VLOOKUP(1*LEFT(C164,7),DF!$A$1:$F$9447,2,FALSE),"")</f>
        <v>ESC BORD MZA IUSP DE BRAZO TVS413-2 16.5</v>
      </c>
      <c r="F164" s="7">
        <v>7709138</v>
      </c>
      <c r="G164" t="s">
        <v>13392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 t="shared" si="4"/>
        <v>7709137##</v>
      </c>
      <c r="D165" s="2"/>
      <c r="E165" s="2" t="str">
        <f>IFERROR(VLOOKUP(1*LEFT(C165,7),DF!$A$1:$F$9447,2,FALSE),"")</f>
        <v>ESC BORD MZA IUSP PENITENCIARIO</v>
      </c>
      <c r="F165">
        <v>7709137</v>
      </c>
      <c r="G165" t="s">
        <v>13393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 t="shared" si="4"/>
        <v>7709043##</v>
      </c>
      <c r="D166" s="2"/>
      <c r="E166" s="2" t="str">
        <f>IFERROR(VLOOKUP(1*LEFT(C166,7),DF!$A$1:$F$9447,2,FALSE),"")</f>
        <v>ESC BORD MZA JEFATURA DEPART.CORRED BARG</v>
      </c>
      <c r="F166">
        <v>7709043</v>
      </c>
      <c r="G166" t="s">
        <v>13394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4"/>
        <v>7709041##</v>
      </c>
      <c r="E167" t="str">
        <f>IFERROR(VLOOKUP(1*LEFT(C167,7),DF!$A$1:$F$9447,2,FALSE),"")</f>
        <v>ESC BORD MZA JEFATURA DEPARTAMENT</v>
      </c>
      <c r="F167" s="7">
        <v>7709041</v>
      </c>
      <c r="G167" t="s">
        <v>13395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4"/>
        <v>7709754##</v>
      </c>
      <c r="E168" t="str">
        <f>IFERROR(VLOOKUP(1*LEFT(C168,7),DF!$A$1:$F$9447,2,FALSE),"")</f>
        <v>ESC BORD MZA MOTORIZADA B VISIB.  BARG</v>
      </c>
      <c r="F168" s="7">
        <v>7709754</v>
      </c>
      <c r="G168" t="s">
        <v>13396</v>
      </c>
      <c r="H168">
        <v>1</v>
      </c>
    </row>
    <row r="169" spans="1:8" x14ac:dyDescent="0.25">
      <c r="A169" s="2">
        <v>16522</v>
      </c>
      <c r="B169" s="2" t="s">
        <v>4</v>
      </c>
      <c r="C169" s="2" t="str">
        <f t="shared" si="4"/>
        <v>7709246##</v>
      </c>
      <c r="D169" s="2"/>
      <c r="E169" s="2" t="str">
        <f>IFERROR(VLOOKUP(1*LEFT(C169,7),DF!$A$1:$F$9447,2,FALSE),"")</f>
        <v>ESC BORD MZA OF JEFES Y SUP BEIGE</v>
      </c>
      <c r="F169">
        <v>7709246</v>
      </c>
      <c r="G169" t="s">
        <v>13397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4"/>
        <v>7709245##</v>
      </c>
      <c r="E170" t="str">
        <f>IFERROR(VLOOKUP(1*LEFT(C170,7),DF!$A$1:$F$9447,2,FALSE),"")</f>
        <v>ESC BORD MZA OF. JEFES  Y SUP</v>
      </c>
      <c r="F170" s="7">
        <v>7709245</v>
      </c>
      <c r="G170" t="s">
        <v>13398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4"/>
        <v>7709867##</v>
      </c>
      <c r="E171" t="str">
        <f>IFERROR(VLOOKUP(1*LEFT(C171,7),DF!$A$1:$F$9447,2,FALSE),"")</f>
        <v>ESC BORD MZA PENIT ALMAF. BD</v>
      </c>
      <c r="F171" s="7">
        <v>7709867</v>
      </c>
      <c r="G171" t="s">
        <v>13399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4"/>
        <v>7709393##</v>
      </c>
      <c r="E172" s="2" t="str">
        <f>IFERROR(VLOOKUP(1*LEFT(C172,7),DF!$A$1:$F$9447,2,FALSE),"")</f>
        <v>ESC BORD MZA PENIT BOINA SERP BAJA VIS</v>
      </c>
      <c r="F172">
        <v>7709393</v>
      </c>
      <c r="G172" t="s">
        <v>13400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4"/>
        <v>7709394##</v>
      </c>
      <c r="E173" s="2" t="str">
        <f>IFERROR(VLOOKUP(1*LEFT(C173,7),DF!$A$1:$F$9447,2,FALSE),"")</f>
        <v>ESC BORD MZA PENIT BOINA SERP BARG</v>
      </c>
      <c r="F173" s="7">
        <v>7709394</v>
      </c>
      <c r="G173" t="s">
        <v>13401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4"/>
        <v>7709396##</v>
      </c>
      <c r="E174" t="str">
        <f>IFERROR(VLOOKUP(1*LEFT(C174,7),DF!$A$1:$F$9447,2,FALSE),"")</f>
        <v>ESC BORD MZA PENIT DIVISION TRASLADO</v>
      </c>
      <c r="F174" s="7">
        <v>7709396</v>
      </c>
      <c r="G174" t="s">
        <v>13402</v>
      </c>
      <c r="H174">
        <v>2</v>
      </c>
    </row>
    <row r="175" spans="1:8" x14ac:dyDescent="0.25">
      <c r="A175">
        <v>16522</v>
      </c>
      <c r="B175" t="s">
        <v>4</v>
      </c>
      <c r="C175" t="str">
        <f t="shared" si="4"/>
        <v>7709600##</v>
      </c>
      <c r="E175" t="str">
        <f>IFERROR(VLOOKUP(1*LEFT(C175,7),DF!$A$1:$F$9447,2,FALSE),"")</f>
        <v>ESC BORD MZA PENIT INFOPE         BARG</v>
      </c>
      <c r="F175" s="7">
        <v>7709600</v>
      </c>
      <c r="G175" t="s">
        <v>13403</v>
      </c>
      <c r="H175">
        <v>1</v>
      </c>
    </row>
    <row r="176" spans="1:8" x14ac:dyDescent="0.25">
      <c r="A176" s="2">
        <v>16522</v>
      </c>
      <c r="B176" s="2" t="s">
        <v>4</v>
      </c>
      <c r="C176" s="2" t="str">
        <f t="shared" si="4"/>
        <v>7709422##</v>
      </c>
      <c r="D176" s="2"/>
      <c r="E176" s="2" t="str">
        <f>IFERROR(VLOOKUP(1*LEFT(C176,7),DF!$A$1:$F$9447,2,FALSE),"")</f>
        <v>ESC BORD MZA PENIT SEG EXT FONDO GRIS</v>
      </c>
      <c r="F176">
        <v>7709422</v>
      </c>
      <c r="G176" t="s">
        <v>13404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7709421##</v>
      </c>
      <c r="E177" t="str">
        <f>IFERROR(VLOOKUP(1*LEFT(C177,7),DF!$A$1:$F$9447,2,FALSE),"")</f>
        <v>ESC BORD MZA PENIT SEG EXT FONDO NEGRO</v>
      </c>
      <c r="F177" s="7">
        <v>7709421</v>
      </c>
      <c r="G177" t="s">
        <v>13405</v>
      </c>
      <c r="H177">
        <v>2</v>
      </c>
    </row>
    <row r="178" spans="1:8" x14ac:dyDescent="0.25">
      <c r="A178" s="2">
        <v>16522</v>
      </c>
      <c r="B178" s="2" t="s">
        <v>4</v>
      </c>
      <c r="C178" s="2" t="str">
        <f t="shared" si="4"/>
        <v>7709458##</v>
      </c>
      <c r="D178" s="2"/>
      <c r="E178" s="2" t="str">
        <f>IFERROR(VLOOKUP(1*LEFT(C178,7),DF!$A$1:$F$9447,2,FALSE),"")</f>
        <v>ESC BORD MZA PENIT SERP BORDO     BARG</v>
      </c>
      <c r="F178">
        <v>7709458</v>
      </c>
      <c r="G178" t="s">
        <v>13406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7709456##</v>
      </c>
      <c r="E179" t="str">
        <f>IFERROR(VLOOKUP(1*LEFT(C179,7),DF!$A$1:$F$9447,2,FALSE),"")</f>
        <v>ESC BORD MZA PENIT SERP BV   BARG</v>
      </c>
      <c r="F179" s="7">
        <v>7709456</v>
      </c>
      <c r="G179" t="s">
        <v>13407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4"/>
        <v>7709712##</v>
      </c>
      <c r="E180" t="str">
        <f>IFERROR(VLOOKUP(1*LEFT(C180,7),DF!$A$1:$F$9447,2,FALSE),"")</f>
        <v>ESC BORD MZA PENIT. CONDOR  BARG</v>
      </c>
      <c r="F180" s="7">
        <v>7709712</v>
      </c>
      <c r="G180" t="s">
        <v>13408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4"/>
        <v>7709360##</v>
      </c>
      <c r="E181" t="str">
        <f>IFERROR(VLOOKUP(1*LEFT(C181,7),DF!$A$1:$F$9447,2,FALSE),"")</f>
        <v>ESC BORD MZA PENIT. GEOP</v>
      </c>
      <c r="F181" s="7">
        <v>7709360</v>
      </c>
      <c r="G181" t="s">
        <v>13409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4"/>
        <v>7709419##</v>
      </c>
      <c r="D182" s="2"/>
      <c r="E182" s="2" t="str">
        <f>IFERROR(VLOOKUP(1*LEFT(C182,7),DF!$A$1:$F$9447,2,FALSE),"")</f>
        <v>ESC BORD MZA PENIT.OFICIAL SUPER</v>
      </c>
      <c r="F182">
        <v>7709419</v>
      </c>
      <c r="G182" t="s">
        <v>13410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4"/>
        <v>7709547##</v>
      </c>
      <c r="E183" t="str">
        <f>IFERROR(VLOOKUP(1*LEFT(C183,7),DF!$A$1:$F$9447,2,FALSE),"")</f>
        <v>ESC BORD MZA POL BAJA VISIBILID</v>
      </c>
      <c r="F183" s="7">
        <v>7709547</v>
      </c>
      <c r="G183" t="s">
        <v>13411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4"/>
        <v>7709756##</v>
      </c>
      <c r="E184" t="str">
        <f>IFERROR(VLOOKUP(1*LEFT(C184,7),DF!$A$1:$F$9447,2,FALSE),"")</f>
        <v>ESC BORD MZA POL MOTORIZADA AZ/DOR BARG</v>
      </c>
      <c r="F184" s="7">
        <v>7709756</v>
      </c>
      <c r="G184" t="s">
        <v>13412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4"/>
        <v>7709333##</v>
      </c>
      <c r="E185" t="str">
        <f>IFERROR(VLOOKUP(1*LEFT(C185,7),DF!$A$1:$F$9447,2,FALSE),"")</f>
        <v>ESC BORD MZA POL VIEJO MODELO   BARG</v>
      </c>
      <c r="F185" s="7">
        <v>7709333</v>
      </c>
      <c r="G185" t="s">
        <v>13413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4"/>
        <v>7709665##</v>
      </c>
      <c r="E186" t="str">
        <f>IFERROR(VLOOKUP(1*LEFT(C186,7),DF!$A$1:$F$9447,2,FALSE),"")</f>
        <v>ESC BORD MZA POL. NUEVO MODELO BARG</v>
      </c>
      <c r="F186" s="7">
        <v>7709665</v>
      </c>
      <c r="G186" t="s">
        <v>13414</v>
      </c>
      <c r="H186">
        <v>1</v>
      </c>
    </row>
    <row r="187" spans="1:8" x14ac:dyDescent="0.25">
      <c r="A187" s="2">
        <v>16522</v>
      </c>
      <c r="B187" s="2" t="s">
        <v>4</v>
      </c>
      <c r="C187" s="2" t="str">
        <f t="shared" si="4"/>
        <v>7709858##</v>
      </c>
      <c r="D187" s="2"/>
      <c r="E187" s="2" t="str">
        <f>IFERROR(VLOOKUP(1*LEFT(C187,7),DF!$A$1:$F$9447,2,FALSE),"")</f>
        <v>ESC BORD MZA POLI IUSP GUARDIA</v>
      </c>
      <c r="F187">
        <v>7709858</v>
      </c>
      <c r="G187" t="s">
        <v>13415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4"/>
        <v>7709650##</v>
      </c>
      <c r="E188" t="str">
        <f>IFERROR(VLOOKUP(1*LEFT(C188,7),DF!$A$1:$F$9447,2,FALSE),"")</f>
        <v>ESC BORD MZA POLICIA CIENTIFICA</v>
      </c>
      <c r="F188" s="7">
        <v>7709650</v>
      </c>
      <c r="G188" t="s">
        <v>13416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4"/>
        <v>7709680##</v>
      </c>
      <c r="E189" t="str">
        <f>IFERROR(VLOOKUP(1*LEFT(C189,7),DF!$A$1:$F$9447,2,FALSE),"")</f>
        <v>ESC BORD MZA RURAL  MANGA TVS</v>
      </c>
      <c r="F189" s="7">
        <v>7709680</v>
      </c>
      <c r="G189" t="s">
        <v>13417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4"/>
        <v>7709943##</v>
      </c>
      <c r="E190" t="str">
        <f>IFERROR(VLOOKUP(1*LEFT(C190,7),DF!$A$1:$F$9447,2,FALSE),"")</f>
        <v>ESC BORD MZA SANIDAD POLICIAL</v>
      </c>
      <c r="F190" s="7">
        <v>7709943</v>
      </c>
      <c r="G190" t="s">
        <v>13418</v>
      </c>
      <c r="H190">
        <v>2</v>
      </c>
    </row>
    <row r="191" spans="1:8" x14ac:dyDescent="0.25">
      <c r="A191">
        <v>16522</v>
      </c>
      <c r="B191" t="s">
        <v>4</v>
      </c>
      <c r="C191" t="str">
        <f t="shared" si="4"/>
        <v>7709786##</v>
      </c>
      <c r="E191" t="str">
        <f>IFERROR(VLOOKUP(1*LEFT(C191,7),DF!$A$1:$F$9447,2,FALSE),"")</f>
        <v>ESC BORD MZA TRANVIA</v>
      </c>
      <c r="F191" s="7">
        <v>7709786</v>
      </c>
      <c r="G191" t="s">
        <v>13419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ref="C192:C255" si="5">CONCATENATE(F192,"##")</f>
        <v>7709330##</v>
      </c>
      <c r="E192" s="2" t="str">
        <f>IFERROR(VLOOKUP(1*LEFT(C192,7),DF!$A$1:$F$9447,2,FALSE),"")</f>
        <v>ESC BORD MZA U.A.R BOINA UNIDAD ACCION P</v>
      </c>
      <c r="F192" s="7">
        <v>7709330</v>
      </c>
      <c r="G192" t="s">
        <v>13420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5"/>
        <v>7709013##</v>
      </c>
      <c r="E193" s="2" t="str">
        <f>IFERROR(VLOOKUP(1*LEFT(C193,7),DF!$A$1:$F$9447,2,FALSE),"")</f>
        <v>ESC BORD MZA UAP BOINA</v>
      </c>
      <c r="F193">
        <v>7709013</v>
      </c>
      <c r="G193" t="s">
        <v>13421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5"/>
        <v>7709014##</v>
      </c>
      <c r="E194" s="2" t="str">
        <f>IFERROR(VLOOKUP(1*LEFT(C194,7),DF!$A$1:$F$9447,2,FALSE),"")</f>
        <v>ESC BORD MZA UCAR BOINA   UCAR</v>
      </c>
      <c r="F194" s="7">
        <v>7709014</v>
      </c>
      <c r="G194" t="s">
        <v>13422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5"/>
        <v>7709380##</v>
      </c>
      <c r="E195" t="str">
        <f>IFERROR(VLOOKUP(1*LEFT(C195,7),DF!$A$1:$F$9447,2,FALSE),"")</f>
        <v>ESC BORD MZA UCAR MANGA BB TVS424-0</v>
      </c>
      <c r="F195" s="7">
        <v>7709380</v>
      </c>
      <c r="G195" t="s">
        <v>13423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5"/>
        <v>7709661##</v>
      </c>
      <c r="E196" t="str">
        <f>IFERROR(VLOOKUP(1*LEFT(C196,7),DF!$A$1:$F$9447,2,FALSE),"")</f>
        <v>ESC BORD MZA UEP BAJA TUPUNGATO</v>
      </c>
      <c r="F196" s="7">
        <v>7709661</v>
      </c>
      <c r="G196" t="s">
        <v>13424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5"/>
        <v>7709653##</v>
      </c>
      <c r="E197" s="2" t="str">
        <f>IFERROR(VLOOKUP(1*LEFT(C197,7),DF!$A$1:$F$9447,2,FALSE),"")</f>
        <v>ESC BORD MZA UEP BOINA   BARG</v>
      </c>
      <c r="F197" s="7">
        <v>7709653</v>
      </c>
      <c r="G197" t="s">
        <v>13425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5"/>
        <v>7709662##</v>
      </c>
      <c r="E198" t="str">
        <f>IFERROR(VLOOKUP(1*LEFT(C198,7),DF!$A$1:$F$9447,2,FALSE),"")</f>
        <v>ESC BORD MZA UEP CAPITAL</v>
      </c>
      <c r="F198" s="7">
        <v>7709662</v>
      </c>
      <c r="G198" t="s">
        <v>13426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 t="shared" si="5"/>
        <v>7709671##</v>
      </c>
      <c r="D199" s="2"/>
      <c r="E199" s="2" t="str">
        <f>IFERROR(VLOOKUP(1*LEFT(C199,7),DF!$A$1:$F$9447,2,FALSE),"")</f>
        <v>ESC BORD MZA UEP SAN CARLOS</v>
      </c>
      <c r="F199">
        <v>7709671</v>
      </c>
      <c r="G199" t="s">
        <v>13427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5"/>
        <v>7709015##</v>
      </c>
      <c r="E200" s="2" t="str">
        <f>IFERROR(VLOOKUP(1*LEFT(C200,7),DF!$A$1:$F$9447,2,FALSE),"")</f>
        <v>ESC BORD MZA UMAR BOINA</v>
      </c>
      <c r="F200" s="7">
        <v>7709015</v>
      </c>
      <c r="G200" t="s">
        <v>13428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5"/>
        <v>7709420##</v>
      </c>
      <c r="E201" t="str">
        <f>IFERROR(VLOOKUP(1*LEFT(C201,7),DF!$A$1:$F$9447,2,FALSE),"")</f>
        <v>ESC BORD MZA UMAR MANGA  TVS424-0</v>
      </c>
      <c r="F201" s="7">
        <v>7709420</v>
      </c>
      <c r="G201" t="s">
        <v>13429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5"/>
        <v>7709755##</v>
      </c>
      <c r="E202" t="str">
        <f>IFERROR(VLOOKUP(1*LEFT(C202,7),DF!$A$1:$F$9447,2,FALSE),"")</f>
        <v>ESC BORD MZA UPAT</v>
      </c>
      <c r="F202" s="7">
        <v>7709755</v>
      </c>
      <c r="G202" t="s">
        <v>13430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5"/>
        <v>7709788##</v>
      </c>
      <c r="E203" s="2" t="str">
        <f>IFERROR(VLOOKUP(1*LEFT(C203,7),DF!$A$1:$F$9447,2,FALSE),"")</f>
        <v>ESC BORD MZA UPP BOINA</v>
      </c>
      <c r="F203" s="7">
        <v>7709788</v>
      </c>
      <c r="G203" t="s">
        <v>13431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5"/>
        <v>7709787##</v>
      </c>
      <c r="E204" t="str">
        <f>IFERROR(VLOOKUP(1*LEFT(C204,7),DF!$A$1:$F$9447,2,FALSE),"")</f>
        <v>ESC BORD MZA UPP PARQUE BRAZO   BARG</v>
      </c>
      <c r="F204" s="7">
        <v>7709787</v>
      </c>
      <c r="G204" t="s">
        <v>13432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5"/>
        <v>7709156##</v>
      </c>
      <c r="E205" t="str">
        <f>IFERROR(VLOOKUP(1*LEFT(C205,7),DF!$A$1:$F$9447,2,FALSE),"")</f>
        <v>ESC BORD MZA VIAL P/ BRAZO TVS424-0</v>
      </c>
      <c r="F205" s="7">
        <v>7709156</v>
      </c>
      <c r="G205" t="s">
        <v>13433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5"/>
        <v>7709852##</v>
      </c>
      <c r="E206" t="str">
        <f>IFERROR(VLOOKUP(1*LEFT(C206,7),DF!$A$1:$F$9447,2,FALSE),"")</f>
        <v>ESC BORD NQN ESC DE CADETES</v>
      </c>
      <c r="F206">
        <v>7709852</v>
      </c>
      <c r="G206" t="s">
        <v>13434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5"/>
        <v>7709789##</v>
      </c>
      <c r="E207" t="str">
        <f>IFERROR(VLOOKUP(1*LEFT(C207,7),DF!$A$1:$F$9447,2,FALSE),"")</f>
        <v>ESC BORD NQN OFICIAL/DORAD POLICIA BARG</v>
      </c>
      <c r="F207">
        <v>7709789</v>
      </c>
      <c r="G207" t="s">
        <v>13435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5"/>
        <v>7709310##</v>
      </c>
      <c r="E208" t="str">
        <f>IFERROR(VLOOKUP(1*LEFT(C208,7),DF!$A$1:$F$9447,2,FALSE),"")</f>
        <v>ESC BORD NQN P/BRAZO SEOAR</v>
      </c>
      <c r="F208">
        <v>7709310</v>
      </c>
      <c r="G208" t="s">
        <v>13436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5"/>
        <v>7709790##</v>
      </c>
      <c r="E209" t="str">
        <f>IFERROR(VLOOKUP(1*LEFT(C209,7),DF!$A$1:$F$9447,2,FALSE),"")</f>
        <v>ESC BORD NQN SUBOFICIAL/PLT POLICIA BARG</v>
      </c>
      <c r="F209">
        <v>7709790</v>
      </c>
      <c r="G209" t="s">
        <v>13437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5"/>
        <v>7709504##</v>
      </c>
      <c r="E210" t="str">
        <f>IFERROR(VLOOKUP(1*LEFT(C210,7),DF!$A$1:$F$9447,2,FALSE),"")</f>
        <v>ESC BORD NQN UNIDAD DE DETENCION  BARG</v>
      </c>
      <c r="F210">
        <v>7709504</v>
      </c>
      <c r="G210" t="s">
        <v>13438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 t="shared" si="5"/>
        <v>7709442##</v>
      </c>
      <c r="D211" s="2"/>
      <c r="E211" s="2" t="str">
        <f>IFERROR(VLOOKUP(1*LEFT(C211,7),DF!$A$1:$F$9447,2,FALSE),"")</f>
        <v>ESC BORD POL CATAMARCA ESC DE CADETES</v>
      </c>
      <c r="F211">
        <v>7709442</v>
      </c>
      <c r="G211" t="s">
        <v>13439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 t="shared" si="5"/>
        <v>7709042##</v>
      </c>
      <c r="D212" s="2"/>
      <c r="E212" s="2" t="str">
        <f>IFERROR(VLOOKUP(1*LEFT(C212,7),DF!$A$1:$F$9447,2,FALSE),"")</f>
        <v>ESC BORD POLICIA CHUBUT</v>
      </c>
      <c r="F212">
        <v>7709042</v>
      </c>
      <c r="G212" t="s">
        <v>13440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 t="shared" si="5"/>
        <v>7709032##</v>
      </c>
      <c r="D213" s="2"/>
      <c r="E213" s="2" t="str">
        <f>IFERROR(VLOOKUP(1*LEFT(C213,7),DF!$A$1:$F$9447,2,FALSE),"")</f>
        <v>ESC BORD POLICIA CHUBUT BAJA VISIBILIDAD</v>
      </c>
      <c r="F213">
        <v>7709032</v>
      </c>
      <c r="G213" t="s">
        <v>13441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 t="shared" si="5"/>
        <v>7709416##</v>
      </c>
      <c r="D214" s="2"/>
      <c r="E214" s="2" t="str">
        <f>IFERROR(VLOOKUP(1*LEFT(C214,7),DF!$A$1:$F$9447,2,FALSE),"")</f>
        <v>ESC BORD POLICIA CHUBUT CHICO BV ABROJO</v>
      </c>
      <c r="F214">
        <v>7709416</v>
      </c>
      <c r="G214" t="s">
        <v>13442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 t="shared" si="5"/>
        <v>7709415##</v>
      </c>
      <c r="D215" s="2"/>
      <c r="E215" s="2" t="str">
        <f>IFERROR(VLOOKUP(1*LEFT(C215,7),DF!$A$1:$F$9447,2,FALSE),"")</f>
        <v>ESC BORD POLICIA CHUBUT CHICO C/ABROJO</v>
      </c>
      <c r="F215">
        <v>7709415</v>
      </c>
      <c r="G215" t="s">
        <v>13443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 t="shared" si="5"/>
        <v>7709062##</v>
      </c>
      <c r="D216" s="2"/>
      <c r="E216" s="2" t="str">
        <f>IFERROR(VLOOKUP(1*LEFT(C216,7),DF!$A$1:$F$9447,2,FALSE),"")</f>
        <v>ESC BORD PSA AEROPORTUARIA</v>
      </c>
      <c r="F216">
        <v>7709062</v>
      </c>
      <c r="G216" t="s">
        <v>13444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5"/>
        <v>7709061##</v>
      </c>
      <c r="E217" s="2" t="str">
        <f>IFERROR(VLOOKUP(1*LEFT(C217,7),DF!$A$1:$F$9447,2,FALSE),"")</f>
        <v>ESC BORD PSA BOINA  BARG</v>
      </c>
      <c r="F217" s="7">
        <v>7709061</v>
      </c>
      <c r="G217" t="s">
        <v>13445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5"/>
        <v>7709228##</v>
      </c>
      <c r="D218" s="2"/>
      <c r="E218" s="2" t="str">
        <f>IFERROR(VLOOKUP(1*LEFT(C218,7),DF!$A$1:$F$9447,2,FALSE),"")</f>
        <v>ESC BORD RIO NEGRO POL BV</v>
      </c>
      <c r="F218">
        <v>7709228</v>
      </c>
      <c r="G218" t="s">
        <v>13446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 t="shared" si="5"/>
        <v>7709229##</v>
      </c>
      <c r="D219" s="2"/>
      <c r="E219" s="2" t="str">
        <f>IFERROR(VLOOKUP(1*LEFT(C219,7),DF!$A$1:$F$9447,2,FALSE),"")</f>
        <v>ESC BORD RIO NEGRO POLICIA</v>
      </c>
      <c r="F219">
        <v>7709229</v>
      </c>
      <c r="G219" t="s">
        <v>13447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 t="shared" si="5"/>
        <v>7709606##</v>
      </c>
      <c r="D220" s="2"/>
      <c r="E220" s="2" t="str">
        <f>IFERROR(VLOOKUP(1*LEFT(C220,7),DF!$A$1:$F$9447,2,FALSE),"")</f>
        <v>ESC BORD SAN JUAN POLICIA  BARG</v>
      </c>
      <c r="F220">
        <v>7709606</v>
      </c>
      <c r="G220" t="s">
        <v>13448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 t="shared" si="5"/>
        <v>7709700##</v>
      </c>
      <c r="D221" s="2"/>
      <c r="E221" s="2" t="str">
        <f>IFERROR(VLOOKUP(1*LEFT(C221,7),DF!$A$1:$F$9447,2,FALSE),"")</f>
        <v>ESC BORD SAN LUIS POLICIA TVS477-04</v>
      </c>
      <c r="F221">
        <v>7709700</v>
      </c>
      <c r="G221" t="s">
        <v>13449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5"/>
        <v>7709410##</v>
      </c>
      <c r="D222" s="2"/>
      <c r="E222" s="2" t="str">
        <f>IFERROR(VLOOKUP(1*LEFT(C222,7),DF!$A$1:$F$9447,2,FALSE),"")</f>
        <v>ESC BORD STA CRUZ  POL RER072 28</v>
      </c>
      <c r="F222">
        <v>7709410</v>
      </c>
      <c r="G222" t="s">
        <v>13450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 t="shared" si="5"/>
        <v>7709457##</v>
      </c>
      <c r="D223" s="2"/>
      <c r="E223" s="2" t="str">
        <f>IFERROR(VLOOKUP(1*LEFT(C223,7),DF!$A$1:$F$9447,2,FALSE),"")</f>
        <v>ESC BORD STA CRUZ ALCALDIA POLICIAL BV</v>
      </c>
      <c r="F223">
        <v>7709457</v>
      </c>
      <c r="G223" t="s">
        <v>13451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5"/>
        <v>7709411##</v>
      </c>
      <c r="D224" s="2"/>
      <c r="E224" s="2" t="str">
        <f>IFERROR(VLOOKUP(1*LEFT(C224,7),DF!$A$1:$F$9447,2,FALSE),"")</f>
        <v>ESC BORD STA CRUZ BAJA VISIBILIDAD</v>
      </c>
      <c r="F224">
        <v>7709411</v>
      </c>
      <c r="G224" t="s">
        <v>13452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5"/>
        <v>7709902##</v>
      </c>
      <c r="D225" s="2"/>
      <c r="E225" s="2" t="str">
        <f>IFERROR(VLOOKUP(1*LEFT(C225,7),DF!$A$1:$F$9447,2,FALSE),"")</f>
        <v>ESC BORD STA CRUZ BOMBERO TVS536-14</v>
      </c>
      <c r="F225">
        <v>7709902</v>
      </c>
      <c r="G225" t="s">
        <v>13453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5"/>
        <v>7709455##</v>
      </c>
      <c r="D226" s="2"/>
      <c r="E226" s="2" t="str">
        <f>IFERROR(VLOOKUP(1*LEFT(C226,7),DF!$A$1:$F$9447,2,FALSE),"")</f>
        <v>ESC BORD STA CRUZ GEOR BAJA VIS</v>
      </c>
      <c r="F226">
        <v>7709455</v>
      </c>
      <c r="G226" t="s">
        <v>13454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5"/>
        <v>7709800##</v>
      </c>
      <c r="D227" s="2"/>
      <c r="E227" s="2" t="str">
        <f>IFERROR(VLOOKUP(1*LEFT(C227,7),DF!$A$1:$F$9447,2,FALSE),"")</f>
        <v>ESC BORD T. FUEGO POLI DIARIO</v>
      </c>
      <c r="F227">
        <v>7709800</v>
      </c>
      <c r="G227" t="s">
        <v>13455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5"/>
        <v>7709801##</v>
      </c>
      <c r="D228" s="2"/>
      <c r="E228" s="2" t="str">
        <f>IFERROR(VLOOKUP(1*LEFT(C228,7),DF!$A$1:$F$9447,2,FALSE),"")</f>
        <v>ESC BORD T. FUEGO POLI GALA</v>
      </c>
      <c r="F228">
        <v>7709801</v>
      </c>
      <c r="G228" t="s">
        <v>13456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7709425##</v>
      </c>
      <c r="E229" t="str">
        <f>IFERROR(VLOOKUP(1*LEFT(C229,7),DF!$A$1:$F$9447,2,FALSE),"")</f>
        <v>ESC BORD TMAN  POLICIA BARG</v>
      </c>
      <c r="F229">
        <v>7709425</v>
      </c>
      <c r="G229" t="s">
        <v>13457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7711091##</v>
      </c>
      <c r="E230" t="str">
        <f>IFERROR(VLOOKUP(1*LEFT(C230,7),DF!$A$1:$F$9447,2,FALSE),"")</f>
        <v>ESC BORD TMAN BANANITA  BARG BI</v>
      </c>
      <c r="F230">
        <v>7711091</v>
      </c>
      <c r="G230" t="s">
        <v>13458</v>
      </c>
      <c r="H230">
        <v>1</v>
      </c>
    </row>
    <row r="231" spans="1:8" x14ac:dyDescent="0.25">
      <c r="A231">
        <v>16522</v>
      </c>
      <c r="B231" t="s">
        <v>4</v>
      </c>
      <c r="C231" t="str">
        <f t="shared" si="5"/>
        <v>7709460##</v>
      </c>
      <c r="E231" t="str">
        <f>IFERROR(VLOOKUP(1*LEFT(C231,7),DF!$A$1:$F$9447,2,FALSE),"")</f>
        <v>ESC BORD TMAN BANANITA C.E.R.O.</v>
      </c>
      <c r="F231">
        <v>7709460</v>
      </c>
      <c r="G231" t="s">
        <v>13459</v>
      </c>
      <c r="H231">
        <v>1</v>
      </c>
    </row>
    <row r="232" spans="1:8" x14ac:dyDescent="0.25">
      <c r="A232">
        <v>16522</v>
      </c>
      <c r="B232" t="s">
        <v>4</v>
      </c>
      <c r="C232" t="str">
        <f t="shared" si="5"/>
        <v>7709461##</v>
      </c>
      <c r="E232" t="str">
        <f>IFERROR(VLOOKUP(1*LEFT(C232,7),DF!$A$1:$F$9447,2,FALSE),"")</f>
        <v>ESC BORD TMAN BRAZO C.E.R.O.</v>
      </c>
      <c r="F232">
        <v>7709461</v>
      </c>
      <c r="G232" t="s">
        <v>13460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7709465##</v>
      </c>
      <c r="E233" t="str">
        <f>IFERROR(VLOOKUP(1*LEFT(C233,7),DF!$A$1:$F$9447,2,FALSE),"")</f>
        <v>ESC BORD TMAN DIR GRAL PREV URBANA</v>
      </c>
      <c r="F233">
        <v>7709465</v>
      </c>
      <c r="G233" t="s">
        <v>13461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7709341##</v>
      </c>
      <c r="E234" t="str">
        <f>IFERROR(VLOOKUP(1*LEFT(C234,7),DF!$A$1:$F$9447,2,FALSE),"")</f>
        <v>ESC BORD TMAN PENIT GRIS</v>
      </c>
      <c r="F234">
        <v>7709341</v>
      </c>
      <c r="G234" t="s">
        <v>13462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5"/>
        <v>7709308##</v>
      </c>
      <c r="E235" s="2" t="str">
        <f>IFERROR(VLOOKUP(1*LEFT(C235,7),DF!$A$1:$F$9447,2,FALSE),"")</f>
        <v>ESC BORD UCCEE BOINA BV</v>
      </c>
      <c r="F235">
        <v>7709308</v>
      </c>
      <c r="G235" t="s">
        <v>13463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5"/>
        <v>7710004##</v>
      </c>
      <c r="D236" s="2"/>
      <c r="E236" s="2" t="str">
        <f>IFERROR(VLOOKUP(1*LEFT(C236,7),DF!$A$1:$F$9447,2,FALSE),"")</f>
        <v>ESC GOMA CHUBUT BV</v>
      </c>
      <c r="F236">
        <v>7710004</v>
      </c>
      <c r="G236" t="s">
        <v>13464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7710001##</v>
      </c>
      <c r="E237" t="str">
        <f>IFERROR(VLOOKUP(1*LEFT(C237,7),DF!$A$1:$F$9447,2,FALSE),"")</f>
        <v>ESC GOMA POLICIA DE MENDOZA COLOR</v>
      </c>
      <c r="F237" s="7">
        <v>7710001</v>
      </c>
      <c r="G237" t="s">
        <v>13465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7710221##</v>
      </c>
      <c r="E238" t="str">
        <f>IFERROR(VLOOKUP(1*LEFT(C238,7),DF!$A$1:$F$9447,2,FALSE),"")</f>
        <v>ESC GOMA POLICIA NQN BAJA VISIBILIDAD</v>
      </c>
      <c r="F238">
        <v>7710221</v>
      </c>
      <c r="G238" t="s">
        <v>13466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5"/>
        <v>7710007##</v>
      </c>
      <c r="D239" s="2"/>
      <c r="E239" s="2" t="str">
        <f>IFERROR(VLOOKUP(1*LEFT(C239,7),DF!$A$1:$F$9447,2,FALSE),"")</f>
        <v>ESC GOMA POLICIA SALTA BV GOA</v>
      </c>
      <c r="F239">
        <v>7710007</v>
      </c>
      <c r="G239" t="s">
        <v>13467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5"/>
        <v>7710020##</v>
      </c>
      <c r="D240" s="2"/>
      <c r="E240" s="2" t="str">
        <f>IFERROR(VLOOKUP(1*LEFT(C240,7),DF!$A$1:$F$9447,2,FALSE),"")</f>
        <v>ESC GOMA POLICIA SANTA FE COLOR</v>
      </c>
      <c r="F240">
        <v>7710020</v>
      </c>
      <c r="G240" t="s">
        <v>13468</v>
      </c>
      <c r="H240">
        <v>1</v>
      </c>
    </row>
    <row r="241" spans="1:8" x14ac:dyDescent="0.25">
      <c r="A241">
        <v>16522</v>
      </c>
      <c r="B241" t="s">
        <v>4</v>
      </c>
      <c r="C241" t="str">
        <f t="shared" si="5"/>
        <v>7709668##</v>
      </c>
      <c r="E241" t="str">
        <f>IFERROR(VLOOKUP(1*LEFT(C241,7),DF!$A$1:$F$9447,2,FALSE),"")</f>
        <v>ESC UNIDAD CUERPOS ESPECIALES</v>
      </c>
      <c r="F241" s="7">
        <v>7709668</v>
      </c>
      <c r="G241" t="s">
        <v>13469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5"/>
        <v>8503045##</v>
      </c>
      <c r="E242" t="str">
        <f>IFERROR(VLOOKUP(1*LEFT(C242,7),DF!$A$1:$F$9447,2,FALSE),"")</f>
        <v>ESPOSAS CON BISAGRA 1211-7/3</v>
      </c>
      <c r="F242">
        <v>8503045</v>
      </c>
      <c r="G242" t="s">
        <v>13470</v>
      </c>
      <c r="H242">
        <v>3</v>
      </c>
    </row>
    <row r="243" spans="1:8" x14ac:dyDescent="0.25">
      <c r="A243" s="2">
        <v>16522</v>
      </c>
      <c r="B243" s="2" t="s">
        <v>4</v>
      </c>
      <c r="C243" s="2" t="str">
        <f t="shared" si="5"/>
        <v>8503012##</v>
      </c>
      <c r="D243" s="2"/>
      <c r="E243" s="2" t="str">
        <f>IFERROR(VLOOKUP(1*LEFT(C243,7),DF!$A$1:$F$9447,2,FALSE),"")</f>
        <v>ESPOSAS CON GANCHO EM-7/3 1211</v>
      </c>
      <c r="F243">
        <v>8503012</v>
      </c>
      <c r="G243" t="s">
        <v>14112</v>
      </c>
      <c r="H243">
        <v>1</v>
      </c>
    </row>
    <row r="244" spans="1:8" x14ac:dyDescent="0.25">
      <c r="A244" s="2">
        <v>16522</v>
      </c>
      <c r="B244" s="2" t="s">
        <v>4</v>
      </c>
      <c r="C244" s="2" t="str">
        <f t="shared" si="5"/>
        <v>8703703##</v>
      </c>
      <c r="D244" s="2"/>
      <c r="E244" s="2" t="str">
        <f>IFERROR(VLOOKUP(1*LEFT(C244,7),DF!$A$1:$F$9447,2,FALSE),"")</f>
        <v>FUNDA DE CUERO CON FLEJE 1044 TB</v>
      </c>
      <c r="F244">
        <v>8703703</v>
      </c>
      <c r="G244" t="s">
        <v>13471</v>
      </c>
      <c r="H244">
        <v>4</v>
      </c>
    </row>
    <row r="245" spans="1:8" x14ac:dyDescent="0.25">
      <c r="A245" s="2">
        <v>16522</v>
      </c>
      <c r="B245" s="2" t="s">
        <v>4</v>
      </c>
      <c r="C245" s="2" t="str">
        <f t="shared" si="5"/>
        <v>8703116##</v>
      </c>
      <c r="D245" s="2"/>
      <c r="E245" s="2" t="str">
        <f>IFERROR(VLOOKUP(1*LEFT(C245,7),DF!$A$1:$F$9447,2,FALSE),"")</f>
        <v>FUNDA FOBUS 4112 75D CZ-75D MIN</v>
      </c>
      <c r="F245">
        <v>8703116</v>
      </c>
      <c r="G245" t="s">
        <v>14077</v>
      </c>
      <c r="H245">
        <v>5</v>
      </c>
    </row>
    <row r="246" spans="1:8" x14ac:dyDescent="0.25">
      <c r="A246" s="2">
        <v>16522</v>
      </c>
      <c r="B246" s="2" t="s">
        <v>4</v>
      </c>
      <c r="C246" s="2" t="str">
        <f t="shared" si="5"/>
        <v>8703118##</v>
      </c>
      <c r="D246" s="2"/>
      <c r="E246" s="2" t="str">
        <f>IFERROR(VLOOKUP(1*LEFT(C246,7),DF!$A$1:$F$9447,2,FALSE),"")</f>
        <v>FUNDA FOBUS 4117 BRS-ND BERET PX4 ST MIN</v>
      </c>
      <c r="F246">
        <v>8703118</v>
      </c>
      <c r="G246" t="s">
        <v>13472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 t="shared" si="5"/>
        <v>8703103##</v>
      </c>
      <c r="D247" s="2"/>
      <c r="E247" s="2" t="str">
        <f>IFERROR(VLOOKUP(1*LEFT(C247,7),DF!$A$1:$F$9447,2,FALSE),"")</f>
        <v>FUNDA FOBUS 4122 SG-239/9 9MM NEWGEN MIN</v>
      </c>
      <c r="F247">
        <v>8703103</v>
      </c>
      <c r="G247" t="s">
        <v>13473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 t="shared" si="5"/>
        <v>8703157##</v>
      </c>
      <c r="D248" s="2"/>
      <c r="E248" s="2" t="str">
        <f>IFERROR(VLOOKUP(1*LEFT(C248,7),DF!$A$1:$F$9447,2,FALSE),"")</f>
        <v>FUNDA FOBUS 4147 TAURUS 24/7 C/BOT MIN</v>
      </c>
      <c r="F248">
        <v>8703157</v>
      </c>
      <c r="G248" t="s">
        <v>13474</v>
      </c>
      <c r="H248">
        <v>6</v>
      </c>
    </row>
    <row r="249" spans="1:8" x14ac:dyDescent="0.25">
      <c r="A249" s="2">
        <v>16522</v>
      </c>
      <c r="B249" s="2" t="s">
        <v>4</v>
      </c>
      <c r="C249" s="2" t="str">
        <f t="shared" si="5"/>
        <v>8703105##</v>
      </c>
      <c r="D249" s="2"/>
      <c r="E249" s="2" t="str">
        <f>IFERROR(VLOOKUP(1*LEFT(C249,7),DF!$A$1:$F$9447,2,FALSE),"")</f>
        <v>FUNDA FOBUS 4155 GLCH C BOTON LIBERA MIN</v>
      </c>
      <c r="F249">
        <v>8703105</v>
      </c>
      <c r="G249" t="s">
        <v>13475</v>
      </c>
      <c r="H249">
        <v>2</v>
      </c>
    </row>
    <row r="250" spans="1:8" x14ac:dyDescent="0.25">
      <c r="A250" s="2">
        <v>16522</v>
      </c>
      <c r="B250" s="2" t="s">
        <v>4</v>
      </c>
      <c r="C250" s="2" t="str">
        <f t="shared" si="5"/>
        <v>8703106##</v>
      </c>
      <c r="D250" s="2"/>
      <c r="E250" s="2" t="str">
        <f>IFERROR(VLOOKUP(1*LEFT(C250,7),DF!$A$1:$F$9447,2,FALSE),"")</f>
        <v>FUNDA FOBUS 4156 BRCH C BOTON MIN</v>
      </c>
      <c r="F250">
        <v>8703106</v>
      </c>
      <c r="G250" t="s">
        <v>13476</v>
      </c>
      <c r="H250">
        <v>4</v>
      </c>
    </row>
    <row r="251" spans="1:8" x14ac:dyDescent="0.25">
      <c r="A251" s="2">
        <v>16522</v>
      </c>
      <c r="B251" s="2" t="s">
        <v>4</v>
      </c>
      <c r="C251" s="2" t="str">
        <f t="shared" si="5"/>
        <v>8703107##</v>
      </c>
      <c r="D251" s="2"/>
      <c r="E251" s="2" t="str">
        <f>IFERROR(VLOOKUP(1*LEFT(C251,7),DF!$A$1:$F$9447,2,FALSE),"")</f>
        <v>FUNDA FOBUS 4157 TACHC BOTON MIN</v>
      </c>
      <c r="F251">
        <v>8703107</v>
      </c>
      <c r="G251" t="s">
        <v>13477</v>
      </c>
      <c r="H251">
        <v>5</v>
      </c>
    </row>
    <row r="252" spans="1:8" x14ac:dyDescent="0.25">
      <c r="A252" s="2">
        <v>16522</v>
      </c>
      <c r="B252" s="2" t="s">
        <v>4</v>
      </c>
      <c r="C252" s="2" t="str">
        <f t="shared" si="5"/>
        <v>8703120##</v>
      </c>
      <c r="D252" s="2"/>
      <c r="E252" s="2" t="str">
        <f>IFERROR(VLOOKUP(1*LEFT(C252,7),DF!$A$1:$F$9447,2,FALSE),"")</f>
        <v>FUNDA FOBUS UNIVERSAL IWBM HOLSTERS MIN</v>
      </c>
      <c r="F252">
        <v>8703120</v>
      </c>
      <c r="G252" t="s">
        <v>13478</v>
      </c>
      <c r="H252">
        <v>4</v>
      </c>
    </row>
    <row r="253" spans="1:8" x14ac:dyDescent="0.25">
      <c r="A253" s="2">
        <v>16522</v>
      </c>
      <c r="B253" s="2" t="s">
        <v>4</v>
      </c>
      <c r="C253" s="2" t="str">
        <f t="shared" si="5"/>
        <v>8703004##</v>
      </c>
      <c r="D253" s="2"/>
      <c r="E253" s="2" t="str">
        <f>IFERROR(VLOOKUP(1*LEFT(C253,7),DF!$A$1:$F$9447,2,FALSE),"")</f>
        <v>FUNDA GAMUZA CON FLEJE 1044 TB</v>
      </c>
      <c r="F253">
        <v>8703004</v>
      </c>
      <c r="G253" t="s">
        <v>13479</v>
      </c>
      <c r="H253">
        <v>2</v>
      </c>
    </row>
    <row r="254" spans="1:8" x14ac:dyDescent="0.25">
      <c r="A254">
        <v>16522</v>
      </c>
      <c r="B254" t="s">
        <v>4</v>
      </c>
      <c r="C254" t="str">
        <f t="shared" si="5"/>
        <v>8703613##</v>
      </c>
      <c r="E254" t="str">
        <f>IFERROR(VLOOKUP(1*LEFT(C254,7),DF!$A$1:$F$9447,2,FALSE),"")</f>
        <v>FUNDA POLIA CON PORTACARG T613 TB RER</v>
      </c>
      <c r="F254">
        <v>8703613</v>
      </c>
      <c r="G254" t="s">
        <v>13480</v>
      </c>
      <c r="H254">
        <v>3</v>
      </c>
    </row>
    <row r="255" spans="1:8" x14ac:dyDescent="0.25">
      <c r="A255" s="2">
        <v>16522</v>
      </c>
      <c r="B255" s="2" t="s">
        <v>4</v>
      </c>
      <c r="C255" s="2" t="str">
        <f t="shared" si="5"/>
        <v>8703613##</v>
      </c>
      <c r="D255" s="2"/>
      <c r="E255" s="2" t="str">
        <f>IFERROR(VLOOKUP(1*LEFT(C255,7),DF!$A$1:$F$9447,2,FALSE),"")</f>
        <v>FUNDA POLIA CON PORTACARG T613 TB RER</v>
      </c>
      <c r="F255">
        <v>8703613</v>
      </c>
      <c r="G255" t="s">
        <v>13480</v>
      </c>
      <c r="H255">
        <v>3</v>
      </c>
    </row>
    <row r="256" spans="1:8" x14ac:dyDescent="0.25">
      <c r="A256" s="2">
        <v>16522</v>
      </c>
      <c r="B256" s="2" t="s">
        <v>4</v>
      </c>
      <c r="C256" s="2" t="str">
        <f t="shared" ref="C256:C319" si="6">CONCATENATE(F256,"##")</f>
        <v>8305000##</v>
      </c>
      <c r="D256" s="2"/>
      <c r="E256" s="2" t="str">
        <f>IFERROR(VLOOKUP(1*LEFT(C256,7),DF!$A$1:$F$9447,2,FALSE),"")</f>
        <v>GORRA AZUL SIN ATRIBUTOS RER</v>
      </c>
      <c r="F256" s="7">
        <v>8305000</v>
      </c>
      <c r="G256" t="s">
        <v>13481</v>
      </c>
      <c r="H256">
        <v>3</v>
      </c>
    </row>
    <row r="257" spans="1:8" x14ac:dyDescent="0.25">
      <c r="A257" s="2">
        <v>16522</v>
      </c>
      <c r="B257" s="2" t="s">
        <v>4</v>
      </c>
      <c r="C257" s="2" t="str">
        <f t="shared" si="6"/>
        <v>8305006##</v>
      </c>
      <c r="D257" s="2"/>
      <c r="E257" s="2" t="str">
        <f>IFERROR(VLOOKUP(1*LEFT(C257,7),DF!$A$1:$F$9447,2,FALSE),"")</f>
        <v>GORRA AZUL VISERA SUB COMISA/COMISA RER</v>
      </c>
      <c r="F257" s="7">
        <v>8305006</v>
      </c>
      <c r="G257" t="s">
        <v>13482</v>
      </c>
      <c r="H257">
        <v>3</v>
      </c>
    </row>
    <row r="258" spans="1:8" x14ac:dyDescent="0.25">
      <c r="A258" s="2">
        <v>16522</v>
      </c>
      <c r="B258" s="2" t="s">
        <v>4</v>
      </c>
      <c r="C258" s="2" t="str">
        <f t="shared" si="6"/>
        <v>8305001##</v>
      </c>
      <c r="D258" s="2"/>
      <c r="E258" s="2" t="str">
        <f>IFERROR(VLOOKUP(1*LEFT(C258,7),DF!$A$1:$F$9447,2,FALSE),"")</f>
        <v>GORRA GRIS SIN ATRIBUTOS RER</v>
      </c>
      <c r="F258" s="7">
        <v>8305001</v>
      </c>
      <c r="G258" t="s">
        <v>13483</v>
      </c>
      <c r="H258">
        <v>3</v>
      </c>
    </row>
    <row r="259" spans="1:8" x14ac:dyDescent="0.25">
      <c r="A259" s="2">
        <v>16522</v>
      </c>
      <c r="B259" s="2" t="s">
        <v>4</v>
      </c>
      <c r="C259" s="2" t="str">
        <f t="shared" si="6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13484</v>
      </c>
      <c r="H259">
        <v>3</v>
      </c>
    </row>
    <row r="260" spans="1:8" x14ac:dyDescent="0.25">
      <c r="A260" s="2">
        <v>16522</v>
      </c>
      <c r="B260" s="2" t="s">
        <v>4</v>
      </c>
      <c r="C260" s="2" t="str">
        <f t="shared" si="6"/>
        <v>8400010##</v>
      </c>
      <c r="D260" s="2"/>
      <c r="E260" s="2" t="str">
        <f>IFERROR(VLOOKUP(1*LEFT(C260,7),DF!$A$1:$F$9447,2,FALSE),"")</f>
        <v>GORRITA BEISBOL LISA GRIS GEI</v>
      </c>
      <c r="F260">
        <v>8400010</v>
      </c>
      <c r="G260" t="s">
        <v>14109</v>
      </c>
      <c r="H260">
        <v>2</v>
      </c>
    </row>
    <row r="261" spans="1:8" x14ac:dyDescent="0.25">
      <c r="A261">
        <v>16522</v>
      </c>
      <c r="B261" t="s">
        <v>4</v>
      </c>
      <c r="C261" t="str">
        <f t="shared" si="6"/>
        <v>8400002##</v>
      </c>
      <c r="E261" t="str">
        <f>IFERROR(VLOOKUP(1*LEFT(C261,7),DF!$A$1:$F$9447,2,FALSE),"")</f>
        <v>GORRITA BEISBOL LISA NEGRA GEI</v>
      </c>
      <c r="F261">
        <v>8400002</v>
      </c>
      <c r="G261" t="s">
        <v>13485</v>
      </c>
      <c r="H261">
        <v>2</v>
      </c>
    </row>
    <row r="262" spans="1:8" x14ac:dyDescent="0.25">
      <c r="A262" s="2">
        <v>16522</v>
      </c>
      <c r="B262" s="2" t="s">
        <v>4</v>
      </c>
      <c r="C262" s="2" t="str">
        <f t="shared" si="6"/>
        <v>8400689##</v>
      </c>
      <c r="D262" s="2"/>
      <c r="E262" s="2" t="str">
        <f>IFERROR(VLOOKUP(1*LEFT(C262,7),DF!$A$1:$F$9447,2,FALSE),"")</f>
        <v>GORRITA F1 NEGRA AJUSTABLE 4689</v>
      </c>
      <c r="F262">
        <v>8400689</v>
      </c>
      <c r="G262" t="s">
        <v>14111</v>
      </c>
      <c r="H262">
        <v>3</v>
      </c>
    </row>
    <row r="263" spans="1:8" x14ac:dyDescent="0.25">
      <c r="A263" s="2">
        <v>16522</v>
      </c>
      <c r="B263" s="2" t="s">
        <v>4</v>
      </c>
      <c r="C263" s="2" t="str">
        <f t="shared" si="6"/>
        <v>8400128##</v>
      </c>
      <c r="D263" s="2"/>
      <c r="E263" s="2" t="str">
        <f>IFERROR(VLOOKUP(1*LEFT(C263,7),DF!$A$1:$F$9447,2,FALSE),"")</f>
        <v>GORRITA F54 AZUL 6 GAJOS 5469 AJUSTABLE-</v>
      </c>
      <c r="F263">
        <v>8400128</v>
      </c>
      <c r="G263" t="s">
        <v>14110</v>
      </c>
      <c r="H263">
        <v>2</v>
      </c>
    </row>
    <row r="264" spans="1:8" x14ac:dyDescent="0.25">
      <c r="A264" s="2">
        <v>16522</v>
      </c>
      <c r="B264" s="2" t="s">
        <v>4</v>
      </c>
      <c r="C264" s="2" t="str">
        <f t="shared" si="6"/>
        <v>8400650##</v>
      </c>
      <c r="D264" s="2"/>
      <c r="E264" s="2" t="str">
        <f>IFERROR(VLOOKUP(1*LEFT(C264,7),DF!$A$1:$F$9447,2,FALSE),"")</f>
        <v>GORRITA RIO NEGRO POL OFICIAL BI</v>
      </c>
      <c r="F264" s="7">
        <v>8400650</v>
      </c>
      <c r="G264" t="s">
        <v>13486</v>
      </c>
      <c r="H264">
        <v>4</v>
      </c>
    </row>
    <row r="265" spans="1:8" x14ac:dyDescent="0.25">
      <c r="A265" s="2">
        <v>16522</v>
      </c>
      <c r="B265" s="2" t="s">
        <v>4</v>
      </c>
      <c r="C265" s="2" t="str">
        <f t="shared" si="6"/>
        <v>8400119##</v>
      </c>
      <c r="D265" s="2"/>
      <c r="E265" s="2" t="str">
        <f>IFERROR(VLOOKUP(1*LEFT(C265,7),DF!$A$1:$F$9447,2,FALSE),"")</f>
        <v>GORRITA SEGURIDAD NEGRA  BORD AMA/BLA BI</v>
      </c>
      <c r="F265">
        <v>8400119</v>
      </c>
      <c r="G265" t="s">
        <v>14108</v>
      </c>
      <c r="H265">
        <v>5</v>
      </c>
    </row>
    <row r="266" spans="1:8" x14ac:dyDescent="0.25">
      <c r="A266" s="2">
        <v>16522</v>
      </c>
      <c r="B266" s="2" t="s">
        <v>4</v>
      </c>
      <c r="C266" s="2" t="str">
        <f t="shared" si="6"/>
        <v>8306100##</v>
      </c>
      <c r="D266" s="2"/>
      <c r="E266" s="2" t="str">
        <f>IFERROR(VLOOKUP(1*LEFT(C266,7),DF!$A$1:$F$9447,2,FALSE),"")</f>
        <v>GORRO CON PIEL IMP</v>
      </c>
      <c r="F266">
        <v>8306100</v>
      </c>
      <c r="G266" t="s">
        <v>13487</v>
      </c>
      <c r="H266">
        <v>7</v>
      </c>
    </row>
    <row r="267" spans="1:8" x14ac:dyDescent="0.25">
      <c r="A267" s="2">
        <v>16522</v>
      </c>
      <c r="B267" s="2" t="s">
        <v>4</v>
      </c>
      <c r="C267" s="2" t="str">
        <f t="shared" si="6"/>
        <v>8400240##</v>
      </c>
      <c r="D267" s="2"/>
      <c r="E267" s="2" t="str">
        <f>IFERROR(VLOOKUP(1*LEFT(C267,7),DF!$A$1:$F$9447,2,FALSE),"")</f>
        <v>GORRO LANA ROCKY 53240 SIN FORRAR RER</v>
      </c>
      <c r="F267">
        <v>8400240</v>
      </c>
      <c r="G267" t="s">
        <v>13488</v>
      </c>
      <c r="H267">
        <v>1</v>
      </c>
    </row>
    <row r="268" spans="1:8" x14ac:dyDescent="0.25">
      <c r="A268" s="2">
        <v>16522</v>
      </c>
      <c r="B268" s="2" t="s">
        <v>4</v>
      </c>
      <c r="C268" s="2" t="str">
        <f t="shared" si="6"/>
        <v>8306101##</v>
      </c>
      <c r="D268" s="2"/>
      <c r="E268" s="2" t="str">
        <f>IFERROR(VLOOKUP(1*LEFT(C268,7),DF!$A$1:$F$9447,2,FALSE),"")</f>
        <v>GORRO PIEL CON REFLECTIVO IMP 1120</v>
      </c>
      <c r="F268">
        <v>8306101</v>
      </c>
      <c r="G268" t="s">
        <v>13489</v>
      </c>
      <c r="H268">
        <v>3</v>
      </c>
    </row>
    <row r="269" spans="1:8" x14ac:dyDescent="0.25">
      <c r="A269" s="2">
        <v>16522</v>
      </c>
      <c r="B269" s="2" t="s">
        <v>4</v>
      </c>
      <c r="C269" s="2" t="str">
        <f t="shared" si="6"/>
        <v>8306200##</v>
      </c>
      <c r="D269" s="2"/>
      <c r="E269" s="2" t="str">
        <f>IFERROR(VLOOKUP(1*LEFT(C269,7),DF!$A$1:$F$9447,2,FALSE),"")</f>
        <v>GORRO POLAR IMP 1163</v>
      </c>
      <c r="F269" s="7">
        <v>8306200</v>
      </c>
      <c r="G269" t="s">
        <v>13490</v>
      </c>
      <c r="H269">
        <v>2</v>
      </c>
    </row>
    <row r="270" spans="1:8" x14ac:dyDescent="0.25">
      <c r="A270" s="2">
        <v>16522</v>
      </c>
      <c r="B270" s="2" t="s">
        <v>4</v>
      </c>
      <c r="C270" s="2" t="str">
        <f t="shared" si="6"/>
        <v>8400661##</v>
      </c>
      <c r="D270" s="2"/>
      <c r="E270" s="2" t="str">
        <f>IFERROR(VLOOKUP(1*LEFT(C270,7),DF!$A$1:$F$9447,2,FALSE),"")</f>
        <v>GORRO VERDUGO RER</v>
      </c>
      <c r="F270">
        <v>8400661</v>
      </c>
      <c r="G270" t="s">
        <v>13491</v>
      </c>
      <c r="H270">
        <v>1</v>
      </c>
    </row>
    <row r="271" spans="1:8" x14ac:dyDescent="0.25">
      <c r="A271" s="2">
        <v>16522</v>
      </c>
      <c r="B271" s="2" t="s">
        <v>4</v>
      </c>
      <c r="C271" s="2" t="str">
        <f t="shared" si="6"/>
        <v>8517235##</v>
      </c>
      <c r="D271" s="2"/>
      <c r="E271" s="2" t="str">
        <f>IFERROR(VLOOKUP(1*LEFT(C271,7),DF!$A$1:$F$9447,2,FALSE),"")</f>
        <v>GUANTES BLANCOS LMGE RER</v>
      </c>
      <c r="F271" s="7">
        <v>8517235</v>
      </c>
      <c r="G271" t="s">
        <v>13492</v>
      </c>
      <c r="H271">
        <v>2</v>
      </c>
    </row>
    <row r="272" spans="1:8" x14ac:dyDescent="0.25">
      <c r="A272" s="2">
        <v>16522</v>
      </c>
      <c r="B272" s="2" t="s">
        <v>4</v>
      </c>
      <c r="C272" s="2" t="str">
        <f t="shared" si="6"/>
        <v>8517103##</v>
      </c>
      <c r="D272" s="2"/>
      <c r="E272" s="2" t="str">
        <f>IFERROR(VLOOKUP(1*LEFT(C272,7),DF!$A$1:$F$9447,2,FALSE),"")</f>
        <v>GUANTES CABRITILLA 6/14 RER</v>
      </c>
      <c r="F272" s="7">
        <v>8517103</v>
      </c>
      <c r="G272" t="s">
        <v>13493</v>
      </c>
      <c r="H272">
        <v>3</v>
      </c>
    </row>
    <row r="273" spans="1:9" x14ac:dyDescent="0.25">
      <c r="A273" s="2">
        <v>16522</v>
      </c>
      <c r="B273" s="2" t="s">
        <v>4</v>
      </c>
      <c r="C273" s="2" t="str">
        <f t="shared" si="6"/>
        <v>8717033##</v>
      </c>
      <c r="D273" s="2"/>
      <c r="E273" s="2" t="str">
        <f>IFERROR(VLOOKUP(1*LEFT(C273,7),DF!$A$1:$F$9447,2,FALSE),"")</f>
        <v>GUANTES NEOPRENE S/DEDO T S/XXL RER</v>
      </c>
      <c r="F273" s="7">
        <v>8717033</v>
      </c>
      <c r="G273" t="s">
        <v>13494</v>
      </c>
      <c r="H273">
        <v>4</v>
      </c>
      <c r="I273">
        <v>1</v>
      </c>
    </row>
    <row r="274" spans="1:9" x14ac:dyDescent="0.25">
      <c r="A274">
        <v>16522</v>
      </c>
      <c r="B274" t="s">
        <v>4</v>
      </c>
      <c r="C274" t="str">
        <f t="shared" si="6"/>
        <v>8517906##</v>
      </c>
      <c r="E274" t="str">
        <f>IFERROR(VLOOKUP(1*LEFT(C274,7),DF!$A$1:$F$9447,2,FALSE),"")</f>
        <v>GUANTES TACTICO MITON BEIGE CORTO OR</v>
      </c>
      <c r="F274">
        <v>8517906</v>
      </c>
      <c r="G274" t="s">
        <v>13495</v>
      </c>
      <c r="H274">
        <v>4</v>
      </c>
    </row>
    <row r="275" spans="1:9" x14ac:dyDescent="0.25">
      <c r="A275">
        <v>16522</v>
      </c>
      <c r="B275" t="s">
        <v>4</v>
      </c>
      <c r="C275" t="str">
        <f t="shared" si="6"/>
        <v>8517901##</v>
      </c>
      <c r="E275" t="str">
        <f>IFERROR(VLOOKUP(1*LEFT(C275,7),DF!$A$1:$F$9447,2,FALSE),"")</f>
        <v>GUANTES TACTICO MITON BEIGE LARGO OR</v>
      </c>
      <c r="F275">
        <v>8517901</v>
      </c>
      <c r="G275" t="s">
        <v>13496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6"/>
        <v>8517905##</v>
      </c>
      <c r="D276" s="2"/>
      <c r="E276" s="2" t="str">
        <f>IFERROR(VLOOKUP(1*LEFT(C276,7),DF!$A$1:$F$9447,2,FALSE),"")</f>
        <v>GUANTES TACTICO MITON NEGRO CORTO OR</v>
      </c>
      <c r="F276" s="7">
        <v>8517905</v>
      </c>
      <c r="G276" t="s">
        <v>13497</v>
      </c>
      <c r="H276">
        <v>4</v>
      </c>
    </row>
    <row r="277" spans="1:9" x14ac:dyDescent="0.25">
      <c r="A277">
        <v>16522</v>
      </c>
      <c r="B277" t="s">
        <v>4</v>
      </c>
      <c r="C277" t="str">
        <f t="shared" si="6"/>
        <v>8517900##</v>
      </c>
      <c r="E277" t="str">
        <f>IFERROR(VLOOKUP(1*LEFT(C277,7),DF!$A$1:$F$9447,2,FALSE),"")</f>
        <v>GUANTES TACTICO MITON NEGRO LARGO OR</v>
      </c>
      <c r="F277">
        <v>8517900</v>
      </c>
      <c r="G277" t="s">
        <v>13498</v>
      </c>
      <c r="H277">
        <v>2</v>
      </c>
    </row>
    <row r="278" spans="1:9" x14ac:dyDescent="0.25">
      <c r="A278">
        <v>16522</v>
      </c>
      <c r="B278" t="s">
        <v>4</v>
      </c>
      <c r="C278" t="str">
        <f t="shared" si="6"/>
        <v>8517904##</v>
      </c>
      <c r="E278" t="str">
        <f>IFERROR(VLOOKUP(1*LEFT(C278,7),DF!$A$1:$F$9447,2,FALSE),"")</f>
        <v>GUANTES TACTICO MITON VERDE CORTO OR</v>
      </c>
      <c r="F278">
        <v>8517904</v>
      </c>
      <c r="G278" t="s">
        <v>13499</v>
      </c>
      <c r="H278">
        <v>3</v>
      </c>
    </row>
    <row r="279" spans="1:9" x14ac:dyDescent="0.25">
      <c r="A279">
        <v>16522</v>
      </c>
      <c r="B279" t="s">
        <v>4</v>
      </c>
      <c r="C279" t="str">
        <f t="shared" si="6"/>
        <v>8517902##</v>
      </c>
      <c r="E279" t="str">
        <f>IFERROR(VLOOKUP(1*LEFT(C279,7),DF!$A$1:$F$9447,2,FALSE),"")</f>
        <v>GUANTES TACTICO MITON VERDE LARGO OR</v>
      </c>
      <c r="F279">
        <v>8517902</v>
      </c>
      <c r="G279" t="s">
        <v>13500</v>
      </c>
      <c r="H279">
        <v>4</v>
      </c>
    </row>
    <row r="280" spans="1:9" x14ac:dyDescent="0.25">
      <c r="A280" s="2">
        <v>16522</v>
      </c>
      <c r="B280" s="2" t="s">
        <v>4</v>
      </c>
      <c r="C280" s="2" t="str">
        <f t="shared" si="6"/>
        <v>8517000##</v>
      </c>
      <c r="D280" s="2"/>
      <c r="E280" s="2" t="str">
        <f>IFERROR(VLOOKUP(1*LEFT(C280,7),DF!$A$1:$F$9447,2,FALSE),"")</f>
        <v>GUANTES TERMICOS NEGRO RER</v>
      </c>
      <c r="F280" s="7">
        <v>8517000</v>
      </c>
      <c r="G280" t="s">
        <v>13501</v>
      </c>
      <c r="H280">
        <v>2</v>
      </c>
      <c r="I280">
        <v>1</v>
      </c>
    </row>
    <row r="281" spans="1:9" x14ac:dyDescent="0.25">
      <c r="A281">
        <v>16522</v>
      </c>
      <c r="B281" t="s">
        <v>4</v>
      </c>
      <c r="C281" t="str">
        <f t="shared" si="6"/>
        <v>7703056##</v>
      </c>
      <c r="E281" t="str">
        <f>IFERROR(VLOOKUP(1*LEFT(C281,7),DF!$A$1:$F$9447,2,FALSE),"")</f>
        <v>HOMB BI PENIT MZA 2 SOL SERR Y PALMA PREFECTO</v>
      </c>
      <c r="F281">
        <v>7703056</v>
      </c>
      <c r="G281" t="s">
        <v>13502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6"/>
        <v>7703057##</v>
      </c>
      <c r="E282" t="str">
        <f>IFERROR(VLOOKUP(1*LEFT(C282,7),DF!$A$1:$F$9447,2,FALSE),"")</f>
        <v>HOMB BI PENIT MZA 3 SOL SERR Y PALMA  PREF.GRAL.</v>
      </c>
      <c r="F282">
        <v>7703057</v>
      </c>
      <c r="G282" t="s">
        <v>13503</v>
      </c>
      <c r="H282">
        <v>1</v>
      </c>
    </row>
    <row r="283" spans="1:9" x14ac:dyDescent="0.25">
      <c r="A283">
        <v>16522</v>
      </c>
      <c r="B283" t="s">
        <v>4</v>
      </c>
      <c r="C283" t="str">
        <f t="shared" si="6"/>
        <v>7703051##</v>
      </c>
      <c r="E283" t="str">
        <f>IFERROR(VLOOKUP(1*LEFT(C283,7),DF!$A$1:$F$9447,2,FALSE),"")</f>
        <v>HOMB BI PENIT MZA ADJUTOR 2 SOL PLATEADO</v>
      </c>
      <c r="F283">
        <v>7703051</v>
      </c>
      <c r="G283" s="9" t="s">
        <v>13504</v>
      </c>
      <c r="H283">
        <v>2</v>
      </c>
    </row>
    <row r="284" spans="1:9" x14ac:dyDescent="0.25">
      <c r="A284">
        <v>16522</v>
      </c>
      <c r="B284" t="s">
        <v>4</v>
      </c>
      <c r="C284" t="str">
        <f t="shared" si="6"/>
        <v>7703052##</v>
      </c>
      <c r="E284" t="str">
        <f>IFERROR(VLOOKUP(1*LEFT(C284,7),DF!$A$1:$F$9447,2,FALSE),"")</f>
        <v>HOMB BI PENIT MZA ADJUTOR PRINCIPAL 3 SOL PLATEADO</v>
      </c>
      <c r="F284">
        <v>7703052</v>
      </c>
      <c r="G284" t="s">
        <v>13505</v>
      </c>
      <c r="H284">
        <v>1</v>
      </c>
    </row>
    <row r="285" spans="1:9" x14ac:dyDescent="0.25">
      <c r="A285">
        <v>16522</v>
      </c>
      <c r="B285" t="s">
        <v>4</v>
      </c>
      <c r="C285" t="str">
        <f t="shared" si="6"/>
        <v>7703050##</v>
      </c>
      <c r="E285" t="str">
        <f>IFERROR(VLOOKUP(1*LEFT(C285,7),DF!$A$1:$F$9447,2,FALSE),"")</f>
        <v>HOMB BI PENIT MZA SUB ADJUTOR 1 SOL PLATEADO</v>
      </c>
      <c r="F285">
        <v>7703050</v>
      </c>
      <c r="G285" s="9" t="s">
        <v>13506</v>
      </c>
      <c r="H285">
        <v>1</v>
      </c>
    </row>
    <row r="286" spans="1:9" x14ac:dyDescent="0.25">
      <c r="A286">
        <v>16522</v>
      </c>
      <c r="B286" t="s">
        <v>4</v>
      </c>
      <c r="C286" t="str">
        <f t="shared" si="6"/>
        <v>7703053##</v>
      </c>
      <c r="E286" t="str">
        <f>IFERROR(VLOOKUP(1*LEFT(C286,7),DF!$A$1:$F$9447,2,FALSE),"")</f>
        <v>HOMB BI PENIT MZA SUB ALCAIDE SERRETA 1 SOL DORADO</v>
      </c>
      <c r="F286">
        <v>7703053</v>
      </c>
      <c r="G286" t="s">
        <v>13507</v>
      </c>
      <c r="H286">
        <v>2</v>
      </c>
    </row>
    <row r="287" spans="1:9" x14ac:dyDescent="0.25">
      <c r="A287">
        <v>16522</v>
      </c>
      <c r="B287" t="s">
        <v>4</v>
      </c>
      <c r="C287" t="str">
        <f t="shared" si="6"/>
        <v>7703109##</v>
      </c>
      <c r="E287" t="str">
        <f>IFERROR(VLOOKUP(1*LEFT(C287,7),DF!$A$1:$F$9447,2,FALSE),"")</f>
        <v>HOMB BI POL ALCAIDE MAYOR 3SOL + SERR BI</v>
      </c>
      <c r="F287">
        <v>7703109</v>
      </c>
      <c r="G287" t="s">
        <v>13508</v>
      </c>
      <c r="H287">
        <v>1</v>
      </c>
    </row>
    <row r="288" spans="1:9" x14ac:dyDescent="0.25">
      <c r="A288">
        <v>16522</v>
      </c>
      <c r="B288" t="s">
        <v>4</v>
      </c>
      <c r="C288" t="str">
        <f t="shared" si="6"/>
        <v>7703185##</v>
      </c>
      <c r="E288" t="str">
        <f>IFERROR(VLOOKUP(1*LEFT(C288,7),DF!$A$1:$F$9447,2,FALSE),"")</f>
        <v>HOMB BI POL COMISARIO GENERAL</v>
      </c>
      <c r="F288">
        <v>7703185</v>
      </c>
      <c r="G288" t="s">
        <v>13509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6"/>
        <v>7703164##</v>
      </c>
      <c r="D289" s="2"/>
      <c r="E289" s="2" t="str">
        <f>IFERROR(VLOOKUP(1*LEFT(C289,7),DF!$A$1:$F$9447,2,FALSE),"")</f>
        <v>HOMB BI POL MZA AUX. SUPERIOR</v>
      </c>
      <c r="F289">
        <v>7703164</v>
      </c>
      <c r="G289" t="s">
        <v>13510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6"/>
        <v>7703158##</v>
      </c>
      <c r="E290" t="str">
        <f>IFERROR(VLOOKUP(1*LEFT(C290,7),DF!$A$1:$F$9447,2,FALSE),"")</f>
        <v>HOMB BORD ORO CRIO GRAL 3 ROMBOS DG</v>
      </c>
      <c r="F290">
        <v>7703158</v>
      </c>
      <c r="G290" t="s">
        <v>13511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6"/>
        <v>7703157##</v>
      </c>
      <c r="E291" t="str">
        <f>IFERROR(VLOOKUP(1*LEFT(C291,7),DF!$A$1:$F$9447,2,FALSE),"")</f>
        <v>HOMB BORD ORO CRIO GRAL 4 ROMBOS DG</v>
      </c>
      <c r="F291">
        <v>7703157</v>
      </c>
      <c r="G291" t="s">
        <v>13512</v>
      </c>
      <c r="H291">
        <v>2</v>
      </c>
    </row>
    <row r="292" spans="1:8" x14ac:dyDescent="0.25">
      <c r="A292" s="2">
        <v>16522</v>
      </c>
      <c r="B292" s="2" t="s">
        <v>4</v>
      </c>
      <c r="C292" s="2" t="str">
        <f t="shared" si="6"/>
        <v>7703815##</v>
      </c>
      <c r="D292" s="2"/>
      <c r="E292" s="2" t="str">
        <f>IFERROR(VLOOKUP(1*LEFT(C292,7),DF!$A$1:$F$9447,2,FALSE),"")</f>
        <v>HOMB GALA NUDO HUNGARO DORADA AZZ</v>
      </c>
      <c r="F292">
        <v>7703815</v>
      </c>
      <c r="G292" t="s">
        <v>13513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 t="shared" si="6"/>
        <v>7703881##</v>
      </c>
      <c r="D293" s="2"/>
      <c r="E293" s="2" t="str">
        <f>IFERROR(VLOOKUP(1*LEFT(C293,7),DF!$A$1:$F$9447,2,FALSE),"")</f>
        <v>HOMB GALA NUDO HUNGARO PLATEADA AZZ</v>
      </c>
      <c r="F293">
        <v>7703881</v>
      </c>
      <c r="G293" t="s">
        <v>13514</v>
      </c>
      <c r="H293">
        <v>2</v>
      </c>
    </row>
    <row r="294" spans="1:8" x14ac:dyDescent="0.25">
      <c r="A294">
        <v>16522</v>
      </c>
      <c r="B294" t="s">
        <v>4</v>
      </c>
      <c r="C294" t="str">
        <f t="shared" si="6"/>
        <v>7703129##</v>
      </c>
      <c r="E294" t="str">
        <f>IFERROR(VLOOKUP(1*LEFT(C294,7),DF!$A$1:$F$9447,2,FALSE),"")</f>
        <v>HOMB GALA POLICIA CINTA LAU DORADA</v>
      </c>
      <c r="F294">
        <v>7703129</v>
      </c>
      <c r="G294" t="s">
        <v>13515</v>
      </c>
      <c r="H294">
        <v>1</v>
      </c>
    </row>
    <row r="295" spans="1:8" x14ac:dyDescent="0.25">
      <c r="A295">
        <v>16522</v>
      </c>
      <c r="B295" t="s">
        <v>4</v>
      </c>
      <c r="C295" t="str">
        <f t="shared" si="6"/>
        <v>7703130##</v>
      </c>
      <c r="E295" t="str">
        <f>IFERROR(VLOOKUP(1*LEFT(C295,7),DF!$A$1:$F$9447,2,FALSE),"")</f>
        <v>HOMB GALA POLICIA CINTA LAU NEGRA</v>
      </c>
      <c r="F295">
        <v>7703130</v>
      </c>
      <c r="G295" t="s">
        <v>13516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6"/>
        <v>7703702##</v>
      </c>
      <c r="D296" s="2"/>
      <c r="E296" s="2" t="str">
        <f>IFERROR(VLOOKUP(1*LEFT(C296,7),DF!$A$1:$F$9447,2,FALSE),"")</f>
        <v>HOMB NEGRA CABO 1 RER</v>
      </c>
      <c r="F296">
        <v>7703702</v>
      </c>
      <c r="G296" t="s">
        <v>13517</v>
      </c>
      <c r="H296">
        <v>2</v>
      </c>
    </row>
    <row r="297" spans="1:8" x14ac:dyDescent="0.25">
      <c r="A297" s="2">
        <v>16522</v>
      </c>
      <c r="B297" s="2" t="s">
        <v>4</v>
      </c>
      <c r="C297" s="2" t="str">
        <f t="shared" si="6"/>
        <v>7703701##</v>
      </c>
      <c r="D297" s="2"/>
      <c r="E297" s="2" t="str">
        <f>IFERROR(VLOOKUP(1*LEFT(C297,7),DF!$A$1:$F$9447,2,FALSE),"")</f>
        <v>HOMB NEGRA CABO RER</v>
      </c>
      <c r="F297">
        <v>7703701</v>
      </c>
      <c r="G297" t="s">
        <v>13518</v>
      </c>
      <c r="H297">
        <v>2</v>
      </c>
    </row>
    <row r="298" spans="1:8" x14ac:dyDescent="0.25">
      <c r="A298" s="2">
        <v>16522</v>
      </c>
      <c r="B298" s="2" t="s">
        <v>4</v>
      </c>
      <c r="C298" s="2" t="str">
        <f t="shared" si="6"/>
        <v>7703704##</v>
      </c>
      <c r="D298" s="2"/>
      <c r="E298" s="2" t="str">
        <f>IFERROR(VLOOKUP(1*LEFT(C298,7),DF!$A$1:$F$9447,2,FALSE),"")</f>
        <v>HOMB NEGRA SARGENTO 1 RER</v>
      </c>
      <c r="F298">
        <v>7703704</v>
      </c>
      <c r="G298" t="s">
        <v>13519</v>
      </c>
      <c r="H298">
        <v>3</v>
      </c>
    </row>
    <row r="299" spans="1:8" x14ac:dyDescent="0.25">
      <c r="A299" s="2">
        <v>16522</v>
      </c>
      <c r="B299" s="2" t="s">
        <v>4</v>
      </c>
      <c r="C299" s="2" t="str">
        <f t="shared" si="6"/>
        <v>7703705##</v>
      </c>
      <c r="D299" s="2"/>
      <c r="E299" s="2" t="str">
        <f>IFERROR(VLOOKUP(1*LEFT(C299,7),DF!$A$1:$F$9447,2,FALSE),"")</f>
        <v>HOMB NEGRA SARGENTO AYUDANTE RER</v>
      </c>
      <c r="F299">
        <v>7703705</v>
      </c>
      <c r="G299" t="s">
        <v>13520</v>
      </c>
      <c r="H299">
        <v>3</v>
      </c>
    </row>
    <row r="300" spans="1:8" x14ac:dyDescent="0.25">
      <c r="A300" s="2">
        <v>16522</v>
      </c>
      <c r="B300" s="2" t="s">
        <v>4</v>
      </c>
      <c r="C300" s="2" t="str">
        <f t="shared" si="6"/>
        <v>7703703##</v>
      </c>
      <c r="D300" s="2"/>
      <c r="E300" s="2" t="str">
        <f>IFERROR(VLOOKUP(1*LEFT(C300,7),DF!$A$1:$F$9447,2,FALSE),"")</f>
        <v>HOMB NEGRA SARGENTO RER</v>
      </c>
      <c r="F300">
        <v>7703703</v>
      </c>
      <c r="G300" t="s">
        <v>13521</v>
      </c>
      <c r="H300">
        <v>3</v>
      </c>
    </row>
    <row r="301" spans="1:8" x14ac:dyDescent="0.25">
      <c r="A301" s="2">
        <v>16522</v>
      </c>
      <c r="B301" s="2" t="s">
        <v>4</v>
      </c>
      <c r="C301" s="2" t="str">
        <f t="shared" si="6"/>
        <v>7703707##</v>
      </c>
      <c r="D301" s="2"/>
      <c r="E301" s="2" t="str">
        <f>IFERROR(VLOOKUP(1*LEFT(C301,7),DF!$A$1:$F$9447,2,FALSE),"")</f>
        <v>HOMB NEGRA SUB OF MAYOR RER</v>
      </c>
      <c r="F301">
        <v>7703707</v>
      </c>
      <c r="G301" t="s">
        <v>13522</v>
      </c>
      <c r="H301">
        <v>2</v>
      </c>
    </row>
    <row r="302" spans="1:8" x14ac:dyDescent="0.25">
      <c r="A302" s="2">
        <v>16522</v>
      </c>
      <c r="B302" s="2" t="s">
        <v>4</v>
      </c>
      <c r="C302" s="2" t="str">
        <f t="shared" si="6"/>
        <v>7703706##</v>
      </c>
      <c r="D302" s="2"/>
      <c r="E302" s="2" t="str">
        <f>IFERROR(VLOOKUP(1*LEFT(C302,7),DF!$A$1:$F$9447,2,FALSE),"")</f>
        <v>HOMB NEGRA SUB OP PRINCIPAL RER</v>
      </c>
      <c r="F302">
        <v>7703706</v>
      </c>
      <c r="G302" t="s">
        <v>13523</v>
      </c>
      <c r="H302">
        <v>3</v>
      </c>
    </row>
    <row r="303" spans="1:8" x14ac:dyDescent="0.25">
      <c r="A303" s="2">
        <v>16522</v>
      </c>
      <c r="B303" s="2" t="s">
        <v>4</v>
      </c>
      <c r="C303" s="2" t="str">
        <f t="shared" si="6"/>
        <v>7700100##</v>
      </c>
      <c r="D303" s="2"/>
      <c r="E303" s="2" t="str">
        <f>IFERROR(VLOOKUP(1*LEFT(C303,7),DF!$A$1:$F$9447,2,FALSE),"")</f>
        <v>INSIG AZUL CABO  COLGAR</v>
      </c>
      <c r="F303">
        <v>7700100</v>
      </c>
      <c r="G303" t="s">
        <v>13524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6"/>
        <v>7700101##</v>
      </c>
      <c r="D304" s="2"/>
      <c r="E304" s="2" t="str">
        <f>IFERROR(VLOOKUP(1*LEFT(C304,7),DF!$A$1:$F$9447,2,FALSE),"")</f>
        <v>INSIG AZUL CABO 1RO COLGAR</v>
      </c>
      <c r="F304">
        <v>7700101</v>
      </c>
      <c r="G304" t="s">
        <v>13525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7700202##</v>
      </c>
      <c r="D305" s="2"/>
      <c r="E305" s="2" t="str">
        <f>IFERROR(VLOOKUP(1*LEFT(C305,7),DF!$A$1:$F$9447,2,FALSE),"")</f>
        <v>INSIG AZUL CABO 1RO POR PAR</v>
      </c>
      <c r="F305">
        <v>7700202</v>
      </c>
      <c r="G305" t="s">
        <v>13526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7700200##</v>
      </c>
      <c r="D306" s="2"/>
      <c r="E306" s="2" t="str">
        <f>IFERROR(VLOOKUP(1*LEFT(C306,7),DF!$A$1:$F$9447,2,FALSE),"")</f>
        <v>INSIG AZUL CABO POR PAR</v>
      </c>
      <c r="F306">
        <v>7700200</v>
      </c>
      <c r="G306" t="s">
        <v>13527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6"/>
        <v>7700105##</v>
      </c>
      <c r="D307" s="2"/>
      <c r="E307" s="2" t="str">
        <f>IFERROR(VLOOKUP(1*LEFT(C307,7),DF!$A$1:$F$9447,2,FALSE),"")</f>
        <v>INSIG AZUL SARG AYTE COLGAR</v>
      </c>
      <c r="F307">
        <v>7700105</v>
      </c>
      <c r="G307" t="s">
        <v>13528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6"/>
        <v>7700104##</v>
      </c>
      <c r="D308" s="2"/>
      <c r="E308" s="2" t="str">
        <f>IFERROR(VLOOKUP(1*LEFT(C308,7),DF!$A$1:$F$9447,2,FALSE),"")</f>
        <v>INSIG AZUL SARGENTO 1RO COLGAR</v>
      </c>
      <c r="F308">
        <v>7700104</v>
      </c>
      <c r="G308" t="s">
        <v>13529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6"/>
        <v>7700204##</v>
      </c>
      <c r="D309" s="2"/>
      <c r="E309" s="2" t="str">
        <f>IFERROR(VLOOKUP(1*LEFT(C309,7),DF!$A$1:$F$9447,2,FALSE),"")</f>
        <v>INSIG AZUL SARGENTO 1RO POR PAR</v>
      </c>
      <c r="F309">
        <v>7700204</v>
      </c>
      <c r="G309" t="s">
        <v>13530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7700205##</v>
      </c>
      <c r="D310" s="2"/>
      <c r="E310" s="2" t="str">
        <f>IFERROR(VLOOKUP(1*LEFT(C310,7),DF!$A$1:$F$9447,2,FALSE),"")</f>
        <v>INSIG AZUL SARGENTO AYTE POR PAR</v>
      </c>
      <c r="F310">
        <v>7700205</v>
      </c>
      <c r="G310" t="s">
        <v>13531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6"/>
        <v>7700103##</v>
      </c>
      <c r="D311" s="2"/>
      <c r="E311" s="2" t="str">
        <f>IFERROR(VLOOKUP(1*LEFT(C311,7),DF!$A$1:$F$9447,2,FALSE),"")</f>
        <v>INSIG AZUL SARGENTO COLGAR</v>
      </c>
      <c r="F311">
        <v>7700103</v>
      </c>
      <c r="G311" t="s">
        <v>13532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6"/>
        <v>7700203##</v>
      </c>
      <c r="D312" s="2"/>
      <c r="E312" s="2" t="str">
        <f>IFERROR(VLOOKUP(1*LEFT(C312,7),DF!$A$1:$F$9447,2,FALSE),"")</f>
        <v>INSIG AZUL SARGENTO POR PAR</v>
      </c>
      <c r="F312">
        <v>7700203</v>
      </c>
      <c r="G312" t="s">
        <v>13533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6"/>
        <v>7700207##</v>
      </c>
      <c r="D313" s="2"/>
      <c r="E313" s="2" t="str">
        <f>IFERROR(VLOOKUP(1*LEFT(C313,7),DF!$A$1:$F$9447,2,FALSE),"")</f>
        <v>INSIG AZUL SUBOF MAYOR POR PAR</v>
      </c>
      <c r="F313">
        <v>7700207</v>
      </c>
      <c r="G313" t="s">
        <v>13534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6"/>
        <v>7700106##</v>
      </c>
      <c r="D314" s="2"/>
      <c r="E314" s="2" t="str">
        <f>IFERROR(VLOOKUP(1*LEFT(C314,7),DF!$A$1:$F$9447,2,FALSE),"")</f>
        <v>INSIG AZUL SUBOF PPAL COLGAR</v>
      </c>
      <c r="F314">
        <v>7700106</v>
      </c>
      <c r="G314" t="s">
        <v>13535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6"/>
        <v>7700206##</v>
      </c>
      <c r="D315" s="2"/>
      <c r="E315" s="2" t="str">
        <f>IFERROR(VLOOKUP(1*LEFT(C315,7),DF!$A$1:$F$9447,2,FALSE),"")</f>
        <v>INSIG AZUL SUBOF PPAL POR PAR</v>
      </c>
      <c r="F315">
        <v>7700206</v>
      </c>
      <c r="G315" t="s">
        <v>13536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6"/>
        <v>8505708##</v>
      </c>
      <c r="D316" s="2"/>
      <c r="E316" s="2" t="str">
        <f>IFERROR(VLOOKUP(1*LEFT(C316,7),DF!$A$1:$F$9447,2,FALSE),"")</f>
        <v>INSIG BI CABO BEIGE BI</v>
      </c>
      <c r="F316">
        <v>8505708</v>
      </c>
      <c r="G316" t="s">
        <v>13537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6"/>
        <v>8505709##</v>
      </c>
      <c r="D317" s="2"/>
      <c r="E317" s="2" t="str">
        <f>IFERROR(VLOOKUP(1*LEFT(C317,7),DF!$A$1:$F$9447,2,FALSE),"")</f>
        <v>INSIG BI CABO PRIMERO BEIGE BI</v>
      </c>
      <c r="F317" s="7">
        <v>8505709</v>
      </c>
      <c r="G317" t="s">
        <v>13538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6"/>
        <v>8505705##</v>
      </c>
      <c r="D318" s="2"/>
      <c r="E318" s="2" t="str">
        <f>IFERROR(VLOOKUP(1*LEFT(C318,7),DF!$A$1:$F$9447,2,FALSE),"")</f>
        <v>INSIG BI SARGENTO AYUDANTE AZUL/AMARILLO</v>
      </c>
      <c r="F318">
        <v>8505705</v>
      </c>
      <c r="G318" t="s">
        <v>13539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6"/>
        <v>8505707##</v>
      </c>
      <c r="D319" s="2"/>
      <c r="E319" s="2" t="str">
        <f>IFERROR(VLOOKUP(1*LEFT(C319,7),DF!$A$1:$F$9447,2,FALSE),"")</f>
        <v>INSIG BI SUB OFICIAL MAYOR AZUL/AMARILLO</v>
      </c>
      <c r="F319">
        <v>8505707</v>
      </c>
      <c r="G319" t="s">
        <v>13540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 t="shared" ref="C320:C383" si="7">CONCATENATE(F320,"##")</f>
        <v>8505706##</v>
      </c>
      <c r="D320" s="2"/>
      <c r="E320" s="2" t="str">
        <f>IFERROR(VLOOKUP(1*LEFT(C320,7),DF!$A$1:$F$9447,2,FALSE),"")</f>
        <v>INSIG BI SUB OFICIAL PPAL AZUL/AMARILLO</v>
      </c>
      <c r="F320">
        <v>8505706</v>
      </c>
      <c r="G320" t="s">
        <v>13541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 t="shared" si="7"/>
        <v>7700702##</v>
      </c>
      <c r="D321" s="2"/>
      <c r="E321" s="2" t="str">
        <f>IFERROR(VLOOKUP(1*LEFT(C321,7),DF!$A$1:$F$9447,2,FALSE),"")</f>
        <v>INSIG BLANCA CABO P/COLGAR RER</v>
      </c>
      <c r="F321">
        <v>7700702</v>
      </c>
      <c r="G321" t="s">
        <v>13542</v>
      </c>
      <c r="H321">
        <v>1</v>
      </c>
    </row>
    <row r="322" spans="1:8" x14ac:dyDescent="0.25">
      <c r="A322" s="2">
        <v>16522</v>
      </c>
      <c r="B322" s="2" t="s">
        <v>4</v>
      </c>
      <c r="C322" s="2" t="str">
        <f t="shared" si="7"/>
        <v>7700700##</v>
      </c>
      <c r="D322" s="2"/>
      <c r="E322" s="2" t="str">
        <f>IFERROR(VLOOKUP(1*LEFT(C322,7),DF!$A$1:$F$9447,2,FALSE),"")</f>
        <v>INSIG BLANCA SARGENTO P/COLGAR RER</v>
      </c>
      <c r="F322">
        <v>7700700</v>
      </c>
      <c r="G322" t="s">
        <v>13543</v>
      </c>
      <c r="H322">
        <v>1</v>
      </c>
    </row>
    <row r="323" spans="1:8" x14ac:dyDescent="0.25">
      <c r="A323" s="2">
        <v>16522</v>
      </c>
      <c r="B323" s="2" t="s">
        <v>4</v>
      </c>
      <c r="C323" s="2" t="str">
        <f t="shared" si="7"/>
        <v>7701102##</v>
      </c>
      <c r="D323" s="2"/>
      <c r="E323" s="2" t="str">
        <f>IFERROR(VLOOKUP(1*LEFT(C323,7),DF!$A$1:$F$9447,2,FALSE),"")</f>
        <v>INSIG GOMA NEGRA CABO 1RO COLGAR GOA</v>
      </c>
      <c r="F323" s="7">
        <v>7701102</v>
      </c>
      <c r="G323" t="s">
        <v>13544</v>
      </c>
      <c r="H323">
        <v>1</v>
      </c>
    </row>
    <row r="324" spans="1:8" x14ac:dyDescent="0.25">
      <c r="A324" s="2">
        <v>16522</v>
      </c>
      <c r="B324" s="2" t="s">
        <v>4</v>
      </c>
      <c r="C324" s="2" t="str">
        <f t="shared" si="7"/>
        <v>7700505##</v>
      </c>
      <c r="D324" s="2"/>
      <c r="E324" s="2" t="str">
        <f>IFERROR(VLOOKUP(1*LEFT(C324,7),DF!$A$1:$F$9447,2,FALSE),"")</f>
        <v>INSIG ROJA CABO P/COLGAR</v>
      </c>
      <c r="F324">
        <v>7700505</v>
      </c>
      <c r="G324" t="s">
        <v>13545</v>
      </c>
      <c r="H324">
        <v>1</v>
      </c>
    </row>
    <row r="325" spans="1:8" x14ac:dyDescent="0.25">
      <c r="A325" s="2">
        <v>16522</v>
      </c>
      <c r="B325" s="2" t="s">
        <v>4</v>
      </c>
      <c r="C325" s="2" t="str">
        <f t="shared" si="7"/>
        <v>7700502##</v>
      </c>
      <c r="D325" s="2"/>
      <c r="E325" s="2" t="str">
        <f>IFERROR(VLOOKUP(1*LEFT(C325,7),DF!$A$1:$F$9447,2,FALSE),"")</f>
        <v>INSIG ROJA CABO PRIMERO P/COLGAR RER</v>
      </c>
      <c r="F325">
        <v>7700502</v>
      </c>
      <c r="G325" t="s">
        <v>13546</v>
      </c>
      <c r="H325">
        <v>1</v>
      </c>
    </row>
    <row r="326" spans="1:8" x14ac:dyDescent="0.25">
      <c r="A326" s="2">
        <v>16522</v>
      </c>
      <c r="B326" s="2" t="s">
        <v>4</v>
      </c>
      <c r="C326" s="2" t="str">
        <f t="shared" si="7"/>
        <v>7700508##</v>
      </c>
      <c r="D326" s="2"/>
      <c r="E326" s="2" t="str">
        <f>IFERROR(VLOOKUP(1*LEFT(C326,7),DF!$A$1:$F$9447,2,FALSE),"")</f>
        <v>INSIG ROJA PRINCIPAL P/COLGAR</v>
      </c>
      <c r="F326">
        <v>7700508</v>
      </c>
      <c r="G326" t="s">
        <v>13547</v>
      </c>
      <c r="H326">
        <v>1</v>
      </c>
    </row>
    <row r="327" spans="1:8" x14ac:dyDescent="0.25">
      <c r="A327" s="2">
        <v>16522</v>
      </c>
      <c r="B327" s="2" t="s">
        <v>4</v>
      </c>
      <c r="C327" s="2" t="str">
        <f t="shared" si="7"/>
        <v>7700507##</v>
      </c>
      <c r="D327" s="2"/>
      <c r="E327" s="2" t="str">
        <f>IFERROR(VLOOKUP(1*LEFT(C327,7),DF!$A$1:$F$9447,2,FALSE),"")</f>
        <v>INSIG ROJA SARGENTO 1RO P/COLGAR</v>
      </c>
      <c r="F327">
        <v>7700507</v>
      </c>
      <c r="G327" t="s">
        <v>13548</v>
      </c>
      <c r="H327">
        <v>1</v>
      </c>
    </row>
    <row r="328" spans="1:8" x14ac:dyDescent="0.25">
      <c r="A328" s="2">
        <v>16522</v>
      </c>
      <c r="B328" s="2" t="s">
        <v>4</v>
      </c>
      <c r="C328" s="2" t="str">
        <f t="shared" si="7"/>
        <v>7700501##</v>
      </c>
      <c r="D328" s="2"/>
      <c r="E328" s="2" t="str">
        <f>IFERROR(VLOOKUP(1*LEFT(C328,7),DF!$A$1:$F$9447,2,FALSE),"")</f>
        <v>INSIG ROJA SARGENTO AYTE P/COLGAR RER</v>
      </c>
      <c r="F328">
        <v>7700501</v>
      </c>
      <c r="G328" t="s">
        <v>13549</v>
      </c>
      <c r="H328">
        <v>1</v>
      </c>
    </row>
    <row r="329" spans="1:8" x14ac:dyDescent="0.25">
      <c r="A329" s="2">
        <v>16522</v>
      </c>
      <c r="B329" s="2" t="s">
        <v>4</v>
      </c>
      <c r="C329" s="2" t="str">
        <f t="shared" si="7"/>
        <v>7700501##</v>
      </c>
      <c r="D329" s="2"/>
      <c r="E329" s="2" t="str">
        <f>IFERROR(VLOOKUP(1*LEFT(C329,7),DF!$A$1:$F$9447,2,FALSE),"")</f>
        <v>INSIG ROJA SARGENTO AYTE P/COLGAR RER</v>
      </c>
      <c r="F329">
        <v>7700501</v>
      </c>
      <c r="G329" t="s">
        <v>13549</v>
      </c>
      <c r="H329">
        <v>1</v>
      </c>
    </row>
    <row r="330" spans="1:8" x14ac:dyDescent="0.25">
      <c r="A330" s="2">
        <v>16522</v>
      </c>
      <c r="B330" s="2" t="s">
        <v>4</v>
      </c>
      <c r="C330" s="2" t="str">
        <f t="shared" si="7"/>
        <v>7700506##</v>
      </c>
      <c r="D330" s="2"/>
      <c r="E330" s="2" t="str">
        <f>IFERROR(VLOOKUP(1*LEFT(C330,7),DF!$A$1:$F$9447,2,FALSE),"")</f>
        <v>INSIG ROJA SARGENTO P/COLGAR</v>
      </c>
      <c r="F330">
        <v>7700506</v>
      </c>
      <c r="G330" t="s">
        <v>13550</v>
      </c>
      <c r="H330">
        <v>1</v>
      </c>
    </row>
    <row r="331" spans="1:8" x14ac:dyDescent="0.25">
      <c r="A331">
        <v>16522</v>
      </c>
      <c r="B331" t="s">
        <v>4</v>
      </c>
      <c r="C331" t="str">
        <f t="shared" si="7"/>
        <v>8513173##</v>
      </c>
      <c r="E331" t="str">
        <f>IFERROR(VLOOKUP(1*LEFT(C331,7),DF!$A$1:$F$9447,2,FALSE),"")</f>
        <v>KIT DE LIMPIEZA ARMA CORTA-BAQUETA-CEPILLO-ACEITE-PAÑO</v>
      </c>
      <c r="F331">
        <v>8513173</v>
      </c>
      <c r="G331" t="s">
        <v>13551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 t="shared" si="7"/>
        <v>8513174##</v>
      </c>
      <c r="D332" s="2"/>
      <c r="E332" s="2" t="str">
        <f>IFERROR(VLOOKUP(1*LEFT(C332,7),DF!$A$1:$F$9447,2,FALSE),"")</f>
        <v>KIT DE LIMPIEZA LUBRI 50CC + BAQT9MM MAL</v>
      </c>
      <c r="F332">
        <v>8513174</v>
      </c>
      <c r="G332" t="s">
        <v>13552</v>
      </c>
      <c r="H332">
        <v>8</v>
      </c>
    </row>
    <row r="333" spans="1:8" x14ac:dyDescent="0.25">
      <c r="A333">
        <v>16522</v>
      </c>
      <c r="B333" t="s">
        <v>4</v>
      </c>
      <c r="C333" t="str">
        <f t="shared" si="7"/>
        <v>8503600##</v>
      </c>
      <c r="E333" t="str">
        <f>IFERROR(VLOOKUP(1*LEFT(C333,7),DF!$A$1:$F$9447,2,FALSE),"")</f>
        <v>KIT RODILLERAS Y CODERAS TACTICAS 5637-2</v>
      </c>
      <c r="F333">
        <v>8503600</v>
      </c>
      <c r="G333" t="s">
        <v>13553</v>
      </c>
      <c r="H333">
        <v>5</v>
      </c>
    </row>
    <row r="334" spans="1:8" x14ac:dyDescent="0.25">
      <c r="A334">
        <v>16522</v>
      </c>
      <c r="B334" t="s">
        <v>4</v>
      </c>
      <c r="C334" t="str">
        <f t="shared" si="7"/>
        <v>8520986##</v>
      </c>
      <c r="E334" t="str">
        <f>IFERROR(VLOOKUP(1*LEFT(C334,7),DF!$A$1:$F$9447,2,FALSE),"")</f>
        <v>LAPICERA TACTICA KUBOTAN B3</v>
      </c>
      <c r="F334">
        <v>8520986</v>
      </c>
      <c r="G334" t="s">
        <v>13554</v>
      </c>
      <c r="H334">
        <v>6</v>
      </c>
    </row>
    <row r="335" spans="1:8" x14ac:dyDescent="0.25">
      <c r="A335" s="2">
        <v>16522</v>
      </c>
      <c r="B335" s="2" t="s">
        <v>4</v>
      </c>
      <c r="C335" s="2" t="str">
        <f t="shared" si="7"/>
        <v>8520265##</v>
      </c>
      <c r="D335" s="2"/>
      <c r="E335" s="2" t="str">
        <f>IFERROR(VLOOKUP(1*LEFT(C335,7),DF!$A$1:$F$9447,2,FALSE),"")</f>
        <v>LINTERNA C/ZOOM 3X10CM 3F IMP 4733</v>
      </c>
      <c r="F335">
        <v>8520265</v>
      </c>
      <c r="G335" t="s">
        <v>14106</v>
      </c>
      <c r="H335">
        <v>2</v>
      </c>
    </row>
    <row r="336" spans="1:8" x14ac:dyDescent="0.25">
      <c r="A336">
        <v>16522</v>
      </c>
      <c r="B336" t="s">
        <v>4</v>
      </c>
      <c r="C336" t="str">
        <f t="shared" si="7"/>
        <v>8520165##</v>
      </c>
      <c r="E336" t="str">
        <f>IFERROR(VLOOKUP(1*LEFT(C336,7),DF!$A$1:$F$9447,2,FALSE),"")</f>
        <v>LINTERNA CON BALIZA RECARG. 0658</v>
      </c>
      <c r="F336">
        <v>8520165</v>
      </c>
      <c r="G336" t="s">
        <v>13555</v>
      </c>
      <c r="H336">
        <v>4</v>
      </c>
    </row>
    <row r="337" spans="1:8" x14ac:dyDescent="0.25">
      <c r="A337">
        <v>16522</v>
      </c>
      <c r="B337" t="s">
        <v>4</v>
      </c>
      <c r="C337" t="str">
        <f t="shared" si="7"/>
        <v>8520000##</v>
      </c>
      <c r="E337" t="str">
        <f>IFERROR(VLOOKUP(1*LEFT(C337,7),DF!$A$1:$F$9447,2,FALSE),"")</f>
        <v>LINTERNA MINERA RECARGABLE 0602</v>
      </c>
      <c r="F337">
        <v>8520000</v>
      </c>
      <c r="G337" t="s">
        <v>13556</v>
      </c>
      <c r="H337">
        <v>8</v>
      </c>
    </row>
    <row r="338" spans="1:8" x14ac:dyDescent="0.25">
      <c r="A338">
        <v>16522</v>
      </c>
      <c r="B338" t="s">
        <v>4</v>
      </c>
      <c r="C338" t="str">
        <f t="shared" si="7"/>
        <v>8520726##</v>
      </c>
      <c r="E338" t="str">
        <f>IFERROR(VLOOKUP(1*LEFT(C338,7),DF!$A$1:$F$9447,2,FALSE),"")</f>
        <v>LINTERNA PARA CICLISTAS USB 4726</v>
      </c>
      <c r="F338">
        <v>8520726</v>
      </c>
      <c r="G338" t="s">
        <v>13557</v>
      </c>
      <c r="H338">
        <v>6</v>
      </c>
    </row>
    <row r="339" spans="1:8" x14ac:dyDescent="0.25">
      <c r="A339" s="2">
        <v>16522</v>
      </c>
      <c r="B339" s="2" t="s">
        <v>4</v>
      </c>
      <c r="C339" s="2" t="str">
        <f t="shared" si="7"/>
        <v>8520014##</v>
      </c>
      <c r="D339" s="2"/>
      <c r="E339" s="2" t="str">
        <f>IFERROR(VLOOKUP(1*LEFT(C339,7),DF!$A$1:$F$9447,2,FALSE),"")</f>
        <v>LINTERNA RECARG USB CON CLIP 5621-1</v>
      </c>
      <c r="F339">
        <v>8520014</v>
      </c>
      <c r="G339" t="s">
        <v>14084</v>
      </c>
      <c r="H339">
        <v>4</v>
      </c>
    </row>
    <row r="340" spans="1:8" x14ac:dyDescent="0.25">
      <c r="A340" s="2">
        <v>16522</v>
      </c>
      <c r="B340" s="2" t="s">
        <v>4</v>
      </c>
      <c r="C340" s="2" t="str">
        <f t="shared" si="7"/>
        <v>8518011##</v>
      </c>
      <c r="D340" s="2"/>
      <c r="E340" s="2" t="str">
        <f>IFERROR(VLOOKUP(1*LEFT(C340,7),DF!$A$1:$F$9447,2,FALSE),"")</f>
        <v>MASCARA NEOPRENE RERDA RER</v>
      </c>
      <c r="F340">
        <v>8518011</v>
      </c>
      <c r="G340" t="s">
        <v>13558</v>
      </c>
      <c r="H340">
        <v>3</v>
      </c>
    </row>
    <row r="341" spans="1:8" x14ac:dyDescent="0.25">
      <c r="A341" s="2">
        <v>16522</v>
      </c>
      <c r="B341" s="2" t="s">
        <v>4</v>
      </c>
      <c r="C341" s="2" t="str">
        <f t="shared" si="7"/>
        <v>9003100##</v>
      </c>
      <c r="D341" s="2"/>
      <c r="E341" s="2" t="str">
        <f>IFERROR(VLOOKUP(1*LEFT(C341,7),DF!$A$1:$F$9447,2,FALSE),"")</f>
        <v>MEDIAS EXTREME RERDA CORTA RER</v>
      </c>
      <c r="F341" s="7">
        <v>9003100</v>
      </c>
      <c r="G341" t="s">
        <v>13559</v>
      </c>
      <c r="H341">
        <v>3</v>
      </c>
    </row>
    <row r="342" spans="1:8" x14ac:dyDescent="0.25">
      <c r="A342" s="2">
        <v>16522</v>
      </c>
      <c r="B342" s="2" t="s">
        <v>4</v>
      </c>
      <c r="C342" s="2" t="str">
        <f t="shared" si="7"/>
        <v>9003101##</v>
      </c>
      <c r="D342" s="2"/>
      <c r="E342" s="2" t="str">
        <f>IFERROR(VLOOKUP(1*LEFT(C342,7),DF!$A$1:$F$9447,2,FALSE),"")</f>
        <v>MEDIAS EXTREME RERDA LARGA RER</v>
      </c>
      <c r="F342" s="7">
        <v>9003101</v>
      </c>
      <c r="G342" t="s">
        <v>13560</v>
      </c>
      <c r="H342">
        <v>3</v>
      </c>
    </row>
    <row r="343" spans="1:8" x14ac:dyDescent="0.25">
      <c r="A343" s="2">
        <v>16522</v>
      </c>
      <c r="B343" s="2" t="s">
        <v>4</v>
      </c>
      <c r="C343" s="2" t="str">
        <f t="shared" si="7"/>
        <v>7707522##</v>
      </c>
      <c r="D343" s="2"/>
      <c r="E343" s="2" t="str">
        <f>IFERROR(VLOOKUP(1*LEFT(C343,7),DF!$A$1:$F$9447,2,FALSE),"")</f>
        <v>METAL ESTRELLA ANTIGUEDAD 5 PUNTAS FEM</v>
      </c>
      <c r="F343">
        <v>7707522</v>
      </c>
      <c r="G343" t="s">
        <v>14113</v>
      </c>
      <c r="H343">
        <v>1</v>
      </c>
    </row>
    <row r="344" spans="1:8" x14ac:dyDescent="0.25">
      <c r="A344" s="2">
        <v>16522</v>
      </c>
      <c r="B344" s="2" t="s">
        <v>4</v>
      </c>
      <c r="C344" s="2" t="str">
        <f t="shared" si="7"/>
        <v>7707570##</v>
      </c>
      <c r="D344" s="2"/>
      <c r="E344" s="2" t="str">
        <f>IFERROR(VLOOKUP(1*LEFT(C344,7),DF!$A$1:$F$9447,2,FALSE),"")</f>
        <v>METAL FUSILES CRUZADOS FEM</v>
      </c>
      <c r="F344">
        <v>7707570</v>
      </c>
      <c r="G344" t="s">
        <v>14114</v>
      </c>
      <c r="H344">
        <v>1</v>
      </c>
    </row>
    <row r="345" spans="1:8" x14ac:dyDescent="0.25">
      <c r="A345" s="2">
        <v>16522</v>
      </c>
      <c r="B345" s="2" t="s">
        <v>4</v>
      </c>
      <c r="C345" s="2" t="str">
        <f t="shared" si="7"/>
        <v>7707556##</v>
      </c>
      <c r="D345" s="2"/>
      <c r="E345" s="2" t="str">
        <f>IFERROR(VLOOKUP(1*LEFT(C345,7),DF!$A$1:$F$9447,2,FALSE),"")</f>
        <v>METAL ROMBO 16 MM. DORADO FEM</v>
      </c>
      <c r="F345">
        <v>7707556</v>
      </c>
      <c r="G345" t="s">
        <v>13561</v>
      </c>
      <c r="H345">
        <v>2</v>
      </c>
    </row>
    <row r="346" spans="1:8" x14ac:dyDescent="0.25">
      <c r="A346" s="2">
        <v>16522</v>
      </c>
      <c r="B346" s="2" t="s">
        <v>4</v>
      </c>
      <c r="C346" s="2" t="str">
        <f t="shared" si="7"/>
        <v>7707557##</v>
      </c>
      <c r="D346" s="2"/>
      <c r="E346" s="2" t="str">
        <f>IFERROR(VLOOKUP(1*LEFT(C346,7),DF!$A$1:$F$9447,2,FALSE),"")</f>
        <v>METAL ROMBO 16MM.PLATEADO FEM</v>
      </c>
      <c r="F346">
        <v>7707557</v>
      </c>
      <c r="G346" t="s">
        <v>13562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 t="shared" si="7"/>
        <v>7707714##</v>
      </c>
      <c r="D347" s="2"/>
      <c r="E347" s="2" t="str">
        <f>IFERROR(VLOOKUP(1*LEFT(C347,7),DF!$A$1:$F$9447,2,FALSE),"")</f>
        <v>METAL ROMBO 22 DORADO FEM</v>
      </c>
      <c r="F347">
        <v>7707714</v>
      </c>
      <c r="G347" t="s">
        <v>13563</v>
      </c>
      <c r="H347">
        <v>3</v>
      </c>
    </row>
    <row r="348" spans="1:8" x14ac:dyDescent="0.25">
      <c r="A348" s="2">
        <v>16522</v>
      </c>
      <c r="B348" s="2" t="s">
        <v>4</v>
      </c>
      <c r="C348" s="2" t="str">
        <f t="shared" si="7"/>
        <v>7707154##</v>
      </c>
      <c r="D348" s="2"/>
      <c r="E348" s="2" t="str">
        <f>IFERROR(VLOOKUP(1*LEFT(C348,7),DF!$A$1:$F$9447,2,FALSE),"")</f>
        <v>METAL ROMBO 22 PLATEADO FEM</v>
      </c>
      <c r="F348">
        <v>7707154</v>
      </c>
      <c r="G348" t="s">
        <v>13564</v>
      </c>
      <c r="H348">
        <v>3</v>
      </c>
    </row>
    <row r="349" spans="1:8" x14ac:dyDescent="0.25">
      <c r="A349" s="2">
        <v>16522</v>
      </c>
      <c r="B349" s="2" t="s">
        <v>4</v>
      </c>
      <c r="C349" s="2" t="str">
        <f t="shared" si="7"/>
        <v>7707552##</v>
      </c>
      <c r="D349" s="2"/>
      <c r="E349" s="2" t="str">
        <f>IFERROR(VLOOKUP(1*LEFT(C349,7),DF!$A$1:$F$9447,2,FALSE),"")</f>
        <v>METAL ROMBO 25MM. DORADO FEM</v>
      </c>
      <c r="F349">
        <v>7707552</v>
      </c>
      <c r="G349" t="s">
        <v>13565</v>
      </c>
      <c r="H349">
        <v>3</v>
      </c>
    </row>
    <row r="350" spans="1:8" x14ac:dyDescent="0.25">
      <c r="A350" s="2">
        <v>16522</v>
      </c>
      <c r="B350" s="2" t="s">
        <v>4</v>
      </c>
      <c r="C350" s="2" t="str">
        <f t="shared" si="7"/>
        <v>7707553##</v>
      </c>
      <c r="D350" s="2"/>
      <c r="E350" s="2" t="str">
        <f>IFERROR(VLOOKUP(1*LEFT(C350,7),DF!$A$1:$F$9447,2,FALSE),"")</f>
        <v>METAL ROMBO 25MM. PLATEADO FEM</v>
      </c>
      <c r="F350">
        <v>7707553</v>
      </c>
      <c r="G350" t="s">
        <v>13566</v>
      </c>
      <c r="H350">
        <v>3</v>
      </c>
    </row>
    <row r="351" spans="1:8" x14ac:dyDescent="0.25">
      <c r="A351">
        <v>16522</v>
      </c>
      <c r="B351" t="s">
        <v>4</v>
      </c>
      <c r="C351" t="str">
        <f t="shared" si="7"/>
        <v>7707566##</v>
      </c>
      <c r="E351" t="str">
        <f>IFERROR(VLOOKUP(1*LEFT(C351,7),DF!$A$1:$F$9447,2,FALSE),"")</f>
        <v>METAL SERRETA 8/10 ONDAS FEM</v>
      </c>
      <c r="F351">
        <v>7707566</v>
      </c>
      <c r="G351" t="s">
        <v>13567</v>
      </c>
      <c r="H351">
        <v>4</v>
      </c>
    </row>
    <row r="352" spans="1:8" x14ac:dyDescent="0.25">
      <c r="A352">
        <v>16522</v>
      </c>
      <c r="B352" t="s">
        <v>4</v>
      </c>
      <c r="C352" t="str">
        <f t="shared" si="7"/>
        <v>7707260##</v>
      </c>
      <c r="E352" t="str">
        <f>IFERROR(VLOOKUP(1*LEFT(C352,7),DF!$A$1:$F$9447,2,FALSE),"")</f>
        <v>METAL SILBATO DE RONDA FEM</v>
      </c>
      <c r="F352">
        <v>7707260</v>
      </c>
      <c r="G352" t="s">
        <v>13568</v>
      </c>
      <c r="H352">
        <v>3</v>
      </c>
    </row>
    <row r="353" spans="1:8" x14ac:dyDescent="0.25">
      <c r="A353">
        <v>16522</v>
      </c>
      <c r="B353" t="s">
        <v>4</v>
      </c>
      <c r="C353" t="str">
        <f t="shared" si="7"/>
        <v>7707562##</v>
      </c>
      <c r="E353" t="str">
        <f>IFERROR(VLOOKUP(1*LEFT(C353,7),DF!$A$1:$F$9447,2,FALSE),"")</f>
        <v>METAL SILBATO DE SALIDA FEM</v>
      </c>
      <c r="F353">
        <v>7707562</v>
      </c>
      <c r="G353" t="s">
        <v>13569</v>
      </c>
      <c r="H353">
        <v>4</v>
      </c>
    </row>
    <row r="354" spans="1:8" x14ac:dyDescent="0.25">
      <c r="A354">
        <v>16522</v>
      </c>
      <c r="B354" t="s">
        <v>4</v>
      </c>
      <c r="C354" t="str">
        <f t="shared" si="7"/>
        <v>8708638##</v>
      </c>
      <c r="E354" t="str">
        <f>IFERROR(VLOOKUP(1*LEFT(C354,7),DF!$A$1:$F$9447,2,FALSE),"")</f>
        <v>MOCHILA CHALECO MOLLE DOBLE FUNCION 9638</v>
      </c>
      <c r="F354">
        <v>8708638</v>
      </c>
      <c r="G354" t="s">
        <v>13570</v>
      </c>
      <c r="H354">
        <v>2</v>
      </c>
    </row>
    <row r="355" spans="1:8" x14ac:dyDescent="0.25">
      <c r="A355" s="2">
        <v>16522</v>
      </c>
      <c r="B355" s="2" t="s">
        <v>4</v>
      </c>
      <c r="C355" s="2" t="str">
        <f t="shared" si="7"/>
        <v>8706002##</v>
      </c>
      <c r="D355" s="2"/>
      <c r="E355" s="2" t="str">
        <f>IFERROR(VLOOKUP(1*LEFT(C355,7),DF!$A$1:$F$9447,2,FALSE),"")</f>
        <v>MORRAL MOLLE C/POUCH NEGRO ETCH 07</v>
      </c>
      <c r="F355">
        <v>8706002</v>
      </c>
      <c r="G355" t="s">
        <v>14104</v>
      </c>
      <c r="H355">
        <v>5</v>
      </c>
    </row>
    <row r="356" spans="1:8" x14ac:dyDescent="0.25">
      <c r="A356" s="2">
        <v>16522</v>
      </c>
      <c r="B356" s="2" t="s">
        <v>4</v>
      </c>
      <c r="C356" s="2" t="str">
        <f t="shared" si="7"/>
        <v>8520513##</v>
      </c>
      <c r="D356" s="2"/>
      <c r="E356" s="2" t="str">
        <f>IFERROR(VLOOKUP(1*LEFT(C356,7),DF!$A$1:$F$9447,2,FALSE),"")</f>
        <v>MOSQUETON ACERO/GRIS 9CM C/ROSCA 5565/4</v>
      </c>
      <c r="F356">
        <v>8520513</v>
      </c>
      <c r="G356" t="s">
        <v>13571</v>
      </c>
      <c r="H356">
        <v>2</v>
      </c>
    </row>
    <row r="357" spans="1:8" x14ac:dyDescent="0.25">
      <c r="A357" s="2">
        <v>16522</v>
      </c>
      <c r="B357" s="2" t="s">
        <v>4</v>
      </c>
      <c r="C357" s="2" t="str">
        <f t="shared" si="7"/>
        <v>8708211##</v>
      </c>
      <c r="D357" s="2"/>
      <c r="E357" s="2" t="str">
        <f>IFERROR(VLOOKUP(1*LEFT(C357,7),DF!$A$1:$F$9447,2,FALSE),"")</f>
        <v>MUSLERA ALFORJA 211 KAE</v>
      </c>
      <c r="F357">
        <v>8708211</v>
      </c>
      <c r="G357" t="s">
        <v>13572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 t="shared" si="7"/>
        <v>8703699##</v>
      </c>
      <c r="D358" s="2"/>
      <c r="E358" s="2" t="str">
        <f>IFERROR(VLOOKUP(1*LEFT(C358,7),DF!$A$1:$F$9447,2,FALSE),"")</f>
        <v>MUSLERA ANATOMICA C PORTA CARGAD T609 TB</v>
      </c>
      <c r="F358">
        <v>8703699</v>
      </c>
      <c r="G358" t="s">
        <v>13573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 t="shared" si="7"/>
        <v>8703779##</v>
      </c>
      <c r="D359" s="2"/>
      <c r="E359" s="2" t="str">
        <f>IFERROR(VLOOKUP(1*LEFT(C359,7),DF!$A$1:$F$9447,2,FALSE),"")</f>
        <v>MUSLERA BOTIQUIN P/ELEMENTOS RRD79</v>
      </c>
      <c r="F359">
        <v>8703779</v>
      </c>
      <c r="G359" t="s">
        <v>13574</v>
      </c>
      <c r="H359">
        <v>5</v>
      </c>
    </row>
    <row r="360" spans="1:8" x14ac:dyDescent="0.25">
      <c r="A360" s="2">
        <v>16522</v>
      </c>
      <c r="B360" s="2" t="s">
        <v>4</v>
      </c>
      <c r="C360" s="2" t="str">
        <f t="shared" si="7"/>
        <v>8703553##</v>
      </c>
      <c r="D360" s="2"/>
      <c r="E360" s="2" t="str">
        <f>IFERROR(VLOOKUP(1*LEFT(C360,7),DF!$A$1:$F$9447,2,FALSE),"")</f>
        <v>MUSLERA C/BASE Y PORTA CARG VERDE GN</v>
      </c>
      <c r="F360">
        <v>8703553</v>
      </c>
      <c r="G360" t="s">
        <v>13575</v>
      </c>
      <c r="H360">
        <v>2</v>
      </c>
    </row>
    <row r="361" spans="1:8" x14ac:dyDescent="0.25">
      <c r="A361" s="2">
        <v>16522</v>
      </c>
      <c r="B361" s="2" t="s">
        <v>4</v>
      </c>
      <c r="C361" s="2" t="str">
        <f t="shared" si="7"/>
        <v>8703641##</v>
      </c>
      <c r="D361" s="2"/>
      <c r="E361" s="2" t="str">
        <f>IFERROR(VLOOKUP(1*LEFT(C361,7),DF!$A$1:$F$9447,2,FALSE),"")</f>
        <v>MUSLERA C/PORTACARG.POLIA MAZ</v>
      </c>
      <c r="F361">
        <v>8703641</v>
      </c>
      <c r="G361" t="s">
        <v>13576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si="7"/>
        <v>8703163##</v>
      </c>
      <c r="D362" s="2"/>
      <c r="E362" s="2" t="str">
        <f>IFERROR(VLOOKUP(1*LEFT(C362,7),DF!$A$1:$F$9447,2,FALSE),"")</f>
        <v>MUSLERA C/REMACHE SIMPLE 043</v>
      </c>
      <c r="F362">
        <v>8703163</v>
      </c>
      <c r="G362" t="s">
        <v>13577</v>
      </c>
      <c r="H362">
        <v>5</v>
      </c>
    </row>
    <row r="363" spans="1:8" x14ac:dyDescent="0.25">
      <c r="A363" s="2">
        <v>16522</v>
      </c>
      <c r="B363" s="2" t="s">
        <v>4</v>
      </c>
      <c r="C363" s="2" t="str">
        <f t="shared" si="7"/>
        <v>8703163##</v>
      </c>
      <c r="D363" s="2"/>
      <c r="E363" s="2" t="str">
        <f>IFERROR(VLOOKUP(1*LEFT(C363,7),DF!$A$1:$F$9447,2,FALSE),"")</f>
        <v>MUSLERA C/REMACHE SIMPLE 043</v>
      </c>
      <c r="F363">
        <v>8703163</v>
      </c>
      <c r="G363" t="s">
        <v>13577</v>
      </c>
      <c r="H363">
        <v>5</v>
      </c>
    </row>
    <row r="364" spans="1:8" x14ac:dyDescent="0.25">
      <c r="A364" s="2">
        <v>16522</v>
      </c>
      <c r="B364" s="2" t="s">
        <v>4</v>
      </c>
      <c r="C364" s="2" t="str">
        <f t="shared" si="7"/>
        <v>8703197##</v>
      </c>
      <c r="D364" s="2"/>
      <c r="E364" s="2" t="str">
        <f>IFERROR(VLOOKUP(1*LEFT(C364,7),DF!$A$1:$F$9447,2,FALSE),"")</f>
        <v>MUSLERA CON P/CARGADOR STD MUS-197 KAE</v>
      </c>
      <c r="F364">
        <v>8703197</v>
      </c>
      <c r="G364" t="s">
        <v>13578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 t="shared" si="7"/>
        <v>8708213##</v>
      </c>
      <c r="D365" s="2"/>
      <c r="E365" s="2" t="str">
        <f>IFERROR(VLOOKUP(1*LEFT(C365,7),DF!$A$1:$F$9447,2,FALSE),"")</f>
        <v>MUSLERA DOUCAD MUS-213 KAE</v>
      </c>
      <c r="F365">
        <v>8708213</v>
      </c>
      <c r="G365" t="s">
        <v>13579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si="7"/>
        <v>8708196##</v>
      </c>
      <c r="D366" s="2"/>
      <c r="E366" s="2" t="str">
        <f>IFERROR(VLOOKUP(1*LEFT(C366,7),DF!$A$1:$F$9447,2,FALSE),"")</f>
        <v>MUSLERA ESCORPION STD MUS-196 KAE</v>
      </c>
      <c r="F366">
        <v>8708196</v>
      </c>
      <c r="G366" t="s">
        <v>13580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 t="shared" si="7"/>
        <v>8703376##</v>
      </c>
      <c r="D367" s="2"/>
      <c r="E367" s="2" t="str">
        <f>IFERROR(VLOOKUP(1*LEFT(C367,7),DF!$A$1:$F$9447,2,FALSE),"")</f>
        <v>MUSLERA GEO C/ PORTACARG MAZ</v>
      </c>
      <c r="F367">
        <v>8703376</v>
      </c>
      <c r="G367" t="s">
        <v>13581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 t="shared" si="7"/>
        <v>8703110##</v>
      </c>
      <c r="D368" s="2"/>
      <c r="E368" s="2" t="str">
        <f>IFERROR(VLOOKUP(1*LEFT(C368,7),DF!$A$1:$F$9447,2,FALSE),"")</f>
        <v>MUSLERA GEO D/SEGURO MAZ</v>
      </c>
      <c r="F368">
        <v>8703110</v>
      </c>
      <c r="G368" t="s">
        <v>13582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 t="shared" si="7"/>
        <v>8703017##</v>
      </c>
      <c r="D369" s="2"/>
      <c r="E369" s="2" t="str">
        <f>IFERROR(VLOOKUP(1*LEFT(C369,7),DF!$A$1:$F$9447,2,FALSE),"")</f>
        <v>MUSLERA P/CARG DOBLE Y P/ESPOSAS T609</v>
      </c>
      <c r="F369">
        <v>8703017</v>
      </c>
      <c r="G369" t="s">
        <v>13583</v>
      </c>
      <c r="H369">
        <v>2</v>
      </c>
    </row>
    <row r="370" spans="1:8" x14ac:dyDescent="0.25">
      <c r="A370" s="2">
        <v>16522</v>
      </c>
      <c r="B370" s="2" t="s">
        <v>4</v>
      </c>
      <c r="C370" s="2" t="str">
        <f t="shared" si="7"/>
        <v>8703162##</v>
      </c>
      <c r="D370" s="2"/>
      <c r="E370" s="2" t="str">
        <f>IFERROR(VLOOKUP(1*LEFT(C370,7),DF!$A$1:$F$9447,2,FALSE),"")</f>
        <v>MUSLERA PARA FOBUS ETCH 04 ETC</v>
      </c>
      <c r="F370">
        <v>8703162</v>
      </c>
      <c r="G370" t="s">
        <v>13584</v>
      </c>
      <c r="H370">
        <v>6</v>
      </c>
    </row>
    <row r="371" spans="1:8" x14ac:dyDescent="0.25">
      <c r="A371" s="2">
        <v>16522</v>
      </c>
      <c r="B371" s="2" t="s">
        <v>4</v>
      </c>
      <c r="C371" s="2" t="str">
        <f t="shared" si="7"/>
        <v>8703616##</v>
      </c>
      <c r="D371" s="2"/>
      <c r="E371" s="2" t="str">
        <f>IFERROR(VLOOKUP(1*LEFT(C371,7),DF!$A$1:$F$9447,2,FALSE),"")</f>
        <v>MUSLERA POLIA PORTA C DOBLE TERM T616 TB</v>
      </c>
      <c r="F371">
        <v>8703616</v>
      </c>
      <c r="G371" t="s">
        <v>13585</v>
      </c>
      <c r="H371">
        <v>2</v>
      </c>
    </row>
    <row r="372" spans="1:8" x14ac:dyDescent="0.25">
      <c r="A372" s="2">
        <v>16522</v>
      </c>
      <c r="B372" s="2" t="s">
        <v>4</v>
      </c>
      <c r="C372" s="2" t="str">
        <f t="shared" si="7"/>
        <v>8703616##</v>
      </c>
      <c r="D372" s="2"/>
      <c r="E372" s="2" t="str">
        <f>IFERROR(VLOOKUP(1*LEFT(C372,7),DF!$A$1:$F$9447,2,FALSE),"")</f>
        <v>MUSLERA POLIA PORTA C DOBLE TERM T616 TB</v>
      </c>
      <c r="F372">
        <v>8703616</v>
      </c>
      <c r="G372" t="s">
        <v>13585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 t="shared" si="7"/>
        <v>8708046##</v>
      </c>
      <c r="D373" s="2"/>
      <c r="E373" s="2" t="str">
        <f>IFERROR(VLOOKUP(1*LEFT(C373,7),DF!$A$1:$F$9447,2,FALSE),"")</f>
        <v>MUSLERA PORTA ELEMENTO AZUL ETCH 05</v>
      </c>
      <c r="F373">
        <v>8708046</v>
      </c>
      <c r="G373" t="s">
        <v>13586</v>
      </c>
      <c r="H373">
        <v>3</v>
      </c>
    </row>
    <row r="374" spans="1:8" x14ac:dyDescent="0.25">
      <c r="A374" s="2">
        <v>16522</v>
      </c>
      <c r="B374" s="2" t="s">
        <v>4</v>
      </c>
      <c r="C374" s="2" t="str">
        <f t="shared" si="7"/>
        <v>8708048##</v>
      </c>
      <c r="D374" s="2"/>
      <c r="E374" s="2" t="str">
        <f>IFERROR(VLOOKUP(1*LEFT(C374,7),DF!$A$1:$F$9447,2,FALSE),"")</f>
        <v>MUSLERA PORTA ELEMENTO CAMUFL ETCH 05</v>
      </c>
      <c r="F374">
        <v>8708048</v>
      </c>
      <c r="G374" t="s">
        <v>13587</v>
      </c>
      <c r="H374">
        <v>3</v>
      </c>
    </row>
    <row r="375" spans="1:8" x14ac:dyDescent="0.25">
      <c r="A375" s="2">
        <v>16522</v>
      </c>
      <c r="B375" s="2" t="s">
        <v>4</v>
      </c>
      <c r="C375" s="2" t="str">
        <f t="shared" si="7"/>
        <v>8708049##</v>
      </c>
      <c r="D375" s="2"/>
      <c r="E375" s="2" t="str">
        <f>IFERROR(VLOOKUP(1*LEFT(C375,7),DF!$A$1:$F$9447,2,FALSE),"")</f>
        <v>MUSLERA PORTA ELEMENTO ETCH 05</v>
      </c>
      <c r="F375">
        <v>8708049</v>
      </c>
      <c r="G375" t="s">
        <v>13588</v>
      </c>
      <c r="H375">
        <v>5</v>
      </c>
    </row>
    <row r="376" spans="1:8" x14ac:dyDescent="0.25">
      <c r="A376" s="2">
        <v>16522</v>
      </c>
      <c r="B376" s="2" t="s">
        <v>4</v>
      </c>
      <c r="C376" s="2" t="str">
        <f t="shared" si="7"/>
        <v>8708047##</v>
      </c>
      <c r="D376" s="2"/>
      <c r="E376" s="2" t="str">
        <f>IFERROR(VLOOKUP(1*LEFT(C376,7),DF!$A$1:$F$9447,2,FALSE),"")</f>
        <v>MUSLERA PORTA ELEMENTO GRIS ETCH 05</v>
      </c>
      <c r="F376">
        <v>8708047</v>
      </c>
      <c r="G376" t="s">
        <v>13589</v>
      </c>
      <c r="H376">
        <v>3</v>
      </c>
    </row>
    <row r="377" spans="1:8" x14ac:dyDescent="0.25">
      <c r="A377" s="2">
        <v>16522</v>
      </c>
      <c r="B377" s="2" t="s">
        <v>4</v>
      </c>
      <c r="C377" s="2" t="str">
        <f t="shared" si="7"/>
        <v>8708044##</v>
      </c>
      <c r="D377" s="2"/>
      <c r="E377" s="2" t="str">
        <f>IFERROR(VLOOKUP(1*LEFT(C377,7),DF!$A$1:$F$9447,2,FALSE),"")</f>
        <v>MUSLERA PORTA ELEMENTO VERDE ETCH 05</v>
      </c>
      <c r="F377">
        <v>8708044</v>
      </c>
      <c r="G377" t="s">
        <v>13590</v>
      </c>
      <c r="H377">
        <v>2</v>
      </c>
    </row>
    <row r="378" spans="1:8" x14ac:dyDescent="0.25">
      <c r="A378" s="2">
        <v>16522</v>
      </c>
      <c r="B378" s="2" t="s">
        <v>4</v>
      </c>
      <c r="C378" s="2" t="str">
        <f t="shared" si="7"/>
        <v>8703617##</v>
      </c>
      <c r="D378" s="2"/>
      <c r="E378" s="2" t="str">
        <f>IFERROR(VLOOKUP(1*LEFT(C378,7),DF!$A$1:$F$9447,2,FALSE),"")</f>
        <v>MUSLERA PORTACARG DOBLE + ESP T617 TB</v>
      </c>
      <c r="F378">
        <v>8703617</v>
      </c>
      <c r="G378" t="s">
        <v>13591</v>
      </c>
      <c r="H378">
        <v>2</v>
      </c>
    </row>
    <row r="379" spans="1:8" x14ac:dyDescent="0.25">
      <c r="A379" s="2">
        <v>16522</v>
      </c>
      <c r="B379" s="2" t="s">
        <v>4</v>
      </c>
      <c r="C379" s="2" t="str">
        <f t="shared" si="7"/>
        <v>8703018##</v>
      </c>
      <c r="D379" s="2"/>
      <c r="E379" s="2" t="str">
        <f>IFERROR(VLOOKUP(1*LEFT(C379,7),DF!$A$1:$F$9447,2,FALSE),"")</f>
        <v>MUSLERA PORTAOBJETO 2 TIRAPIERNA T618 TB</v>
      </c>
      <c r="F379">
        <v>8703018</v>
      </c>
      <c r="G379" t="s">
        <v>13592</v>
      </c>
      <c r="H379">
        <v>2</v>
      </c>
    </row>
    <row r="380" spans="1:8" x14ac:dyDescent="0.25">
      <c r="A380" s="2">
        <v>16522</v>
      </c>
      <c r="B380" s="2" t="s">
        <v>4</v>
      </c>
      <c r="C380" s="2" t="str">
        <f t="shared" si="7"/>
        <v>8708198##</v>
      </c>
      <c r="D380" s="2"/>
      <c r="E380" s="2" t="str">
        <f>IFERROR(VLOOKUP(1*LEFT(C380,7),DF!$A$1:$F$9447,2,FALSE),"")</f>
        <v>MUSLERA SW MUS-198 KAE</v>
      </c>
      <c r="F380">
        <v>8708198</v>
      </c>
      <c r="G380" t="s">
        <v>13593</v>
      </c>
      <c r="H380">
        <v>4</v>
      </c>
    </row>
    <row r="381" spans="1:8" x14ac:dyDescent="0.25">
      <c r="A381" s="2">
        <v>16522</v>
      </c>
      <c r="B381" s="2" t="s">
        <v>4</v>
      </c>
      <c r="C381" s="2" t="str">
        <f t="shared" si="7"/>
        <v>8703250##</v>
      </c>
      <c r="D381" s="2"/>
      <c r="E381" s="2" t="str">
        <f>IFERROR(VLOOKUP(1*LEFT(C381,7),DF!$A$1:$F$9447,2,FALSE),"")</f>
        <v>MUSLERA TACTICA DELTA STM2050 EZ</v>
      </c>
      <c r="F381">
        <v>8703250</v>
      </c>
      <c r="G381" t="s">
        <v>13594</v>
      </c>
      <c r="H381">
        <v>3</v>
      </c>
    </row>
    <row r="382" spans="1:8" x14ac:dyDescent="0.25">
      <c r="A382" s="2">
        <v>16522</v>
      </c>
      <c r="B382" s="2" t="s">
        <v>4</v>
      </c>
      <c r="C382" s="2" t="str">
        <f t="shared" si="7"/>
        <v>8703200##</v>
      </c>
      <c r="D382" s="2"/>
      <c r="E382" s="2" t="str">
        <f>IFERROR(VLOOKUP(1*LEFT(C382,7),DF!$A$1:$F$9447,2,FALSE),"")</f>
        <v>MUSLERA TACTICA UNIVERSAL T628</v>
      </c>
      <c r="F382">
        <v>8703200</v>
      </c>
      <c r="G382" t="s">
        <v>13595</v>
      </c>
      <c r="H382">
        <v>14</v>
      </c>
    </row>
    <row r="383" spans="1:8" x14ac:dyDescent="0.25">
      <c r="A383" s="2">
        <v>16522</v>
      </c>
      <c r="B383" s="2" t="s">
        <v>4</v>
      </c>
      <c r="C383" s="2" t="str">
        <f t="shared" si="7"/>
        <v>8703621##</v>
      </c>
      <c r="D383" s="2"/>
      <c r="E383" s="2" t="str">
        <f>IFERROR(VLOOKUP(1*LEFT(C383,7),DF!$A$1:$F$9447,2,FALSE),"")</f>
        <v>MUSLERA TERMOF C PORTA CARGADOR T621 TB</v>
      </c>
      <c r="F383">
        <v>8703621</v>
      </c>
      <c r="G383" t="s">
        <v>13596</v>
      </c>
      <c r="H383">
        <v>2</v>
      </c>
    </row>
    <row r="384" spans="1:8" x14ac:dyDescent="0.25">
      <c r="A384" s="2">
        <v>16522</v>
      </c>
      <c r="B384" s="2" t="s">
        <v>4</v>
      </c>
      <c r="C384" s="2" t="str">
        <f t="shared" ref="C384:C447" si="8">CONCATENATE(F384,"##")</f>
        <v>8703621##</v>
      </c>
      <c r="D384" s="2"/>
      <c r="E384" s="2" t="str">
        <f>IFERROR(VLOOKUP(1*LEFT(C384,7),DF!$A$1:$F$9447,2,FALSE),"")</f>
        <v>MUSLERA TERMOF C PORTA CARGADOR T621 TB</v>
      </c>
      <c r="F384">
        <v>8703621</v>
      </c>
      <c r="G384" t="s">
        <v>13596</v>
      </c>
      <c r="H384">
        <v>2</v>
      </c>
    </row>
    <row r="385" spans="1:9" x14ac:dyDescent="0.25">
      <c r="A385" s="2">
        <v>16522</v>
      </c>
      <c r="B385" s="2" t="s">
        <v>4</v>
      </c>
      <c r="C385" s="2" t="str">
        <f t="shared" si="8"/>
        <v>8703620##</v>
      </c>
      <c r="D385" s="2"/>
      <c r="E385" s="2" t="str">
        <f>IFERROR(VLOOKUP(1*LEFT(C385,7),DF!$A$1:$F$9447,2,FALSE),"")</f>
        <v>MUSLERA TERMOF SIMPLE  T620 TB</v>
      </c>
      <c r="F385">
        <v>8703620</v>
      </c>
      <c r="G385" t="s">
        <v>13597</v>
      </c>
      <c r="H385">
        <v>3</v>
      </c>
    </row>
    <row r="386" spans="1:9" x14ac:dyDescent="0.25">
      <c r="A386" s="2">
        <v>16522</v>
      </c>
      <c r="B386" s="2" t="s">
        <v>4</v>
      </c>
      <c r="C386" s="2" t="str">
        <f t="shared" si="8"/>
        <v>8703620##</v>
      </c>
      <c r="D386" s="2"/>
      <c r="E386" s="2" t="str">
        <f>IFERROR(VLOOKUP(1*LEFT(C386,7),DF!$A$1:$F$9447,2,FALSE),"")</f>
        <v>MUSLERA TERMOF SIMPLE  T620 TB</v>
      </c>
      <c r="F386">
        <v>8703620</v>
      </c>
      <c r="G386" t="s">
        <v>13597</v>
      </c>
      <c r="H386">
        <v>3</v>
      </c>
    </row>
    <row r="387" spans="1:9" x14ac:dyDescent="0.25">
      <c r="A387">
        <v>16522</v>
      </c>
      <c r="B387" t="s">
        <v>4</v>
      </c>
      <c r="C387" t="str">
        <f t="shared" si="8"/>
        <v>8520283##</v>
      </c>
      <c r="E387" t="str">
        <f>IFERROR(VLOOKUP(1*LEFT(C387,7),DF!$A$1:$F$9447,2,FALSE),"")</f>
        <v>NAVAJA 20 CM BUCK CAMUFLADA 14-28/3</v>
      </c>
      <c r="F387">
        <v>8520283</v>
      </c>
      <c r="G387" t="s">
        <v>13598</v>
      </c>
      <c r="H387">
        <v>5</v>
      </c>
    </row>
    <row r="388" spans="1:9" x14ac:dyDescent="0.25">
      <c r="A388">
        <v>16522</v>
      </c>
      <c r="B388" t="s">
        <v>4</v>
      </c>
      <c r="C388" t="str">
        <f t="shared" si="8"/>
        <v>8520802##</v>
      </c>
      <c r="E388" t="str">
        <f>IFERROR(VLOOKUP(1*LEFT(C388,7),DF!$A$1:$F$9447,2,FALSE),"")</f>
        <v>NAVAJA 2100 GRIS/MADERA BROWNING</v>
      </c>
      <c r="F388">
        <v>8520802</v>
      </c>
      <c r="G388" t="s">
        <v>13599</v>
      </c>
      <c r="H388">
        <v>3</v>
      </c>
    </row>
    <row r="389" spans="1:9" x14ac:dyDescent="0.25">
      <c r="A389">
        <v>16522</v>
      </c>
      <c r="B389" t="s">
        <v>4</v>
      </c>
      <c r="C389" t="str">
        <f t="shared" si="8"/>
        <v>8521307##</v>
      </c>
      <c r="E389" t="str">
        <f>IFERROR(VLOOKUP(1*LEFT(C389,7),DF!$A$1:$F$9447,2,FALSE),"")</f>
        <v>NAVAJA CHONGMING IMP 2022</v>
      </c>
      <c r="F389">
        <v>8521307</v>
      </c>
      <c r="G389" t="s">
        <v>13600</v>
      </c>
      <c r="H389">
        <v>4</v>
      </c>
    </row>
    <row r="390" spans="1:9" x14ac:dyDescent="0.25">
      <c r="A390">
        <v>16522</v>
      </c>
      <c r="B390" t="s">
        <v>4</v>
      </c>
      <c r="C390" t="str">
        <f t="shared" si="8"/>
        <v>8520458##</v>
      </c>
      <c r="E390" t="str">
        <f>IFERROR(VLOOKUP(1*LEFT(C390,7),DF!$A$1:$F$9447,2,FALSE),"")</f>
        <v>NAVAJA GRIS INOX 2110 16CM</v>
      </c>
      <c r="F390">
        <v>8520458</v>
      </c>
      <c r="G390" t="s">
        <v>13601</v>
      </c>
      <c r="H390">
        <v>4</v>
      </c>
    </row>
    <row r="391" spans="1:9" x14ac:dyDescent="0.25">
      <c r="A391">
        <v>16522</v>
      </c>
      <c r="B391" t="s">
        <v>4</v>
      </c>
      <c r="C391" t="str">
        <f t="shared" si="8"/>
        <v>8520710##</v>
      </c>
      <c r="E391" t="str">
        <f>IFERROR(VLOOKUP(1*LEFT(C391,7),DF!$A$1:$F$9447,2,FALSE),"")</f>
        <v>NAVAJA JEEP GRIS 21CM DA132</v>
      </c>
      <c r="F391">
        <v>8520710</v>
      </c>
      <c r="G391" t="s">
        <v>13602</v>
      </c>
      <c r="H391">
        <v>5</v>
      </c>
    </row>
    <row r="392" spans="1:9" x14ac:dyDescent="0.25">
      <c r="A392">
        <v>16522</v>
      </c>
      <c r="B392" t="s">
        <v>4</v>
      </c>
      <c r="C392" t="str">
        <f t="shared" si="8"/>
        <v>8520101##</v>
      </c>
      <c r="E392" t="str">
        <f>IFERROR(VLOOKUP(1*LEFT(C392,7),DF!$A$1:$F$9447,2,FALSE),"")</f>
        <v>NAVAJA KARAMBIT TACTICA DA46</v>
      </c>
      <c r="F392">
        <v>8520101</v>
      </c>
      <c r="G392" t="s">
        <v>13603</v>
      </c>
      <c r="H392">
        <v>6</v>
      </c>
    </row>
    <row r="393" spans="1:9" x14ac:dyDescent="0.25">
      <c r="A393">
        <v>16522</v>
      </c>
      <c r="B393" t="s">
        <v>4</v>
      </c>
      <c r="C393" t="str">
        <f t="shared" si="8"/>
        <v>8520230##</v>
      </c>
      <c r="E393" t="str">
        <f>IFERROR(VLOOKUP(1*LEFT(C393,7),DF!$A$1:$F$9447,2,FALSE),"")</f>
        <v>NAVAJA MARIPOSA GRIS  19-12/3</v>
      </c>
      <c r="F393">
        <v>8520230</v>
      </c>
      <c r="G393" t="s">
        <v>13604</v>
      </c>
      <c r="H393">
        <v>3</v>
      </c>
    </row>
    <row r="394" spans="1:9" x14ac:dyDescent="0.25">
      <c r="A394">
        <v>16522</v>
      </c>
      <c r="B394" t="s">
        <v>4</v>
      </c>
      <c r="C394" t="str">
        <f t="shared" si="8"/>
        <v>8520814##</v>
      </c>
      <c r="E394" t="str">
        <f>IFERROR(VLOOKUP(1*LEFT(C394,7),DF!$A$1:$F$9447,2,FALSE),"")</f>
        <v>NAVAJA STEEL KNIFE DA15</v>
      </c>
      <c r="F394">
        <v>8520814</v>
      </c>
      <c r="G394" t="s">
        <v>13605</v>
      </c>
      <c r="H394">
        <v>5</v>
      </c>
    </row>
    <row r="395" spans="1:9" x14ac:dyDescent="0.25">
      <c r="A395" s="2">
        <v>16522</v>
      </c>
      <c r="B395" s="2" t="s">
        <v>4</v>
      </c>
      <c r="C395" s="2" t="str">
        <f t="shared" si="8"/>
        <v>8505075##</v>
      </c>
      <c r="D395" s="2"/>
      <c r="E395" s="2" t="str">
        <f>IFERROR(VLOOKUP(1*LEFT(C395,7),DF!$A$1:$F$9447,2,FALSE),"")</f>
        <v>NOMBRE BORD INFANTERIA BI</v>
      </c>
      <c r="F395">
        <v>8505075</v>
      </c>
      <c r="G395" t="s">
        <v>14105</v>
      </c>
      <c r="H395">
        <v>1</v>
      </c>
    </row>
    <row r="396" spans="1:9" x14ac:dyDescent="0.25">
      <c r="A396">
        <v>16522</v>
      </c>
      <c r="B396" t="s">
        <v>4</v>
      </c>
      <c r="C396" t="str">
        <f t="shared" si="8"/>
        <v>8505074##</v>
      </c>
      <c r="E396" t="str">
        <f>IFERROR(VLOOKUP(1*LEFT(C396,7),DF!$A$1:$F$9447,2,FALSE),"")</f>
        <v>NOMBRE BORD MOTORIZADA BI</v>
      </c>
      <c r="F396" s="7">
        <v>8505074</v>
      </c>
      <c r="G396" t="s">
        <v>13606</v>
      </c>
      <c r="H396">
        <v>1</v>
      </c>
    </row>
    <row r="397" spans="1:9" x14ac:dyDescent="0.25">
      <c r="A397">
        <v>16522</v>
      </c>
      <c r="B397" t="s">
        <v>4</v>
      </c>
      <c r="C397" t="str">
        <f t="shared" si="8"/>
        <v>8400070##</v>
      </c>
      <c r="E397" t="str">
        <f>IFERROR(VLOOKUP(1*LEFT(C397,7),DF!$A$1:$F$9447,2,FALSE),"")</f>
        <v>OREJERAS SIN PIEL RER</v>
      </c>
      <c r="F397">
        <v>8400070</v>
      </c>
      <c r="G397" t="s">
        <v>13607</v>
      </c>
      <c r="H397">
        <v>2</v>
      </c>
    </row>
    <row r="398" spans="1:9" x14ac:dyDescent="0.25">
      <c r="A398" s="2">
        <v>16522</v>
      </c>
      <c r="B398" s="2" t="s">
        <v>4</v>
      </c>
      <c r="C398" s="2" t="str">
        <f t="shared" si="8"/>
        <v>1130008##</v>
      </c>
      <c r="D398" s="2"/>
      <c r="E398" s="2" t="str">
        <f>IFERROR(VLOOKUP(1*LEFT(C398,7),DF!$A$1:$F$9447,2,FALSE),"")</f>
        <v>OVERALL MULTIBOL GAB AZUL RER</v>
      </c>
      <c r="F398">
        <v>1130008</v>
      </c>
      <c r="G398" t="s">
        <v>13608</v>
      </c>
      <c r="H398">
        <v>2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 t="shared" si="8"/>
        <v>1130713##</v>
      </c>
      <c r="D399" s="2"/>
      <c r="E399" s="2" t="str">
        <f>IFERROR(VLOOKUP(1*LEFT(C399,7),DF!$A$1:$F$9447,2,FALSE),"")</f>
        <v>OVERALL MULTIBOL GAB GRIS</v>
      </c>
      <c r="F399">
        <v>1130713</v>
      </c>
      <c r="G399" t="s">
        <v>13609</v>
      </c>
      <c r="H399">
        <v>3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 t="shared" si="8"/>
        <v>1130009##</v>
      </c>
      <c r="D400" s="2"/>
      <c r="E400" s="2" t="str">
        <f>IFERROR(VLOOKUP(1*LEFT(C400,7),DF!$A$1:$F$9447,2,FALSE),"")</f>
        <v>OVERALL MULTIBOL GAB NEGRO RER</v>
      </c>
      <c r="F400">
        <v>1130009</v>
      </c>
      <c r="G400" t="s">
        <v>13610</v>
      </c>
      <c r="H400">
        <v>2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 t="shared" si="8"/>
        <v>1130495##</v>
      </c>
      <c r="D401" s="2"/>
      <c r="E401" s="2" t="str">
        <f>IFERROR(VLOOKUP(1*LEFT(C401,7),DF!$A$1:$F$9447,2,FALSE),"")</f>
        <v>OVERALL MULTIBOL RIP AZUL RER</v>
      </c>
      <c r="F401">
        <v>1130495</v>
      </c>
      <c r="G401" t="s">
        <v>13611</v>
      </c>
      <c r="H401">
        <v>3</v>
      </c>
      <c r="I401">
        <v>1</v>
      </c>
    </row>
    <row r="402" spans="1:9" x14ac:dyDescent="0.25">
      <c r="A402" s="2">
        <v>16522</v>
      </c>
      <c r="B402" s="2" t="s">
        <v>4</v>
      </c>
      <c r="C402" s="2" t="str">
        <f t="shared" si="8"/>
        <v>1130900##</v>
      </c>
      <c r="D402" s="2"/>
      <c r="E402" s="2" t="str">
        <f>IFERROR(VLOOKUP(1*LEFT(C402,7),DF!$A$1:$F$9447,2,FALSE),"")</f>
        <v>OVERALL MULTIBOL RIP NEGRO RER</v>
      </c>
      <c r="F402">
        <v>1130900</v>
      </c>
      <c r="G402" t="s">
        <v>13612</v>
      </c>
      <c r="H402">
        <v>15</v>
      </c>
      <c r="I402">
        <v>1</v>
      </c>
    </row>
    <row r="403" spans="1:9" x14ac:dyDescent="0.25">
      <c r="A403">
        <v>16522</v>
      </c>
      <c r="B403" t="s">
        <v>4</v>
      </c>
      <c r="C403" t="str">
        <f t="shared" si="8"/>
        <v>8513303##</v>
      </c>
      <c r="E403" t="str">
        <f>IFERROR(VLOOKUP(1*LEFT(C403,7),DF!$A$1:$F$9447,2,FALSE),"")</f>
        <v>PANIO P LIMPIAR ARMA CAL 38 AL 45 KAE</v>
      </c>
      <c r="F403">
        <v>8513303</v>
      </c>
      <c r="G403" t="s">
        <v>13613</v>
      </c>
      <c r="H403">
        <v>2</v>
      </c>
    </row>
    <row r="404" spans="1:9" x14ac:dyDescent="0.25">
      <c r="A404">
        <v>16522</v>
      </c>
      <c r="B404" t="s">
        <v>4</v>
      </c>
      <c r="C404" t="str">
        <f t="shared" si="8"/>
        <v>8505224##</v>
      </c>
      <c r="E404" t="str">
        <f>IFERROR(VLOOKUP(1*LEFT(C404,7),DF!$A$1:$F$9447,2,FALSE),"")</f>
        <v>PECT 1 ROMBO BASE FRAN PALMA C. INSP BI</v>
      </c>
      <c r="F404" s="7">
        <v>8505224</v>
      </c>
      <c r="G404" t="s">
        <v>13614</v>
      </c>
      <c r="H404">
        <v>1</v>
      </c>
    </row>
    <row r="405" spans="1:9" x14ac:dyDescent="0.25">
      <c r="A405" s="2">
        <v>16522</v>
      </c>
      <c r="B405" s="2" t="s">
        <v>4</v>
      </c>
      <c r="C405" s="2" t="str">
        <f t="shared" si="8"/>
        <v>8505224##</v>
      </c>
      <c r="D405" s="2"/>
      <c r="E405" s="2" t="str">
        <f>IFERROR(VLOOKUP(1*LEFT(C405,7),DF!$A$1:$F$9447,2,FALSE),"")</f>
        <v>PECT 1 ROMBO BASE FRAN PALMA C. INSP BI</v>
      </c>
      <c r="F405">
        <v>8505224</v>
      </c>
      <c r="G405" t="s">
        <v>13614</v>
      </c>
      <c r="H405">
        <v>1</v>
      </c>
    </row>
    <row r="406" spans="1:9" x14ac:dyDescent="0.25">
      <c r="A406" s="2">
        <v>16522</v>
      </c>
      <c r="B406" s="2" t="s">
        <v>4</v>
      </c>
      <c r="C406" s="2" t="str">
        <f t="shared" si="8"/>
        <v>8505262##</v>
      </c>
      <c r="D406" s="2"/>
      <c r="E406" s="2" t="str">
        <f>IFERROR(VLOOKUP(1*LEFT(C406,7),DF!$A$1:$F$9447,2,FALSE),"")</f>
        <v>PECT 1 ROMBO Y SERRETA SUBCOMIS BARG BI</v>
      </c>
      <c r="F406">
        <v>8505262</v>
      </c>
      <c r="G406" t="s">
        <v>13615</v>
      </c>
      <c r="H406">
        <v>1</v>
      </c>
    </row>
    <row r="407" spans="1:9" x14ac:dyDescent="0.25">
      <c r="A407" s="2">
        <v>16522</v>
      </c>
      <c r="B407" s="2" t="s">
        <v>4</v>
      </c>
      <c r="C407" s="2" t="str">
        <f t="shared" si="8"/>
        <v>8505233##</v>
      </c>
      <c r="D407" s="2"/>
      <c r="E407" s="2" t="str">
        <f>IFERROR(VLOOKUP(1*LEFT(C407,7),DF!$A$1:$F$9447,2,FALSE),"")</f>
        <v>PECT 2 ROMBOS CHICOS 1 DOR Y 1 PLA  BI</v>
      </c>
      <c r="F407">
        <v>8505233</v>
      </c>
      <c r="G407" t="s">
        <v>13616</v>
      </c>
      <c r="H407">
        <v>1</v>
      </c>
    </row>
    <row r="408" spans="1:9" x14ac:dyDescent="0.25">
      <c r="A408">
        <v>16522</v>
      </c>
      <c r="B408" t="s">
        <v>4</v>
      </c>
      <c r="C408" t="str">
        <f t="shared" si="8"/>
        <v>8505196##</v>
      </c>
      <c r="E408" t="str">
        <f>IFERROR(VLOOKUP(1*LEFT(C408,7),DF!$A$1:$F$9447,2,FALSE),"")</f>
        <v>PECT 2 ROMBOS CHICOS PLAT BARG BI</v>
      </c>
      <c r="F408" s="7">
        <v>8505196</v>
      </c>
      <c r="G408" t="s">
        <v>13617</v>
      </c>
      <c r="H408">
        <v>1</v>
      </c>
    </row>
    <row r="409" spans="1:9" x14ac:dyDescent="0.25">
      <c r="A409" s="2">
        <v>16522</v>
      </c>
      <c r="B409" s="2" t="s">
        <v>4</v>
      </c>
      <c r="C409" s="2" t="str">
        <f t="shared" si="8"/>
        <v>8505196##</v>
      </c>
      <c r="D409" s="2"/>
      <c r="E409" s="2" t="str">
        <f>IFERROR(VLOOKUP(1*LEFT(C409,7),DF!$A$1:$F$9447,2,FALSE),"")</f>
        <v>PECT 2 ROMBOS CHICOS PLAT BARG BI</v>
      </c>
      <c r="F409">
        <v>8505196</v>
      </c>
      <c r="G409" t="s">
        <v>13617</v>
      </c>
      <c r="H409">
        <v>1</v>
      </c>
    </row>
    <row r="410" spans="1:9" x14ac:dyDescent="0.25">
      <c r="A410">
        <v>16522</v>
      </c>
      <c r="B410" t="s">
        <v>4</v>
      </c>
      <c r="C410" t="str">
        <f t="shared" si="8"/>
        <v>8505329##</v>
      </c>
      <c r="E410" t="str">
        <f>IFERROR(VLOOKUP(1*LEFT(C410,7),DF!$A$1:$F$9447,2,FALSE),"")</f>
        <v>PECT 2 ROMBOS DOR/PLA  SERR CRIO BARG BI</v>
      </c>
      <c r="F410" s="7">
        <v>8505329</v>
      </c>
      <c r="G410" t="s">
        <v>13618</v>
      </c>
      <c r="H410">
        <v>1</v>
      </c>
    </row>
    <row r="411" spans="1:9" x14ac:dyDescent="0.25">
      <c r="A411" s="2">
        <v>16522</v>
      </c>
      <c r="B411" s="2" t="s">
        <v>4</v>
      </c>
      <c r="C411" s="2" t="str">
        <f t="shared" si="8"/>
        <v>8505329##</v>
      </c>
      <c r="D411" s="2"/>
      <c r="E411" s="2" t="str">
        <f>IFERROR(VLOOKUP(1*LEFT(C411,7),DF!$A$1:$F$9447,2,FALSE),"")</f>
        <v>PECT 2 ROMBOS DOR/PLA  SERR CRIO BARG BI</v>
      </c>
      <c r="F411">
        <v>8505329</v>
      </c>
      <c r="G411" t="s">
        <v>13618</v>
      </c>
      <c r="H411">
        <v>1</v>
      </c>
    </row>
    <row r="412" spans="1:9" x14ac:dyDescent="0.25">
      <c r="A412">
        <v>16522</v>
      </c>
      <c r="B412" t="s">
        <v>4</v>
      </c>
      <c r="C412" t="str">
        <f t="shared" si="8"/>
        <v>8505243##</v>
      </c>
      <c r="E412" t="str">
        <f>IFERROR(VLOOKUP(1*LEFT(C412,7),DF!$A$1:$F$9447,2,FALSE),"")</f>
        <v>PECT 3 ROMBO CHICOS OF. PPAL BARG BI</v>
      </c>
      <c r="F412" s="7">
        <v>8505243</v>
      </c>
      <c r="G412" t="s">
        <v>13619</v>
      </c>
      <c r="H412">
        <v>1</v>
      </c>
    </row>
    <row r="413" spans="1:9" x14ac:dyDescent="0.25">
      <c r="A413" s="2">
        <v>16522</v>
      </c>
      <c r="B413" s="2" t="s">
        <v>4</v>
      </c>
      <c r="C413" s="2" t="str">
        <f t="shared" si="8"/>
        <v>8505243##</v>
      </c>
      <c r="D413" s="2"/>
      <c r="E413" s="2" t="str">
        <f>IFERROR(VLOOKUP(1*LEFT(C413,7),DF!$A$1:$F$9447,2,FALSE),"")</f>
        <v>PECT 3 ROMBO CHICOS OF. PPAL BARG BI</v>
      </c>
      <c r="F413">
        <v>8505243</v>
      </c>
      <c r="G413" t="s">
        <v>13619</v>
      </c>
      <c r="H413">
        <v>1</v>
      </c>
    </row>
    <row r="414" spans="1:9" x14ac:dyDescent="0.25">
      <c r="A414" s="2">
        <v>16522</v>
      </c>
      <c r="B414" s="2" t="s">
        <v>4</v>
      </c>
      <c r="C414" s="2" t="str">
        <f t="shared" si="8"/>
        <v>8505163##</v>
      </c>
      <c r="D414" s="2"/>
      <c r="E414" s="2" t="str">
        <f>IFERROR(VLOOKUP(1*LEFT(C414,7),DF!$A$1:$F$9447,2,FALSE),"")</f>
        <v>PECT BI AUXILIAR BEIGE BI</v>
      </c>
      <c r="F414" s="7">
        <v>8505163</v>
      </c>
      <c r="G414" t="s">
        <v>13620</v>
      </c>
      <c r="H414">
        <v>1</v>
      </c>
    </row>
    <row r="415" spans="1:9" x14ac:dyDescent="0.25">
      <c r="A415" s="2">
        <v>16522</v>
      </c>
      <c r="B415" s="2" t="s">
        <v>4</v>
      </c>
      <c r="C415" s="2" t="str">
        <f t="shared" si="8"/>
        <v>8505592##</v>
      </c>
      <c r="D415" s="2"/>
      <c r="E415" s="2" t="str">
        <f>IFERROR(VLOOKUP(1*LEFT(C415,7),DF!$A$1:$F$9447,2,FALSE),"")</f>
        <v>PECT BORD AUXILIAR CUARTO</v>
      </c>
      <c r="F415">
        <v>8505592</v>
      </c>
      <c r="G415" t="s">
        <v>13621</v>
      </c>
      <c r="H415">
        <v>1</v>
      </c>
    </row>
    <row r="416" spans="1:9" x14ac:dyDescent="0.25">
      <c r="A416" s="2">
        <v>16522</v>
      </c>
      <c r="B416" s="2" t="s">
        <v>4</v>
      </c>
      <c r="C416" s="2" t="str">
        <f t="shared" si="8"/>
        <v>8505590##</v>
      </c>
      <c r="D416" s="2"/>
      <c r="E416" s="2" t="str">
        <f>IFERROR(VLOOKUP(1*LEFT(C416,7),DF!$A$1:$F$9447,2,FALSE),"")</f>
        <v>PECT BORD AUXILIAR TERCERO</v>
      </c>
      <c r="F416">
        <v>8505590</v>
      </c>
      <c r="G416" t="s">
        <v>13622</v>
      </c>
      <c r="H416">
        <v>1</v>
      </c>
    </row>
    <row r="417" spans="1:8" x14ac:dyDescent="0.25">
      <c r="A417">
        <v>16522</v>
      </c>
      <c r="B417" t="s">
        <v>4</v>
      </c>
      <c r="C417" t="str">
        <f t="shared" si="8"/>
        <v>8505101##</v>
      </c>
      <c r="E417" t="str">
        <f>IFERROR(VLOOKUP(1*LEFT(C417,7),DF!$A$1:$F$9447,2,FALSE),"")</f>
        <v>PECT BORD RUEDA ALADA POL VIAL BAND RER</v>
      </c>
      <c r="F417" s="7">
        <v>8505101</v>
      </c>
      <c r="G417" t="s">
        <v>13623</v>
      </c>
      <c r="H417">
        <v>1</v>
      </c>
    </row>
    <row r="418" spans="1:8" x14ac:dyDescent="0.25">
      <c r="A418">
        <v>16522</v>
      </c>
      <c r="B418" t="s">
        <v>4</v>
      </c>
      <c r="C418" t="str">
        <f t="shared" si="8"/>
        <v>8505109##</v>
      </c>
      <c r="E418" t="str">
        <f>IFERROR(VLOOKUP(1*LEFT(C418,7),DF!$A$1:$F$9447,2,FALSE),"")</f>
        <v>PECT BORD RUEDA ALADA VIAL BAJA VISI BI</v>
      </c>
      <c r="F418" s="7">
        <v>8505109</v>
      </c>
      <c r="G418" t="s">
        <v>13624</v>
      </c>
      <c r="H418">
        <v>1</v>
      </c>
    </row>
    <row r="419" spans="1:8" x14ac:dyDescent="0.25">
      <c r="A419">
        <v>16522</v>
      </c>
      <c r="B419" t="s">
        <v>4</v>
      </c>
      <c r="C419" t="str">
        <f t="shared" si="8"/>
        <v>8505023##</v>
      </c>
      <c r="E419" t="str">
        <f>IFERROR(VLOOKUP(1*LEFT(C419,7),DF!$A$1:$F$9447,2,FALSE),"")</f>
        <v>PECT ESC CADETES 1 BARRA AZ BI</v>
      </c>
      <c r="F419" s="7">
        <v>8505023</v>
      </c>
      <c r="G419" t="s">
        <v>13625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8"/>
        <v>8505023##</v>
      </c>
      <c r="D420" s="2"/>
      <c r="E420" s="2" t="str">
        <f>IFERROR(VLOOKUP(1*LEFT(C420,7),DF!$A$1:$F$9447,2,FALSE),"")</f>
        <v>PECT ESC CADETES 1 BARRA AZ BI</v>
      </c>
      <c r="F420">
        <v>8505023</v>
      </c>
      <c r="G420" t="s">
        <v>13625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8"/>
        <v>8505021##</v>
      </c>
      <c r="D421" s="2"/>
      <c r="E421" s="2" t="str">
        <f>IFERROR(VLOOKUP(1*LEFT(C421,7),DF!$A$1:$F$9447,2,FALSE),"")</f>
        <v>PECT ESC CADETES 1 BARRA BL OJAL BI</v>
      </c>
      <c r="F421">
        <v>8505021</v>
      </c>
      <c r="G421" t="s">
        <v>13626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8"/>
        <v>8505031##</v>
      </c>
      <c r="D422" s="2"/>
      <c r="E422" s="2" t="str">
        <f>IFERROR(VLOOKUP(1*LEFT(C422,7),DF!$A$1:$F$9447,2,FALSE),"")</f>
        <v>PECT ESC CADETES 1 BARRA NE RER</v>
      </c>
      <c r="F422">
        <v>8505031</v>
      </c>
      <c r="G422" t="s">
        <v>13627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si="8"/>
        <v>8505024##</v>
      </c>
      <c r="D423" s="2"/>
      <c r="E423" s="2" t="str">
        <f>IFERROR(VLOOKUP(1*LEFT(C423,7),DF!$A$1:$F$9447,2,FALSE),"")</f>
        <v>PECT ESC CADETES 2 BARRAS AZ BI</v>
      </c>
      <c r="F423">
        <v>8505024</v>
      </c>
      <c r="G423" t="s">
        <v>13628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si="8"/>
        <v>8505022##</v>
      </c>
      <c r="D424" s="2"/>
      <c r="E424" s="2" t="str">
        <f>IFERROR(VLOOKUP(1*LEFT(C424,7),DF!$A$1:$F$9447,2,FALSE),"")</f>
        <v>PECT ESC CADETES 2 BARRAS BL OJAL BI</v>
      </c>
      <c r="F424">
        <v>8505022</v>
      </c>
      <c r="G424" t="s">
        <v>13629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 t="shared" si="8"/>
        <v>8505032##</v>
      </c>
      <c r="D425" s="2"/>
      <c r="E425" s="2" t="str">
        <f>IFERROR(VLOOKUP(1*LEFT(C425,7),DF!$A$1:$F$9447,2,FALSE),"")</f>
        <v>PECT ESC CADETES 2 BARRAS NE RER</v>
      </c>
      <c r="F425">
        <v>8505032</v>
      </c>
      <c r="G425" t="s">
        <v>13630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si="8"/>
        <v>8505801##</v>
      </c>
      <c r="D426" s="2"/>
      <c r="E426" s="2" t="str">
        <f>IFERROR(VLOOKUP(1*LEFT(C426,7),DF!$A$1:$F$9447,2,FALSE),"")</f>
        <v>PECT GOMA PALABRA POLICIA PECHO</v>
      </c>
      <c r="F426">
        <v>8505801</v>
      </c>
      <c r="G426" t="s">
        <v>13631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si="8"/>
        <v>8505160##</v>
      </c>
      <c r="D427" s="2"/>
      <c r="E427" s="2" t="str">
        <f>IFERROR(VLOOKUP(1*LEFT(C427,7),DF!$A$1:$F$9447,2,FALSE),"")</f>
        <v>PECT. 1 ROMBO CHICO DORADO BARG BI</v>
      </c>
      <c r="F427">
        <v>8505160</v>
      </c>
      <c r="G427" t="s">
        <v>13632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8"/>
        <v>8505159##</v>
      </c>
      <c r="D428" s="2"/>
      <c r="E428" s="2" t="str">
        <f>IFERROR(VLOOKUP(1*LEFT(C428,7),DF!$A$1:$F$9447,2,FALSE),"")</f>
        <v>PECT. 1 ROMBO CHICO PLATEADO  BARG BI</v>
      </c>
      <c r="F428">
        <v>8505159</v>
      </c>
      <c r="G428" t="s">
        <v>13633</v>
      </c>
      <c r="H428">
        <v>1</v>
      </c>
    </row>
    <row r="429" spans="1:8" x14ac:dyDescent="0.25">
      <c r="A429">
        <v>16522</v>
      </c>
      <c r="B429" t="s">
        <v>4</v>
      </c>
      <c r="C429" t="str">
        <f t="shared" si="8"/>
        <v>8505367##</v>
      </c>
      <c r="E429" t="str">
        <f>IFERROR(VLOOKUP(1*LEFT(C429,7),DF!$A$1:$F$9447,2,FALSE),"")</f>
        <v>PECT. 3 ROMBOS Y PALMA  CRIO GRAL BI</v>
      </c>
      <c r="F429" s="7">
        <v>8505367</v>
      </c>
      <c r="G429" t="s">
        <v>13634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si="8"/>
        <v>8505367##</v>
      </c>
      <c r="D430" s="2"/>
      <c r="E430" s="2" t="str">
        <f>IFERROR(VLOOKUP(1*LEFT(C430,7),DF!$A$1:$F$9447,2,FALSE),"")</f>
        <v>PECT. 3 ROMBOS Y PALMA  CRIO GRAL BI</v>
      </c>
      <c r="F430">
        <v>8505367</v>
      </c>
      <c r="G430" t="s">
        <v>13634</v>
      </c>
      <c r="H430">
        <v>1</v>
      </c>
    </row>
    <row r="431" spans="1:8" x14ac:dyDescent="0.25">
      <c r="A431">
        <v>16522</v>
      </c>
      <c r="B431" t="s">
        <v>4</v>
      </c>
      <c r="C431" t="str">
        <f t="shared" si="8"/>
        <v>8505131##</v>
      </c>
      <c r="E431" t="str">
        <f>IFERROR(VLOOKUP(1*LEFT(C431,7),DF!$A$1:$F$9447,2,FALSE),"")</f>
        <v>PECT. ALAS BORD MOTORISTA TVS506-13 RER</v>
      </c>
      <c r="F431" s="7">
        <v>8505131</v>
      </c>
      <c r="G431" t="s">
        <v>13635</v>
      </c>
      <c r="H431">
        <v>1</v>
      </c>
    </row>
    <row r="432" spans="1:8" x14ac:dyDescent="0.25">
      <c r="A432">
        <v>16522</v>
      </c>
      <c r="B432" t="s">
        <v>4</v>
      </c>
      <c r="C432" t="str">
        <f t="shared" si="8"/>
        <v>8505130##</v>
      </c>
      <c r="E432" t="str">
        <f>IFERROR(VLOOKUP(1*LEFT(C432,7),DF!$A$1:$F$9447,2,FALSE),"")</f>
        <v>PECT. ALAS DE CHOFER TVS 465-02 BI</v>
      </c>
      <c r="F432" s="7">
        <v>8505130</v>
      </c>
      <c r="G432" t="s">
        <v>13636</v>
      </c>
      <c r="H432">
        <v>1</v>
      </c>
    </row>
    <row r="433" spans="1:8" x14ac:dyDescent="0.25">
      <c r="A433">
        <v>16522</v>
      </c>
      <c r="B433" t="s">
        <v>4</v>
      </c>
      <c r="C433" t="str">
        <f t="shared" si="8"/>
        <v>8505120##</v>
      </c>
      <c r="E433" t="str">
        <f>IFERROR(VLOOKUP(1*LEFT(C433,7),DF!$A$1:$F$9447,2,FALSE),"")</f>
        <v>PECT. BORD LMGE GIMNASIA 1ER ANIO BI</v>
      </c>
      <c r="F433" s="7">
        <v>8505120</v>
      </c>
      <c r="G433" t="s">
        <v>13637</v>
      </c>
      <c r="H433">
        <v>1</v>
      </c>
    </row>
    <row r="434" spans="1:8" x14ac:dyDescent="0.25">
      <c r="A434">
        <v>16522</v>
      </c>
      <c r="B434" t="s">
        <v>4</v>
      </c>
      <c r="C434" t="str">
        <f t="shared" si="8"/>
        <v>8505134##</v>
      </c>
      <c r="E434" t="str">
        <f>IFERROR(VLOOKUP(1*LEFT(C434,7),DF!$A$1:$F$9447,2,FALSE),"")</f>
        <v>PECT. BORD LMGE GIMNASIA 2DO ANIO BI</v>
      </c>
      <c r="F434" s="7">
        <v>8505134</v>
      </c>
      <c r="G434" t="s">
        <v>13638</v>
      </c>
      <c r="H434">
        <v>1</v>
      </c>
    </row>
    <row r="435" spans="1:8" x14ac:dyDescent="0.25">
      <c r="A435">
        <v>16522</v>
      </c>
      <c r="B435" t="s">
        <v>4</v>
      </c>
      <c r="C435" t="str">
        <f t="shared" si="8"/>
        <v>8505135##</v>
      </c>
      <c r="E435" t="str">
        <f>IFERROR(VLOOKUP(1*LEFT(C435,7),DF!$A$1:$F$9447,2,FALSE),"")</f>
        <v>PECT. BORD LMGE GIMNASIA 3ER ANIO BI</v>
      </c>
      <c r="F435" s="7">
        <v>8505135</v>
      </c>
      <c r="G435" t="s">
        <v>13639</v>
      </c>
      <c r="H435">
        <v>1</v>
      </c>
    </row>
    <row r="436" spans="1:8" x14ac:dyDescent="0.25">
      <c r="A436">
        <v>16522</v>
      </c>
      <c r="B436" t="s">
        <v>4</v>
      </c>
      <c r="C436" t="str">
        <f t="shared" si="8"/>
        <v>8505136##</v>
      </c>
      <c r="E436" t="str">
        <f>IFERROR(VLOOKUP(1*LEFT(C436,7),DF!$A$1:$F$9447,2,FALSE),"")</f>
        <v>PECT. BORD LMGE GIMNASIA 4TO ANIO BI</v>
      </c>
      <c r="F436" s="7">
        <v>8505136</v>
      </c>
      <c r="G436" t="s">
        <v>13640</v>
      </c>
      <c r="H436">
        <v>1</v>
      </c>
    </row>
    <row r="437" spans="1:8" x14ac:dyDescent="0.25">
      <c r="A437">
        <v>16522</v>
      </c>
      <c r="B437" t="s">
        <v>4</v>
      </c>
      <c r="C437" t="str">
        <f t="shared" si="8"/>
        <v>8505137##</v>
      </c>
      <c r="E437" t="str">
        <f>IFERROR(VLOOKUP(1*LEFT(C437,7),DF!$A$1:$F$9447,2,FALSE),"")</f>
        <v>PECT. BORD LMGE GIMNASIA 5TO ANIO BI</v>
      </c>
      <c r="F437" s="7">
        <v>8505137</v>
      </c>
      <c r="G437" t="s">
        <v>13641</v>
      </c>
      <c r="H437">
        <v>1</v>
      </c>
    </row>
    <row r="438" spans="1:8" x14ac:dyDescent="0.25">
      <c r="A438">
        <v>16522</v>
      </c>
      <c r="B438" t="s">
        <v>4</v>
      </c>
      <c r="C438" t="str">
        <f t="shared" si="8"/>
        <v>8505138##</v>
      </c>
      <c r="E438" t="str">
        <f>IFERROR(VLOOKUP(1*LEFT(C438,7),DF!$A$1:$F$9447,2,FALSE),"")</f>
        <v>PECT. BORD LMGE GIMNASIA 6TO ANIO BI</v>
      </c>
      <c r="F438" s="7">
        <v>8505138</v>
      </c>
      <c r="G438" t="s">
        <v>13642</v>
      </c>
      <c r="H438">
        <v>1</v>
      </c>
    </row>
    <row r="439" spans="1:8" x14ac:dyDescent="0.25">
      <c r="A439">
        <v>16522</v>
      </c>
      <c r="B439" t="s">
        <v>4</v>
      </c>
      <c r="C439" t="str">
        <f t="shared" si="8"/>
        <v>7709065##</v>
      </c>
      <c r="E439" t="str">
        <f>IFERROR(VLOOKUP(1*LEFT(C439,7),DF!$A$1:$F$9447,2,FALSE),"")</f>
        <v>PECT. BORD. 1 SOL P.S.AEROPORTUA PSA BI</v>
      </c>
      <c r="F439" s="7">
        <v>7709065</v>
      </c>
      <c r="G439" t="s">
        <v>13643</v>
      </c>
      <c r="H439">
        <v>1</v>
      </c>
    </row>
    <row r="440" spans="1:8" x14ac:dyDescent="0.25">
      <c r="A440">
        <v>16522</v>
      </c>
      <c r="B440" t="s">
        <v>4</v>
      </c>
      <c r="C440" t="str">
        <f t="shared" si="8"/>
        <v>7709068##</v>
      </c>
      <c r="E440" t="str">
        <f>IFERROR(VLOOKUP(1*LEFT(C440,7),DF!$A$1:$F$9447,2,FALSE),"")</f>
        <v>PECT. BORD. 1 SOL Y SERRETA PSA BI</v>
      </c>
      <c r="F440" s="7">
        <v>7709068</v>
      </c>
      <c r="G440" t="s">
        <v>13644</v>
      </c>
      <c r="H440">
        <v>1</v>
      </c>
    </row>
    <row r="441" spans="1:8" x14ac:dyDescent="0.25">
      <c r="A441">
        <v>16522</v>
      </c>
      <c r="B441" t="s">
        <v>4</v>
      </c>
      <c r="C441" t="str">
        <f t="shared" si="8"/>
        <v>7709064##</v>
      </c>
      <c r="E441" t="str">
        <f>IFERROR(VLOOKUP(1*LEFT(C441,7),DF!$A$1:$F$9447,2,FALSE),"")</f>
        <v>PECT. BORD. 2 SOL P.S.AEROPORTUA PSA BI</v>
      </c>
      <c r="F441" s="7">
        <v>7709064</v>
      </c>
      <c r="G441" t="s">
        <v>13645</v>
      </c>
      <c r="H441">
        <v>1</v>
      </c>
    </row>
    <row r="442" spans="1:8" x14ac:dyDescent="0.25">
      <c r="A442">
        <v>16522</v>
      </c>
      <c r="B442" t="s">
        <v>4</v>
      </c>
      <c r="C442" t="str">
        <f t="shared" si="8"/>
        <v>7709069##</v>
      </c>
      <c r="E442" t="str">
        <f>IFERROR(VLOOKUP(1*LEFT(C442,7),DF!$A$1:$F$9447,2,FALSE),"")</f>
        <v>PECT. BORD. 2 SOL Y SERRETA PSA BI</v>
      </c>
      <c r="F442" s="7">
        <v>7709069</v>
      </c>
      <c r="G442" t="s">
        <v>13646</v>
      </c>
      <c r="H442">
        <v>1</v>
      </c>
    </row>
    <row r="443" spans="1:8" x14ac:dyDescent="0.25">
      <c r="A443">
        <v>16522</v>
      </c>
      <c r="B443" t="s">
        <v>4</v>
      </c>
      <c r="C443" t="str">
        <f t="shared" si="8"/>
        <v>7709066##</v>
      </c>
      <c r="E443" t="str">
        <f>IFERROR(VLOOKUP(1*LEFT(C443,7),DF!$A$1:$F$9447,2,FALSE),"")</f>
        <v>PECT. BORD. 3 SOL P.S.AEROPORTUA PSA BI</v>
      </c>
      <c r="F443" s="7">
        <v>7709066</v>
      </c>
      <c r="G443" t="s">
        <v>13647</v>
      </c>
      <c r="H443">
        <v>1</v>
      </c>
    </row>
    <row r="444" spans="1:8" x14ac:dyDescent="0.25">
      <c r="A444">
        <v>16522</v>
      </c>
      <c r="B444" t="s">
        <v>4</v>
      </c>
      <c r="C444" t="str">
        <f t="shared" si="8"/>
        <v>7709067##</v>
      </c>
      <c r="E444" t="str">
        <f>IFERROR(VLOOKUP(1*LEFT(C444,7),DF!$A$1:$F$9447,2,FALSE),"")</f>
        <v>PECT. BORD. 4 SOL P.S.AEROPORTUA PSA BI</v>
      </c>
      <c r="F444" s="7">
        <v>7709067</v>
      </c>
      <c r="G444" t="s">
        <v>13648</v>
      </c>
      <c r="H444">
        <v>1</v>
      </c>
    </row>
    <row r="445" spans="1:8" x14ac:dyDescent="0.25">
      <c r="A445">
        <v>16522</v>
      </c>
      <c r="B445" t="s">
        <v>4</v>
      </c>
      <c r="C445" t="str">
        <f t="shared" si="8"/>
        <v>8505156##</v>
      </c>
      <c r="E445" t="str">
        <f>IFERROR(VLOOKUP(1*LEFT(C445,7),DF!$A$1:$F$9447,2,FALSE),"")</f>
        <v>PECT. BORD. AUXILIAR   11 BI</v>
      </c>
      <c r="F445" s="7">
        <v>8505156</v>
      </c>
      <c r="G445" t="s">
        <v>13649</v>
      </c>
      <c r="H445">
        <v>1</v>
      </c>
    </row>
    <row r="446" spans="1:8" x14ac:dyDescent="0.25">
      <c r="A446">
        <v>16522</v>
      </c>
      <c r="B446" t="s">
        <v>4</v>
      </c>
      <c r="C446" t="str">
        <f t="shared" si="8"/>
        <v>8505158##</v>
      </c>
      <c r="E446" t="str">
        <f>IFERROR(VLOOKUP(1*LEFT(C446,7),DF!$A$1:$F$9447,2,FALSE),"")</f>
        <v>PECT. BORD. AUXILIAR MAYOR BI</v>
      </c>
      <c r="F446" s="7">
        <v>8505158</v>
      </c>
      <c r="G446" t="s">
        <v>13650</v>
      </c>
      <c r="H446">
        <v>1</v>
      </c>
    </row>
    <row r="447" spans="1:8" x14ac:dyDescent="0.25">
      <c r="A447">
        <v>16522</v>
      </c>
      <c r="B447" t="s">
        <v>4</v>
      </c>
      <c r="C447" t="str">
        <f t="shared" si="8"/>
        <v>8505157##</v>
      </c>
      <c r="E447" t="str">
        <f>IFERROR(VLOOKUP(1*LEFT(C447,7),DF!$A$1:$F$9447,2,FALSE),"")</f>
        <v>PECT. BORD. AUXILIAR PRIMERO    12 BI</v>
      </c>
      <c r="F447" s="7">
        <v>8505157</v>
      </c>
      <c r="G447" t="s">
        <v>13651</v>
      </c>
      <c r="H447">
        <v>1</v>
      </c>
    </row>
    <row r="448" spans="1:8" x14ac:dyDescent="0.25">
      <c r="A448">
        <v>16522</v>
      </c>
      <c r="B448" t="s">
        <v>4</v>
      </c>
      <c r="C448" t="str">
        <f t="shared" ref="C448:C511" si="9">CONCATENATE(F448,"##")</f>
        <v>8505789##</v>
      </c>
      <c r="E448" t="str">
        <f>IFERROR(VLOOKUP(1*LEFT(C448,7),DF!$A$1:$F$9447,2,FALSE),"")</f>
        <v>PECT. BORD. AUXILIAR SEGUNDO BI</v>
      </c>
      <c r="F448" s="7">
        <v>8505789</v>
      </c>
      <c r="G448" t="s">
        <v>13652</v>
      </c>
      <c r="H448">
        <v>1</v>
      </c>
    </row>
    <row r="449" spans="1:8" x14ac:dyDescent="0.25">
      <c r="A449" s="2">
        <v>16522</v>
      </c>
      <c r="B449" s="2" t="s">
        <v>4</v>
      </c>
      <c r="C449" s="2" t="str">
        <f t="shared" si="9"/>
        <v>8505175##</v>
      </c>
      <c r="D449" s="2"/>
      <c r="E449" s="2" t="str">
        <f>IFERROR(VLOOKUP(1*LEFT(C449,7),DF!$A$1:$F$9447,2,FALSE),"")</f>
        <v>PECT. BORD. AUXILIAR SUPERIOR BI</v>
      </c>
      <c r="F449">
        <v>8505175</v>
      </c>
      <c r="G449" t="s">
        <v>13653</v>
      </c>
      <c r="H449">
        <v>1</v>
      </c>
    </row>
    <row r="450" spans="1:8" x14ac:dyDescent="0.25">
      <c r="A450" s="2">
        <v>16522</v>
      </c>
      <c r="B450" s="2" t="s">
        <v>4</v>
      </c>
      <c r="C450" s="2" t="str">
        <f t="shared" si="9"/>
        <v>8505142##</v>
      </c>
      <c r="D450" s="2"/>
      <c r="E450" s="2" t="str">
        <f>IFERROR(VLOOKUP(1*LEFT(C450,7),DF!$A$1:$F$9447,2,FALSE),"")</f>
        <v>PECT. BORD. B. VISB. AUX. MAYOR BI</v>
      </c>
      <c r="F450" s="7">
        <v>8505142</v>
      </c>
      <c r="G450" t="s">
        <v>13654</v>
      </c>
      <c r="H450">
        <v>1</v>
      </c>
    </row>
    <row r="451" spans="1:8" x14ac:dyDescent="0.25">
      <c r="A451">
        <v>16522</v>
      </c>
      <c r="B451" t="s">
        <v>4</v>
      </c>
      <c r="C451" t="str">
        <f t="shared" si="9"/>
        <v>8505139##</v>
      </c>
      <c r="E451" t="str">
        <f>IFERROR(VLOOKUP(1*LEFT(C451,7),DF!$A$1:$F$9447,2,FALSE),"")</f>
        <v>PECT. BORD. B. VISIB. AUX. BI</v>
      </c>
      <c r="F451" s="7">
        <v>8505139</v>
      </c>
      <c r="G451" t="s">
        <v>13655</v>
      </c>
      <c r="H451">
        <v>1</v>
      </c>
    </row>
    <row r="452" spans="1:8" x14ac:dyDescent="0.25">
      <c r="A452" s="2">
        <v>16522</v>
      </c>
      <c r="B452" s="2" t="s">
        <v>4</v>
      </c>
      <c r="C452" s="2" t="str">
        <f t="shared" si="9"/>
        <v>8505141##</v>
      </c>
      <c r="D452" s="2"/>
      <c r="E452" s="2" t="str">
        <f>IFERROR(VLOOKUP(1*LEFT(C452,7),DF!$A$1:$F$9447,2,FALSE),"")</f>
        <v>PECT. BORD. B. VISIB. AUX. SEGUNDO BI</v>
      </c>
      <c r="F452" s="7">
        <v>8505141</v>
      </c>
      <c r="G452" t="s">
        <v>13656</v>
      </c>
      <c r="H452">
        <v>1</v>
      </c>
    </row>
    <row r="453" spans="1:8" x14ac:dyDescent="0.25">
      <c r="A453">
        <v>16522</v>
      </c>
      <c r="B453" t="s">
        <v>4</v>
      </c>
      <c r="C453" t="str">
        <f t="shared" si="9"/>
        <v>8505140##</v>
      </c>
      <c r="E453" t="str">
        <f>IFERROR(VLOOKUP(1*LEFT(C453,7),DF!$A$1:$F$9447,2,FALSE),"")</f>
        <v>PECT. BORD. B. VISIB. AUXILIAR 1 BI</v>
      </c>
      <c r="F453" s="7">
        <v>8505140</v>
      </c>
      <c r="G453" t="s">
        <v>13657</v>
      </c>
      <c r="H453">
        <v>1</v>
      </c>
    </row>
    <row r="454" spans="1:8" x14ac:dyDescent="0.25">
      <c r="A454" s="2">
        <v>16522</v>
      </c>
      <c r="B454" s="2" t="s">
        <v>4</v>
      </c>
      <c r="C454" s="2" t="str">
        <f t="shared" si="9"/>
        <v>8505129##</v>
      </c>
      <c r="D454" s="2"/>
      <c r="E454" s="2" t="str">
        <f>IFERROR(VLOOKUP(1*LEFT(C454,7),DF!$A$1:$F$9447,2,FALSE),"")</f>
        <v>PECT. BORD. PENIT. ALAS SERP  BARG BI</v>
      </c>
      <c r="F454">
        <v>8505129</v>
      </c>
      <c r="G454" t="s">
        <v>13658</v>
      </c>
      <c r="H454">
        <v>1</v>
      </c>
    </row>
    <row r="455" spans="1:8" x14ac:dyDescent="0.25">
      <c r="A455">
        <v>16522</v>
      </c>
      <c r="B455" t="s">
        <v>4</v>
      </c>
      <c r="C455" t="str">
        <f t="shared" si="9"/>
        <v>8505127##</v>
      </c>
      <c r="E455" t="str">
        <f>IFERROR(VLOOKUP(1*LEFT(C455,7),DF!$A$1:$F$9447,2,FALSE),"")</f>
        <v>PECT. BORD. PENIT. SERP RER</v>
      </c>
      <c r="F455" s="7">
        <v>8505127</v>
      </c>
      <c r="G455" t="s">
        <v>13659</v>
      </c>
      <c r="H455">
        <v>1</v>
      </c>
    </row>
    <row r="456" spans="1:8" x14ac:dyDescent="0.25">
      <c r="A456">
        <v>16522</v>
      </c>
      <c r="B456" t="s">
        <v>4</v>
      </c>
      <c r="C456" t="str">
        <f t="shared" si="9"/>
        <v>7707266##</v>
      </c>
      <c r="E456" t="str">
        <f>IFERROR(VLOOKUP(1*LEFT(C456,7),DF!$A$1:$F$9447,2,FALSE),"")</f>
        <v>PECT. EJERCITO ARGENTINO   BARG BI</v>
      </c>
      <c r="F456" s="7">
        <v>7707266</v>
      </c>
      <c r="G456" t="s">
        <v>13660</v>
      </c>
      <c r="H456">
        <v>1</v>
      </c>
    </row>
    <row r="457" spans="1:8" x14ac:dyDescent="0.25">
      <c r="A457" s="2">
        <v>16522</v>
      </c>
      <c r="B457" s="2" t="s">
        <v>4</v>
      </c>
      <c r="C457" s="2" t="str">
        <f t="shared" si="9"/>
        <v>7709135##</v>
      </c>
      <c r="D457" s="2"/>
      <c r="E457" s="2" t="str">
        <f>IFERROR(VLOOKUP(1*LEFT(C457,7),DF!$A$1:$F$9447,2,FALSE),"")</f>
        <v>PECT. POLICIA BORDADO BAJA VISIBILIDAD</v>
      </c>
      <c r="F457" s="7">
        <v>7709135</v>
      </c>
      <c r="G457" t="s">
        <v>13661</v>
      </c>
      <c r="H457">
        <v>1</v>
      </c>
    </row>
    <row r="458" spans="1:8" x14ac:dyDescent="0.25">
      <c r="A458">
        <v>16522</v>
      </c>
      <c r="B458" t="s">
        <v>4</v>
      </c>
      <c r="C458" t="str">
        <f t="shared" si="9"/>
        <v>8521374##</v>
      </c>
      <c r="E458" t="str">
        <f>IFERROR(VLOOKUP(1*LEFT(C458,7),DF!$A$1:$F$9447,2,FALSE),"")</f>
        <v>PINZA NAVAJA  MULTIFUNCION TACTICA 3526 GB</v>
      </c>
      <c r="F458">
        <v>8521374</v>
      </c>
      <c r="G458" t="s">
        <v>13662</v>
      </c>
      <c r="H458">
        <v>4</v>
      </c>
    </row>
    <row r="459" spans="1:8" x14ac:dyDescent="0.25">
      <c r="A459">
        <v>16522</v>
      </c>
      <c r="B459" t="s">
        <v>4</v>
      </c>
      <c r="C459" t="str">
        <f t="shared" si="9"/>
        <v>8521499##</v>
      </c>
      <c r="E459" t="str">
        <f>IFERROR(VLOOKUP(1*LEFT(C459,7),DF!$A$1:$F$9447,2,FALSE),"")</f>
        <v>PINZA NAVAJA MULTIFUNCION 3019</v>
      </c>
      <c r="F459">
        <v>8521499</v>
      </c>
      <c r="G459" t="s">
        <v>13663</v>
      </c>
      <c r="H459">
        <v>3</v>
      </c>
    </row>
    <row r="460" spans="1:8" x14ac:dyDescent="0.25">
      <c r="A460" s="2">
        <v>16522</v>
      </c>
      <c r="B460" s="2" t="s">
        <v>4</v>
      </c>
      <c r="C460" s="2" t="str">
        <f t="shared" si="9"/>
        <v>8703557##</v>
      </c>
      <c r="D460" s="2"/>
      <c r="E460" s="2" t="str">
        <f>IFERROR(VLOOKUP(1*LEFT(C460,7),DF!$A$1:$F$9447,2,FALSE),"")</f>
        <v>PIST ANATOM BERSA MINITHUND XTL 557A XTR</v>
      </c>
      <c r="F460">
        <v>8703557</v>
      </c>
      <c r="G460" t="s">
        <v>13664</v>
      </c>
      <c r="H460">
        <v>3</v>
      </c>
    </row>
    <row r="461" spans="1:8" x14ac:dyDescent="0.25">
      <c r="A461" s="2">
        <v>16522</v>
      </c>
      <c r="B461" s="2" t="s">
        <v>4</v>
      </c>
      <c r="C461" s="2" t="str">
        <f t="shared" si="9"/>
        <v>8703036##</v>
      </c>
      <c r="D461" s="2"/>
      <c r="E461" s="2" t="str">
        <f>IFERROR(VLOOKUP(1*LEFT(C461,7),DF!$A$1:$F$9447,2,FALSE),"")</f>
        <v>PIST CUERO PANQUEQ CORTA 1036 TB</v>
      </c>
      <c r="F461" s="7">
        <v>8703036</v>
      </c>
      <c r="G461" t="s">
        <v>13665</v>
      </c>
      <c r="H461">
        <v>5</v>
      </c>
    </row>
    <row r="462" spans="1:8" x14ac:dyDescent="0.25">
      <c r="A462">
        <v>16522</v>
      </c>
      <c r="B462" t="s">
        <v>4</v>
      </c>
      <c r="C462" t="str">
        <f t="shared" si="9"/>
        <v>8703570##</v>
      </c>
      <c r="E462" t="str">
        <f>IFERROR(VLOOKUP(1*LEFT(C462,7),DF!$A$1:$F$9447,2,FALSE),"")</f>
        <v>PIST NIVEL 1 + PORT CARG BERSA/PT92/BROW</v>
      </c>
      <c r="F462">
        <v>8703570</v>
      </c>
      <c r="G462" t="s">
        <v>13666</v>
      </c>
      <c r="H462">
        <v>7</v>
      </c>
    </row>
    <row r="463" spans="1:8" x14ac:dyDescent="0.25">
      <c r="A463" s="2">
        <v>16522</v>
      </c>
      <c r="B463" s="2" t="s">
        <v>4</v>
      </c>
      <c r="C463" s="2" t="str">
        <f t="shared" si="9"/>
        <v>8703570##</v>
      </c>
      <c r="D463" s="2"/>
      <c r="E463" s="2" t="str">
        <f>IFERROR(VLOOKUP(1*LEFT(C463,7),DF!$A$1:$F$9447,2,FALSE),"")</f>
        <v>PIST NIVEL 1 + PORT CARG BERSA/PT92/BROW</v>
      </c>
      <c r="F463">
        <v>8703570</v>
      </c>
      <c r="G463" t="s">
        <v>13666</v>
      </c>
      <c r="H463">
        <v>7</v>
      </c>
    </row>
    <row r="464" spans="1:8" x14ac:dyDescent="0.25">
      <c r="A464" s="2">
        <v>16522</v>
      </c>
      <c r="B464" s="2" t="s">
        <v>4</v>
      </c>
      <c r="C464" s="2" t="str">
        <f t="shared" si="9"/>
        <v>8703244##</v>
      </c>
      <c r="D464" s="2"/>
      <c r="E464" s="2" t="str">
        <f>IFERROR(VLOOKUP(1*LEFT(C464,7),DF!$A$1:$F$9447,2,FALSE),"")</f>
        <v>PIST NIVEL 2 H.N2-40/BS BERETA92 T92 FUN</v>
      </c>
      <c r="F464">
        <v>8703244</v>
      </c>
      <c r="G464" t="s">
        <v>13667</v>
      </c>
      <c r="H464">
        <v>5</v>
      </c>
    </row>
    <row r="465" spans="1:8" x14ac:dyDescent="0.25">
      <c r="A465" s="2">
        <v>16522</v>
      </c>
      <c r="B465" s="2" t="s">
        <v>4</v>
      </c>
      <c r="C465" s="2" t="str">
        <f t="shared" si="9"/>
        <v>8703531##</v>
      </c>
      <c r="D465" s="2"/>
      <c r="E465" s="2" t="str">
        <f>IFERROR(VLOOKUP(1*LEFT(C465,7),DF!$A$1:$F$9447,2,FALSE),"")</f>
        <v>PIST NIVEL 2 TAURUS 809/TH9 B0</v>
      </c>
      <c r="F465">
        <v>8703531</v>
      </c>
      <c r="G465" t="s">
        <v>13668</v>
      </c>
      <c r="H465">
        <v>5</v>
      </c>
    </row>
    <row r="466" spans="1:8" x14ac:dyDescent="0.25">
      <c r="A466" s="2">
        <v>16522</v>
      </c>
      <c r="B466" s="2" t="s">
        <v>4</v>
      </c>
      <c r="C466" s="2" t="str">
        <f t="shared" si="9"/>
        <v>8703955##</v>
      </c>
      <c r="D466" s="2"/>
      <c r="E466" s="2" t="str">
        <f>IFERROR(VLOOKUP(1*LEFT(C466,7),DF!$A$1:$F$9447,2,FALSE),"")</f>
        <v>PIST NIVEL 2 ZURDA BERSA THUNDER PRO XTR</v>
      </c>
      <c r="F466">
        <v>8703955</v>
      </c>
      <c r="G466" t="s">
        <v>14099</v>
      </c>
      <c r="H466">
        <v>2</v>
      </c>
    </row>
    <row r="467" spans="1:8" x14ac:dyDescent="0.25">
      <c r="A467" s="2">
        <v>16522</v>
      </c>
      <c r="B467" s="2" t="s">
        <v>4</v>
      </c>
      <c r="C467" s="2" t="str">
        <f t="shared" si="9"/>
        <v>8703600##</v>
      </c>
      <c r="D467" s="2"/>
      <c r="E467" s="2" t="str">
        <f>IFERROR(VLOOKUP(1*LEFT(C467,7),DF!$A$1:$F$9447,2,FALSE),"")</f>
        <v>PIST POLIA GUERRILLERA UNIVERSAL T600 T</v>
      </c>
      <c r="F467">
        <v>8703600</v>
      </c>
      <c r="G467" t="s">
        <v>13669</v>
      </c>
      <c r="H467">
        <v>5</v>
      </c>
    </row>
    <row r="468" spans="1:8" x14ac:dyDescent="0.25">
      <c r="A468" s="2">
        <v>16522</v>
      </c>
      <c r="B468" s="2" t="s">
        <v>4</v>
      </c>
      <c r="C468" s="2" t="str">
        <f t="shared" si="9"/>
        <v>8703038##</v>
      </c>
      <c r="D468" s="2"/>
      <c r="E468" s="2" t="str">
        <f>IFERROR(VLOOKUP(1*LEFT(C468,7),DF!$A$1:$F$9447,2,FALSE),"")</f>
        <v>PIST. CUERO AVENGER/TAU/BE 1038 TB</v>
      </c>
      <c r="F468" s="7">
        <v>8703038</v>
      </c>
      <c r="G468" t="s">
        <v>13670</v>
      </c>
      <c r="H468">
        <v>6</v>
      </c>
    </row>
    <row r="469" spans="1:8" x14ac:dyDescent="0.25">
      <c r="A469" s="2">
        <v>16522</v>
      </c>
      <c r="B469" s="2" t="s">
        <v>4</v>
      </c>
      <c r="C469" s="2" t="str">
        <f t="shared" si="9"/>
        <v>8703041##</v>
      </c>
      <c r="D469" s="2"/>
      <c r="E469" s="2" t="str">
        <f>IFERROR(VLOOKUP(1*LEFT(C469,7),DF!$A$1:$F$9447,2,FALSE),"")</f>
        <v>PIST. CUERO SAQUE RAPID 1041 TB TB</v>
      </c>
      <c r="F469">
        <v>8703041</v>
      </c>
      <c r="G469" t="s">
        <v>13671</v>
      </c>
      <c r="H469">
        <v>2</v>
      </c>
    </row>
    <row r="470" spans="1:8" x14ac:dyDescent="0.25">
      <c r="A470" s="2">
        <v>16522</v>
      </c>
      <c r="B470" s="2" t="s">
        <v>4</v>
      </c>
      <c r="C470" s="2" t="str">
        <f t="shared" si="9"/>
        <v>8703051##</v>
      </c>
      <c r="D470" s="2"/>
      <c r="E470" s="2" t="str">
        <f>IFERROR(VLOOKUP(1*LEFT(C470,7),DF!$A$1:$F$9447,2,FALSE),"")</f>
        <v>PIST. CUERO TODO CALIBRE 1051 TB</v>
      </c>
      <c r="F470">
        <v>8703051</v>
      </c>
      <c r="G470" t="s">
        <v>13672</v>
      </c>
      <c r="H470">
        <v>6</v>
      </c>
    </row>
    <row r="471" spans="1:8" x14ac:dyDescent="0.25">
      <c r="A471" s="2">
        <v>16522</v>
      </c>
      <c r="B471" s="2" t="s">
        <v>4</v>
      </c>
      <c r="C471" s="2" t="str">
        <f t="shared" si="9"/>
        <v>8703042##</v>
      </c>
      <c r="D471" s="2"/>
      <c r="E471" s="2" t="str">
        <f>IFERROR(VLOOKUP(1*LEFT(C471,7),DF!$A$1:$F$9447,2,FALSE),"")</f>
        <v>PIST. CUERO UNIVERSAL 1042 TB</v>
      </c>
      <c r="F471">
        <v>8703042</v>
      </c>
      <c r="G471" t="s">
        <v>13673</v>
      </c>
      <c r="H471">
        <v>2</v>
      </c>
    </row>
    <row r="472" spans="1:8" x14ac:dyDescent="0.25">
      <c r="A472" s="2">
        <v>16522</v>
      </c>
      <c r="B472" s="2" t="s">
        <v>4</v>
      </c>
      <c r="C472" s="2" t="str">
        <f t="shared" si="9"/>
        <v>8703400##</v>
      </c>
      <c r="D472" s="2"/>
      <c r="E472" s="2" t="str">
        <f>IFERROR(VLOOKUP(1*LEFT(C472,7),DF!$A$1:$F$9447,2,FALSE),"")</f>
        <v>PIST. EXTERNA KYDEX BERETTA/TAU9MM KY40E</v>
      </c>
      <c r="F472">
        <v>8703400</v>
      </c>
      <c r="G472" t="s">
        <v>13674</v>
      </c>
      <c r="H472">
        <v>4</v>
      </c>
    </row>
    <row r="473" spans="1:8" x14ac:dyDescent="0.25">
      <c r="A473" s="2">
        <v>16522</v>
      </c>
      <c r="B473" s="2" t="s">
        <v>4</v>
      </c>
      <c r="C473" s="2" t="str">
        <f t="shared" si="9"/>
        <v>8703405##</v>
      </c>
      <c r="D473" s="2"/>
      <c r="E473" s="2" t="str">
        <f>IFERROR(VLOOKUP(1*LEFT(C473,7),DF!$A$1:$F$9447,2,FALSE),"")</f>
        <v>PIST. EXTERNA/ROTAT. KYDEX TAU92 KY40ER</v>
      </c>
      <c r="F473">
        <v>8703405</v>
      </c>
      <c r="G473" t="s">
        <v>13675</v>
      </c>
      <c r="H473">
        <v>4</v>
      </c>
    </row>
    <row r="474" spans="1:8" x14ac:dyDescent="0.25">
      <c r="A474" s="2">
        <v>16522</v>
      </c>
      <c r="B474" s="2" t="s">
        <v>4</v>
      </c>
      <c r="C474" s="2" t="str">
        <f t="shared" si="9"/>
        <v>8703573##</v>
      </c>
      <c r="D474" s="2"/>
      <c r="E474" s="2" t="str">
        <f>IFERROR(VLOOKUP(1*LEFT(C474,7),DF!$A$1:$F$9447,2,FALSE),"")</f>
        <v>PIST. MODELO QM BERSA PRO / GLOCK 5573-8</v>
      </c>
      <c r="F474">
        <v>8703573</v>
      </c>
      <c r="G474" t="s">
        <v>14095</v>
      </c>
      <c r="H474">
        <v>6</v>
      </c>
    </row>
    <row r="475" spans="1:8" x14ac:dyDescent="0.25">
      <c r="A475" s="2">
        <v>16522</v>
      </c>
      <c r="B475" s="2" t="s">
        <v>4</v>
      </c>
      <c r="C475" s="2" t="str">
        <f t="shared" si="9"/>
        <v>8707113##</v>
      </c>
      <c r="D475" s="2"/>
      <c r="E475" s="2" t="str">
        <f>IFERROR(VLOOKUP(1*LEFT(C475,7),DF!$A$1:$F$9447,2,FALSE),"")</f>
        <v>PIST. MOLLE RRD11 BLK</v>
      </c>
      <c r="F475" s="7">
        <v>8707113</v>
      </c>
      <c r="G475" t="s">
        <v>13676</v>
      </c>
      <c r="H475">
        <v>3</v>
      </c>
    </row>
    <row r="476" spans="1:8" x14ac:dyDescent="0.25">
      <c r="A476" s="2">
        <v>16522</v>
      </c>
      <c r="B476" s="2" t="s">
        <v>4</v>
      </c>
      <c r="C476" s="2" t="str">
        <f t="shared" si="9"/>
        <v>8703208##</v>
      </c>
      <c r="D476" s="2"/>
      <c r="E476" s="2" t="str">
        <f>IFERROR(VLOOKUP(1*LEFT(C476,7),DF!$A$1:$F$9447,2,FALSE),"")</f>
        <v>PIST. N5 AH BERSA THUNDER PRO AUTOM DEG</v>
      </c>
      <c r="F476">
        <v>8703208</v>
      </c>
      <c r="G476" t="s">
        <v>14087</v>
      </c>
      <c r="H476">
        <v>9</v>
      </c>
    </row>
    <row r="477" spans="1:8" x14ac:dyDescent="0.25">
      <c r="A477" s="2">
        <v>16522</v>
      </c>
      <c r="B477" s="2" t="s">
        <v>4</v>
      </c>
      <c r="C477" s="2" t="str">
        <f t="shared" si="9"/>
        <v>8703205##</v>
      </c>
      <c r="D477" s="2"/>
      <c r="E477" s="2" t="str">
        <f>IFERROR(VLOOKUP(1*LEFT(C477,7),DF!$A$1:$F$9447,2,FALSE),"")</f>
        <v>PIST. N5 AH FS92 AUTOMATIC HOLSTER DEG</v>
      </c>
      <c r="F477">
        <v>8703205</v>
      </c>
      <c r="G477" t="s">
        <v>14088</v>
      </c>
      <c r="H477">
        <v>14</v>
      </c>
    </row>
    <row r="478" spans="1:8" x14ac:dyDescent="0.25">
      <c r="A478" s="2">
        <v>16522</v>
      </c>
      <c r="B478" s="2" t="s">
        <v>4</v>
      </c>
      <c r="C478" s="2" t="str">
        <f t="shared" si="9"/>
        <v>8703206##</v>
      </c>
      <c r="D478" s="2"/>
      <c r="E478" s="2" t="str">
        <f>IFERROR(VLOOKUP(1*LEFT(C478,7),DF!$A$1:$F$9447,2,FALSE),"")</f>
        <v>PIST. N5 AH GLOCK AUTOMATIC HOLSTER DEG</v>
      </c>
      <c r="F478">
        <v>8703206</v>
      </c>
      <c r="G478" t="s">
        <v>14096</v>
      </c>
      <c r="H478">
        <v>11</v>
      </c>
    </row>
    <row r="479" spans="1:8" x14ac:dyDescent="0.25">
      <c r="A479">
        <v>16522</v>
      </c>
      <c r="B479" t="s">
        <v>4</v>
      </c>
      <c r="C479" t="str">
        <f t="shared" si="9"/>
        <v>8703207##</v>
      </c>
      <c r="E479" t="str">
        <f>IFERROR(VLOOKUP(1*LEFT(C479,7),DF!$A$1:$F$9447,2,FALSE),"")</f>
        <v>PIST. N5 AH PX4 AUTOMATIC HOLSTER DEG</v>
      </c>
      <c r="F479">
        <v>8703207</v>
      </c>
      <c r="G479" t="s">
        <v>13677</v>
      </c>
      <c r="H479">
        <v>12</v>
      </c>
    </row>
    <row r="480" spans="1:8" x14ac:dyDescent="0.25">
      <c r="A480">
        <v>16522</v>
      </c>
      <c r="B480" t="s">
        <v>4</v>
      </c>
      <c r="C480" t="str">
        <f t="shared" si="9"/>
        <v>8703950##</v>
      </c>
      <c r="E480" t="str">
        <f>IFERROR(VLOOKUP(1*LEFT(C480,7),DF!$A$1:$F$9447,2,FALSE),"")</f>
        <v>PIST. NIVEL 2 BERETTA 92/96 XTR</v>
      </c>
      <c r="F480">
        <v>8703950</v>
      </c>
      <c r="G480" t="s">
        <v>13678</v>
      </c>
      <c r="H480">
        <v>7</v>
      </c>
    </row>
    <row r="481" spans="1:8" x14ac:dyDescent="0.25">
      <c r="A481" s="2">
        <v>16522</v>
      </c>
      <c r="B481" s="2" t="s">
        <v>4</v>
      </c>
      <c r="C481" s="2" t="str">
        <f t="shared" si="9"/>
        <v>8703667##</v>
      </c>
      <c r="D481" s="2"/>
      <c r="E481" s="2" t="str">
        <f>IFERROR(VLOOKUP(1*LEFT(C481,7),DF!$A$1:$F$9447,2,FALSE),"")</f>
        <v>PIST. NIVEL 2 BERSA AJUSTABLE 92GB HOLST</v>
      </c>
      <c r="F481">
        <v>8703667</v>
      </c>
      <c r="G481" t="s">
        <v>14092</v>
      </c>
      <c r="H481">
        <v>4</v>
      </c>
    </row>
    <row r="482" spans="1:8" x14ac:dyDescent="0.25">
      <c r="A482" s="2">
        <v>16522</v>
      </c>
      <c r="B482" s="2" t="s">
        <v>4</v>
      </c>
      <c r="C482" s="2" t="str">
        <f t="shared" si="9"/>
        <v>8703662##</v>
      </c>
      <c r="D482" s="2"/>
      <c r="E482" s="2" t="str">
        <f>IFERROR(VLOOKUP(1*LEFT(C482,7),DF!$A$1:$F$9447,2,FALSE),"")</f>
        <v>PIST. NIVEL 2 BERSA PRO/THU HOLSTER 5662</v>
      </c>
      <c r="F482" s="7">
        <v>8703662</v>
      </c>
      <c r="G482" t="s">
        <v>13679</v>
      </c>
      <c r="H482">
        <v>5</v>
      </c>
    </row>
    <row r="483" spans="1:8" x14ac:dyDescent="0.25">
      <c r="A483" s="2">
        <v>16522</v>
      </c>
      <c r="B483" s="2" t="s">
        <v>4</v>
      </c>
      <c r="C483" s="2" t="str">
        <f t="shared" si="9"/>
        <v>8703656##</v>
      </c>
      <c r="D483" s="2"/>
      <c r="E483" s="2" t="str">
        <f>IFERROR(VLOOKUP(1*LEFT(C483,7),DF!$A$1:$F$9447,2,FALSE),"")</f>
        <v>PIST. NIVEL 2 BERSA PRO/THUNDMODM92 5656</v>
      </c>
      <c r="F483">
        <v>8703656</v>
      </c>
      <c r="G483" t="s">
        <v>14089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 t="shared" si="9"/>
        <v>8703350##</v>
      </c>
      <c r="D484" s="2"/>
      <c r="E484" s="2" t="str">
        <f>IFERROR(VLOOKUP(1*LEFT(C484,7),DF!$A$1:$F$9447,2,FALSE),"")</f>
        <v>PIST. NIVEL 2 BERSA THUNDER JA.BAR TB P010</v>
      </c>
      <c r="F484">
        <v>8703350</v>
      </c>
      <c r="G484" t="s">
        <v>13680</v>
      </c>
      <c r="H484">
        <v>3</v>
      </c>
    </row>
    <row r="485" spans="1:8" x14ac:dyDescent="0.25">
      <c r="A485" s="2">
        <v>16522</v>
      </c>
      <c r="B485" s="2" t="s">
        <v>4</v>
      </c>
      <c r="C485" s="2" t="str">
        <f t="shared" si="9"/>
        <v>8703954##</v>
      </c>
      <c r="D485" s="2"/>
      <c r="E485" s="2" t="str">
        <f>IFERROR(VLOOKUP(1*LEFT(C485,7),DF!$A$1:$F$9447,2,FALSE),"")</f>
        <v>PIST. NIVEL 2 BERSA THUNDER PRO 9/40 XTR</v>
      </c>
      <c r="F485">
        <v>8703954</v>
      </c>
      <c r="G485" t="s">
        <v>13681</v>
      </c>
      <c r="H485">
        <v>4</v>
      </c>
    </row>
    <row r="486" spans="1:8" x14ac:dyDescent="0.25">
      <c r="A486" s="2">
        <v>16522</v>
      </c>
      <c r="B486" s="2" t="s">
        <v>4</v>
      </c>
      <c r="C486" s="2" t="str">
        <f t="shared" si="9"/>
        <v>8703352##</v>
      </c>
      <c r="D486" s="2"/>
      <c r="E486" s="2" t="str">
        <f>IFERROR(VLOOKUP(1*LEFT(C486,7),DF!$A$1:$F$9447,2,FALSE),"")</f>
        <v>PIST. NIVEL 2 BERSA TPR9 JA.BAR TB P011</v>
      </c>
      <c r="F486">
        <v>8703352</v>
      </c>
      <c r="G486" t="s">
        <v>13682</v>
      </c>
      <c r="H486">
        <v>6</v>
      </c>
    </row>
    <row r="487" spans="1:8" x14ac:dyDescent="0.25">
      <c r="A487" s="2">
        <v>16522</v>
      </c>
      <c r="B487" s="2" t="s">
        <v>4</v>
      </c>
      <c r="C487" s="2" t="str">
        <f t="shared" si="9"/>
        <v>8703679##</v>
      </c>
      <c r="D487" s="2"/>
      <c r="E487" s="2" t="str">
        <f>IFERROR(VLOOKUP(1*LEFT(C487,7),DF!$A$1:$F$9447,2,FALSE),"")</f>
        <v>PIST. NIVEL 2 BLCKHAWKGLOCK HOLSTER 5679</v>
      </c>
      <c r="F487">
        <v>8703679</v>
      </c>
      <c r="G487" t="s">
        <v>14094</v>
      </c>
      <c r="H487">
        <v>3</v>
      </c>
    </row>
    <row r="488" spans="1:8" x14ac:dyDescent="0.25">
      <c r="A488" s="2">
        <v>16522</v>
      </c>
      <c r="B488" s="2" t="s">
        <v>4</v>
      </c>
      <c r="C488" s="2" t="str">
        <f t="shared" si="9"/>
        <v>8703351##</v>
      </c>
      <c r="D488" s="2"/>
      <c r="E488" s="2" t="str">
        <f>IFERROR(VLOOKUP(1*LEFT(C488,7),DF!$A$1:$F$9447,2,FALSE),"")</f>
        <v>PIST. NIVEL 2 BROWNING FM9 JA.BAR P012</v>
      </c>
      <c r="F488">
        <v>8703351</v>
      </c>
      <c r="G488" t="s">
        <v>13683</v>
      </c>
      <c r="H488">
        <v>7</v>
      </c>
    </row>
    <row r="489" spans="1:8" x14ac:dyDescent="0.25">
      <c r="A489" s="2">
        <v>16522</v>
      </c>
      <c r="B489" s="2" t="s">
        <v>4</v>
      </c>
      <c r="C489" s="2" t="str">
        <f t="shared" si="9"/>
        <v>8703240##</v>
      </c>
      <c r="D489" s="2"/>
      <c r="E489" s="2" t="str">
        <f>IFERROR(VLOOKUP(1*LEFT(C489,7),DF!$A$1:$F$9447,2,FALSE),"")</f>
        <v>PIST. NIVEL 2 H.N240 TAU PT92/B92/96 FUN</v>
      </c>
      <c r="F489">
        <v>8703240</v>
      </c>
      <c r="G489" t="s">
        <v>14091</v>
      </c>
      <c r="H489">
        <v>4</v>
      </c>
    </row>
    <row r="490" spans="1:8" x14ac:dyDescent="0.25">
      <c r="A490">
        <v>16522</v>
      </c>
      <c r="B490" t="s">
        <v>4</v>
      </c>
      <c r="C490" t="str">
        <f t="shared" si="9"/>
        <v>8703245##</v>
      </c>
      <c r="E490" t="str">
        <f>IFERROR(VLOOKUP(1*LEFT(C490,7),DF!$A$1:$F$9447,2,FALSE),"")</f>
        <v>PIST. NIVEL 2 H.N2TPR9 BERSA TPR9 FUN</v>
      </c>
      <c r="F490" s="3">
        <v>8703245</v>
      </c>
      <c r="G490" t="s">
        <v>13684</v>
      </c>
      <c r="H490">
        <v>4</v>
      </c>
    </row>
    <row r="491" spans="1:8" x14ac:dyDescent="0.25">
      <c r="A491" s="2">
        <v>16522</v>
      </c>
      <c r="B491" s="2" t="s">
        <v>4</v>
      </c>
      <c r="C491" s="2" t="str">
        <f t="shared" si="9"/>
        <v>8703241##</v>
      </c>
      <c r="D491" s="2"/>
      <c r="E491" s="2" t="str">
        <f>IFERROR(VLOOKUP(1*LEFT(C491,7),DF!$A$1:$F$9447,2,FALSE),"")</f>
        <v>PIST. NIVEL 2 HN2-41 BERSA THUND/PRO FUN</v>
      </c>
      <c r="F491">
        <v>8703241</v>
      </c>
      <c r="G491" t="s">
        <v>14090</v>
      </c>
      <c r="H491">
        <v>6</v>
      </c>
    </row>
    <row r="492" spans="1:8" x14ac:dyDescent="0.25">
      <c r="A492" s="2">
        <v>16522</v>
      </c>
      <c r="B492" s="2" t="s">
        <v>4</v>
      </c>
      <c r="C492" s="2" t="str">
        <f t="shared" si="9"/>
        <v>8703669##</v>
      </c>
      <c r="D492" s="2"/>
      <c r="E492" s="2" t="str">
        <f>IFERROR(VLOOKUP(1*LEFT(C492,7),DF!$A$1:$F$9447,2,FALSE),"")</f>
        <v>PIST. NIVEL 2 ROTATIVA BERSA 98 HOLSTER</v>
      </c>
      <c r="F492">
        <v>8703669</v>
      </c>
      <c r="G492" t="s">
        <v>14097</v>
      </c>
      <c r="H492">
        <v>4</v>
      </c>
    </row>
    <row r="493" spans="1:8" x14ac:dyDescent="0.25">
      <c r="A493" s="2">
        <v>16522</v>
      </c>
      <c r="B493" s="2" t="s">
        <v>4</v>
      </c>
      <c r="C493" s="2" t="str">
        <f t="shared" si="9"/>
        <v>8703660##</v>
      </c>
      <c r="D493" s="2"/>
      <c r="E493" s="2" t="str">
        <f>IFERROR(VLOOKUP(1*LEFT(C493,7),DF!$A$1:$F$9447,2,FALSE),"")</f>
        <v>PIST. NIVEL 2 TAU809/GLOCK 17 5660 ZURDA</v>
      </c>
      <c r="F493">
        <v>8703660</v>
      </c>
      <c r="G493" t="s">
        <v>14093</v>
      </c>
      <c r="H493">
        <v>4</v>
      </c>
    </row>
    <row r="494" spans="1:8" x14ac:dyDescent="0.25">
      <c r="A494" s="2">
        <v>16522</v>
      </c>
      <c r="B494" s="2" t="s">
        <v>4</v>
      </c>
      <c r="C494" s="2" t="str">
        <f t="shared" si="9"/>
        <v>8703956##</v>
      </c>
      <c r="D494" s="2"/>
      <c r="E494" s="2" t="str">
        <f>IFERROR(VLOOKUP(1*LEFT(C494,7),DF!$A$1:$F$9447,2,FALSE),"")</f>
        <v>PIST. NIVEL 2 TAURUS PT92 XTR</v>
      </c>
      <c r="F494">
        <v>8703956</v>
      </c>
      <c r="G494" t="s">
        <v>14098</v>
      </c>
      <c r="H494">
        <v>6</v>
      </c>
    </row>
    <row r="495" spans="1:8" x14ac:dyDescent="0.25">
      <c r="A495" s="2">
        <v>16522</v>
      </c>
      <c r="B495" s="2" t="s">
        <v>4</v>
      </c>
      <c r="C495" s="2" t="str">
        <f t="shared" si="9"/>
        <v>8703665##</v>
      </c>
      <c r="D495" s="2"/>
      <c r="E495" s="2" t="str">
        <f>IFERROR(VLOOKUP(1*LEFT(C495,7),DF!$A$1:$F$9447,2,FALSE),"")</f>
        <v>PIST. NIVEL2 BERSA MUSLERA 92G HOLSTER 5</v>
      </c>
      <c r="F495">
        <v>8703665</v>
      </c>
      <c r="G495" t="s">
        <v>13685</v>
      </c>
      <c r="H495">
        <v>3</v>
      </c>
    </row>
    <row r="496" spans="1:8" x14ac:dyDescent="0.25">
      <c r="A496" s="2">
        <v>16522</v>
      </c>
      <c r="B496" s="2" t="s">
        <v>4</v>
      </c>
      <c r="C496" s="2" t="str">
        <f t="shared" si="9"/>
        <v>8703665##</v>
      </c>
      <c r="D496" s="2"/>
      <c r="E496" s="2" t="str">
        <f>IFERROR(VLOOKUP(1*LEFT(C496,7),DF!$A$1:$F$9447,2,FALSE),"")</f>
        <v>PIST. NIVEL2 BERSA MUSLERA 92G HOLSTER 5</v>
      </c>
      <c r="F496">
        <v>8703665</v>
      </c>
      <c r="G496" t="s">
        <v>13685</v>
      </c>
      <c r="H496">
        <v>3</v>
      </c>
    </row>
    <row r="497" spans="1:8" x14ac:dyDescent="0.25">
      <c r="A497" s="2">
        <v>16522</v>
      </c>
      <c r="B497" s="2" t="s">
        <v>4</v>
      </c>
      <c r="C497" s="2" t="str">
        <f t="shared" si="9"/>
        <v>8703812##</v>
      </c>
      <c r="D497" s="2"/>
      <c r="E497" s="2" t="str">
        <f>IFERROR(VLOOKUP(1*LEFT(C497,7),DF!$A$1:$F$9447,2,FALSE),"")</f>
        <v>PIST. POLIA CON PORTACARD MAZ</v>
      </c>
      <c r="F497">
        <v>8703812</v>
      </c>
      <c r="G497" t="s">
        <v>13686</v>
      </c>
      <c r="H497">
        <v>3</v>
      </c>
    </row>
    <row r="498" spans="1:8" x14ac:dyDescent="0.25">
      <c r="A498" s="2">
        <v>16522</v>
      </c>
      <c r="B498" s="2" t="s">
        <v>4</v>
      </c>
      <c r="C498" s="2" t="str">
        <f t="shared" si="9"/>
        <v>8703550##</v>
      </c>
      <c r="D498" s="2"/>
      <c r="E498" s="2" t="str">
        <f>IFERROR(VLOOKUP(1*LEFT(C498,7),DF!$A$1:$F$9447,2,FALSE),"")</f>
        <v>PIST. POLIA DOBLE PROPOS VERDE GN</v>
      </c>
      <c r="F498">
        <v>8703550</v>
      </c>
      <c r="G498" t="s">
        <v>13687</v>
      </c>
      <c r="H498">
        <v>4</v>
      </c>
    </row>
    <row r="499" spans="1:8" x14ac:dyDescent="0.25">
      <c r="A499" s="2">
        <v>16522</v>
      </c>
      <c r="B499" s="2" t="s">
        <v>4</v>
      </c>
      <c r="C499" s="2" t="str">
        <f t="shared" si="9"/>
        <v>8703601##</v>
      </c>
      <c r="D499" s="2"/>
      <c r="E499" s="2" t="str">
        <f>IFERROR(VLOOKUP(1*LEFT(C499,7),DF!$A$1:$F$9447,2,FALSE),"")</f>
        <v>PIST. POLIA FUNDA INT UNIVERSAL T601 TB</v>
      </c>
      <c r="F499">
        <v>8703601</v>
      </c>
      <c r="G499" t="s">
        <v>13688</v>
      </c>
      <c r="H499">
        <v>2</v>
      </c>
    </row>
    <row r="500" spans="1:8" x14ac:dyDescent="0.25">
      <c r="A500" s="2">
        <v>16522</v>
      </c>
      <c r="B500" s="2" t="s">
        <v>4</v>
      </c>
      <c r="C500" s="2" t="str">
        <f t="shared" si="9"/>
        <v>8703811##</v>
      </c>
      <c r="D500" s="2"/>
      <c r="E500" s="2" t="str">
        <f>IFERROR(VLOOKUP(1*LEFT(C500,7),DF!$A$1:$F$9447,2,FALSE),"")</f>
        <v>PIST. POLIA GEO CON PORTACARG MAZ</v>
      </c>
      <c r="F500">
        <v>8703811</v>
      </c>
      <c r="G500" t="s">
        <v>13689</v>
      </c>
      <c r="H500">
        <v>3</v>
      </c>
    </row>
    <row r="501" spans="1:8" x14ac:dyDescent="0.25">
      <c r="A501" s="2">
        <v>16522</v>
      </c>
      <c r="B501" s="2" t="s">
        <v>4</v>
      </c>
      <c r="C501" s="2" t="str">
        <f t="shared" si="9"/>
        <v>8703810##</v>
      </c>
      <c r="D501" s="2"/>
      <c r="E501" s="2" t="str">
        <f>IFERROR(VLOOKUP(1*LEFT(C501,7),DF!$A$1:$F$9447,2,FALSE),"")</f>
        <v>PIST. POLIA GEO MAZ</v>
      </c>
      <c r="F501">
        <v>8703810</v>
      </c>
      <c r="G501" t="s">
        <v>13690</v>
      </c>
      <c r="H501">
        <v>4</v>
      </c>
    </row>
    <row r="502" spans="1:8" x14ac:dyDescent="0.25">
      <c r="A502" s="2">
        <v>16522</v>
      </c>
      <c r="B502" s="2" t="s">
        <v>4</v>
      </c>
      <c r="C502" s="2" t="str">
        <f t="shared" si="9"/>
        <v>8703750##</v>
      </c>
      <c r="D502" s="2"/>
      <c r="E502" s="2" t="str">
        <f>IFERROR(VLOOKUP(1*LEFT(C502,7),DF!$A$1:$F$9447,2,FALSE),"")</f>
        <v>PIST. POLIA GUERR. UNIV GRIS MAZ RER</v>
      </c>
      <c r="F502">
        <v>8703750</v>
      </c>
      <c r="G502" t="s">
        <v>13691</v>
      </c>
      <c r="H502">
        <v>3</v>
      </c>
    </row>
    <row r="503" spans="1:8" x14ac:dyDescent="0.25">
      <c r="A503" s="2">
        <v>16522</v>
      </c>
      <c r="B503" s="2" t="s">
        <v>4</v>
      </c>
      <c r="C503" s="2" t="str">
        <f t="shared" si="9"/>
        <v>8703702##</v>
      </c>
      <c r="D503" s="2"/>
      <c r="E503" s="2" t="str">
        <f>IFERROR(VLOOKUP(1*LEFT(C503,7),DF!$A$1:$F$9447,2,FALSE),"")</f>
        <v>PIST. POLIA GUERR. UNIV NEGRA MAZ</v>
      </c>
      <c r="F503">
        <v>8703702</v>
      </c>
      <c r="G503" t="s">
        <v>13692</v>
      </c>
      <c r="H503">
        <v>2</v>
      </c>
    </row>
    <row r="504" spans="1:8" x14ac:dyDescent="0.25">
      <c r="A504" s="2">
        <v>16522</v>
      </c>
      <c r="B504" s="2" t="s">
        <v>4</v>
      </c>
      <c r="C504" s="2" t="str">
        <f t="shared" si="9"/>
        <v>8703500##</v>
      </c>
      <c r="D504" s="2"/>
      <c r="E504" s="2" t="str">
        <f>IFERROR(VLOOKUP(1*LEFT(C504,7),DF!$A$1:$F$9447,2,FALSE),"")</f>
        <v>PIST. POLIA MINI ASTRA GUERR. MAZ</v>
      </c>
      <c r="F504">
        <v>8703500</v>
      </c>
      <c r="G504" t="s">
        <v>13693</v>
      </c>
      <c r="H504">
        <v>4</v>
      </c>
    </row>
    <row r="505" spans="1:8" x14ac:dyDescent="0.25">
      <c r="A505" s="2">
        <v>16522</v>
      </c>
      <c r="B505" s="2" t="s">
        <v>4</v>
      </c>
      <c r="C505" s="2" t="str">
        <f t="shared" si="9"/>
        <v>8703615##</v>
      </c>
      <c r="D505" s="2"/>
      <c r="E505" s="2" t="str">
        <f>IFERROR(VLOOKUP(1*LEFT(C505,7),DF!$A$1:$F$9447,2,FALSE),"")</f>
        <v>PIST. POLIA MINI GUERRILLERA MAZ</v>
      </c>
      <c r="F505">
        <v>8703615</v>
      </c>
      <c r="G505" t="s">
        <v>13694</v>
      </c>
      <c r="H505">
        <v>2</v>
      </c>
    </row>
    <row r="506" spans="1:8" x14ac:dyDescent="0.25">
      <c r="A506" s="2">
        <v>16522</v>
      </c>
      <c r="B506" s="2" t="s">
        <v>4</v>
      </c>
      <c r="C506" s="2" t="str">
        <f t="shared" si="9"/>
        <v>8703900##</v>
      </c>
      <c r="D506" s="2"/>
      <c r="E506" s="2" t="str">
        <f>IFERROR(VLOOKUP(1*LEFT(C506,7),DF!$A$1:$F$9447,2,FALSE),"")</f>
        <v>PIST. POLIA MINICOMPAC SAQUERAP MAZ</v>
      </c>
      <c r="F506">
        <v>8703900</v>
      </c>
      <c r="G506" t="s">
        <v>13695</v>
      </c>
      <c r="H506">
        <v>3</v>
      </c>
    </row>
    <row r="507" spans="1:8" x14ac:dyDescent="0.25">
      <c r="A507" s="2">
        <v>16522</v>
      </c>
      <c r="B507" s="2" t="s">
        <v>4</v>
      </c>
      <c r="C507" s="2" t="str">
        <f t="shared" si="9"/>
        <v>8703619##</v>
      </c>
      <c r="D507" s="2"/>
      <c r="E507" s="2" t="str">
        <f>IFERROR(VLOOKUP(1*LEFT(C507,7),DF!$A$1:$F$9447,2,FALSE),"")</f>
        <v>PIST. POLIA RI¥ONERA POLIA MAZ</v>
      </c>
      <c r="F507">
        <v>8703619</v>
      </c>
      <c r="G507" t="s">
        <v>13696</v>
      </c>
      <c r="H507">
        <v>4</v>
      </c>
    </row>
    <row r="508" spans="1:8" x14ac:dyDescent="0.25">
      <c r="A508" s="2">
        <v>16522</v>
      </c>
      <c r="B508" s="2" t="s">
        <v>4</v>
      </c>
      <c r="C508" s="2" t="str">
        <f t="shared" si="9"/>
        <v>8703300##</v>
      </c>
      <c r="D508" s="2"/>
      <c r="E508" s="2" t="str">
        <f>IFERROR(VLOOKUP(1*LEFT(C508,7),DF!$A$1:$F$9447,2,FALSE),"")</f>
        <v>PIST. POLIA UNIVERSAL MULTIMARCA EZ</v>
      </c>
      <c r="F508">
        <v>8703300</v>
      </c>
      <c r="G508" t="s">
        <v>13697</v>
      </c>
      <c r="H508">
        <v>4</v>
      </c>
    </row>
    <row r="509" spans="1:8" x14ac:dyDescent="0.25">
      <c r="A509">
        <v>16522</v>
      </c>
      <c r="B509" t="s">
        <v>4</v>
      </c>
      <c r="C509" t="str">
        <f t="shared" si="9"/>
        <v>8703028##</v>
      </c>
      <c r="E509" t="str">
        <f>IFERROR(VLOOKUP(1*LEFT(C509,7),DF!$A$1:$F$9447,2,FALSE),"")</f>
        <v>PIST. POLIMERO NIVEL 2 GLOCK (17.18C.20.21.22.37) 2070-1</v>
      </c>
      <c r="F509">
        <v>8703028</v>
      </c>
      <c r="G509" t="s">
        <v>13698</v>
      </c>
      <c r="H509">
        <v>4</v>
      </c>
    </row>
    <row r="510" spans="1:8" x14ac:dyDescent="0.25">
      <c r="A510" s="2">
        <v>16522</v>
      </c>
      <c r="B510" s="2" t="s">
        <v>4</v>
      </c>
      <c r="C510" s="2" t="str">
        <f t="shared" si="9"/>
        <v>8703926##</v>
      </c>
      <c r="D510" s="2"/>
      <c r="E510" s="2" t="str">
        <f>IFERROR(VLOOKUP(1*LEFT(C510,7),DF!$A$1:$F$9447,2,FALSE),"")</f>
        <v>PIST. TERMO. BERSA TPB EM</v>
      </c>
      <c r="F510" s="7">
        <v>8703926</v>
      </c>
      <c r="G510" t="s">
        <v>13699</v>
      </c>
      <c r="H510">
        <v>5</v>
      </c>
    </row>
    <row r="511" spans="1:8" x14ac:dyDescent="0.25">
      <c r="A511" s="2">
        <v>16522</v>
      </c>
      <c r="B511" s="2" t="s">
        <v>4</v>
      </c>
      <c r="C511" s="2" t="str">
        <f t="shared" si="9"/>
        <v>8703509##</v>
      </c>
      <c r="D511" s="2"/>
      <c r="E511" s="2" t="str">
        <f>IFERROR(VLOOKUP(1*LEFT(C511,7),DF!$A$1:$F$9447,2,FALSE),"")</f>
        <v>PIST. TERMO. BLK BLK</v>
      </c>
      <c r="F511">
        <v>8703509</v>
      </c>
      <c r="G511" t="s">
        <v>13700</v>
      </c>
      <c r="H511">
        <v>7</v>
      </c>
    </row>
    <row r="512" spans="1:8" x14ac:dyDescent="0.25">
      <c r="A512" s="2">
        <v>16522</v>
      </c>
      <c r="B512" s="2" t="s">
        <v>4</v>
      </c>
      <c r="C512" s="2" t="str">
        <f t="shared" ref="C512:C575" si="10">CONCATENATE(F512,"##")</f>
        <v>8703925##</v>
      </c>
      <c r="D512" s="2"/>
      <c r="E512" s="2" t="str">
        <f>IFERROR(VLOOKUP(1*LEFT(C512,7),DF!$A$1:$F$9447,2,FALSE),"")</f>
        <v>PIST. TERMO. MINI THUNDER CMTH EM</v>
      </c>
      <c r="F512" s="7">
        <v>8703925</v>
      </c>
      <c r="G512" t="s">
        <v>13701</v>
      </c>
      <c r="H512">
        <v>5</v>
      </c>
    </row>
    <row r="513" spans="1:8" x14ac:dyDescent="0.25">
      <c r="A513" s="2">
        <v>16522</v>
      </c>
      <c r="B513" s="2" t="s">
        <v>4</v>
      </c>
      <c r="C513" s="2" t="str">
        <f t="shared" si="10"/>
        <v>8703604##</v>
      </c>
      <c r="D513" s="2"/>
      <c r="E513" s="2" t="str">
        <f>IFERROR(VLOOKUP(1*LEFT(C513,7),DF!$A$1:$F$9447,2,FALSE),"")</f>
        <v>PIST. TERMO. TACTICA CTAPA NEGRA G001 TB</v>
      </c>
      <c r="F513">
        <v>8703604</v>
      </c>
      <c r="G513" t="s">
        <v>13702</v>
      </c>
      <c r="H513">
        <v>5</v>
      </c>
    </row>
    <row r="514" spans="1:8" x14ac:dyDescent="0.25">
      <c r="A514" s="2">
        <v>16522</v>
      </c>
      <c r="B514" s="2" t="s">
        <v>4</v>
      </c>
      <c r="C514" s="2" t="str">
        <f t="shared" si="10"/>
        <v>8703504##</v>
      </c>
      <c r="D514" s="2"/>
      <c r="E514" s="2" t="str">
        <f>IFERROR(VLOOKUP(1*LEFT(C514,7),DF!$A$1:$F$9447,2,FALSE),"")</f>
        <v>PIST. TERMO. TACTICA REGULABLE T504 TB</v>
      </c>
      <c r="F514" s="7">
        <v>8703504</v>
      </c>
      <c r="G514" t="s">
        <v>13703</v>
      </c>
      <c r="H514">
        <v>4</v>
      </c>
    </row>
    <row r="515" spans="1:8" x14ac:dyDescent="0.25">
      <c r="A515" s="2">
        <v>16522</v>
      </c>
      <c r="B515" s="2" t="s">
        <v>4</v>
      </c>
      <c r="C515" s="2" t="str">
        <f t="shared" si="10"/>
        <v>8703506##</v>
      </c>
      <c r="D515" s="2"/>
      <c r="E515" s="2" t="str">
        <f>IFERROR(VLOOKUP(1*LEFT(C515,7),DF!$A$1:$F$9447,2,FALSE),"")</f>
        <v>PIST. TERMOFOR. MULTIMARCA T506 TB</v>
      </c>
      <c r="F515">
        <v>8703506</v>
      </c>
      <c r="G515" t="s">
        <v>13704</v>
      </c>
      <c r="H515">
        <v>8</v>
      </c>
    </row>
    <row r="516" spans="1:8" x14ac:dyDescent="0.25">
      <c r="A516" s="2">
        <v>16522</v>
      </c>
      <c r="B516" s="2" t="s">
        <v>4</v>
      </c>
      <c r="C516" s="2" t="str">
        <f t="shared" si="10"/>
        <v>8703513##</v>
      </c>
      <c r="D516" s="2"/>
      <c r="E516" s="2" t="str">
        <f>IFERROR(VLOOKUP(1*LEFT(C516,7),DF!$A$1:$F$9447,2,FALSE),"")</f>
        <v>PIST. TERMOFOR. PANQ CORTA C/TIRA T513TB</v>
      </c>
      <c r="F516">
        <v>8703513</v>
      </c>
      <c r="G516" t="s">
        <v>13705</v>
      </c>
      <c r="H516">
        <v>3</v>
      </c>
    </row>
    <row r="517" spans="1:8" x14ac:dyDescent="0.25">
      <c r="A517" s="2">
        <v>16522</v>
      </c>
      <c r="B517" s="2" t="s">
        <v>4</v>
      </c>
      <c r="C517" s="2" t="str">
        <f t="shared" si="10"/>
        <v>8703502##</v>
      </c>
      <c r="D517" s="2"/>
      <c r="E517" s="2" t="str">
        <f>IFERROR(VLOOKUP(1*LEFT(C517,7),DF!$A$1:$F$9447,2,FALSE),"")</f>
        <v>PIST. TERMOFOR. PANQUEQ CTA T513 TB</v>
      </c>
      <c r="F517">
        <v>8703502</v>
      </c>
      <c r="G517" t="s">
        <v>13706</v>
      </c>
      <c r="H517">
        <v>4</v>
      </c>
    </row>
    <row r="518" spans="1:8" x14ac:dyDescent="0.25">
      <c r="A518" s="2">
        <v>16522</v>
      </c>
      <c r="B518" s="2" t="s">
        <v>4</v>
      </c>
      <c r="C518" s="2" t="str">
        <f t="shared" si="10"/>
        <v>8703505##</v>
      </c>
      <c r="D518" s="2"/>
      <c r="E518" s="2" t="str">
        <f>IFERROR(VLOOKUP(1*LEFT(C518,7),DF!$A$1:$F$9447,2,FALSE),"")</f>
        <v>PIST. TERMOFOR. SAQUE RAPIDO T500 TB</v>
      </c>
      <c r="F518">
        <v>8703505</v>
      </c>
      <c r="G518" t="s">
        <v>13707</v>
      </c>
      <c r="H518">
        <v>4</v>
      </c>
    </row>
    <row r="519" spans="1:8" x14ac:dyDescent="0.25">
      <c r="A519" s="2">
        <v>16522</v>
      </c>
      <c r="B519" s="2" t="s">
        <v>4</v>
      </c>
      <c r="C519" s="2" t="str">
        <f t="shared" si="10"/>
        <v>8703507##</v>
      </c>
      <c r="D519" s="2"/>
      <c r="E519" s="2" t="str">
        <f>IFERROR(VLOOKUP(1*LEFT(C519,7),DF!$A$1:$F$9447,2,FALSE),"")</f>
        <v>PIST. TERMOFORMADO LARGA BERSA T507 TB</v>
      </c>
      <c r="F519">
        <v>8703507</v>
      </c>
      <c r="G519" t="s">
        <v>13708</v>
      </c>
      <c r="H519">
        <v>3</v>
      </c>
    </row>
    <row r="520" spans="1:8" x14ac:dyDescent="0.25">
      <c r="A520" s="2">
        <v>16522</v>
      </c>
      <c r="B520" s="2" t="s">
        <v>4</v>
      </c>
      <c r="C520" s="2" t="str">
        <f t="shared" si="10"/>
        <v>8703046##</v>
      </c>
      <c r="D520" s="2"/>
      <c r="E520" s="2" t="str">
        <f>IFERROR(VLOOKUP(1*LEFT(C520,7),DF!$A$1:$F$9447,2,FALSE),"")</f>
        <v>PIST. TIRA PORTA ARMA HUESITO 1046 TB</v>
      </c>
      <c r="F520">
        <v>8703046</v>
      </c>
      <c r="G520" t="s">
        <v>13709</v>
      </c>
      <c r="H520">
        <v>3</v>
      </c>
    </row>
    <row r="521" spans="1:8" x14ac:dyDescent="0.25">
      <c r="A521" s="2">
        <v>16522</v>
      </c>
      <c r="B521" s="2" t="s">
        <v>4</v>
      </c>
      <c r="C521" s="2" t="str">
        <f t="shared" si="10"/>
        <v>8703254##</v>
      </c>
      <c r="D521" s="2"/>
      <c r="E521" s="2" t="str">
        <f>IFERROR(VLOOKUP(1*LEFT(C521,7),DF!$A$1:$F$9447,2,FALSE),"")</f>
        <v>PISTOLERA NIVEL 2 POLIM. BERSA THUNDER/PRO/TPR BO7</v>
      </c>
      <c r="F521">
        <v>8703254</v>
      </c>
      <c r="G521" t="s">
        <v>13710</v>
      </c>
      <c r="H521">
        <v>5</v>
      </c>
    </row>
    <row r="522" spans="1:8" x14ac:dyDescent="0.25">
      <c r="A522" s="2">
        <v>16522</v>
      </c>
      <c r="B522" s="2" t="s">
        <v>4</v>
      </c>
      <c r="C522" s="2" t="str">
        <f t="shared" si="10"/>
        <v>8703246##</v>
      </c>
      <c r="D522" s="2"/>
      <c r="E522" s="2" t="str">
        <f>IFERROR(VLOOKUP(1*LEFT(C522,7),DF!$A$1:$F$9447,2,FALSE),"")</f>
        <v>PISTOLERA NIVEL 2 POLIM. BROWNING BO7BRW</v>
      </c>
      <c r="F522">
        <v>8703246</v>
      </c>
      <c r="G522" t="s">
        <v>13711</v>
      </c>
      <c r="H522">
        <v>5</v>
      </c>
    </row>
    <row r="523" spans="1:8" x14ac:dyDescent="0.25">
      <c r="A523" s="2">
        <v>16522</v>
      </c>
      <c r="B523" s="2" t="s">
        <v>4</v>
      </c>
      <c r="C523" s="2" t="str">
        <f t="shared" si="10"/>
        <v>8703248##</v>
      </c>
      <c r="D523" s="2"/>
      <c r="E523" s="2" t="str">
        <f>IFERROR(VLOOKUP(1*LEFT(C523,7),DF!$A$1:$F$9447,2,FALSE),"")</f>
        <v>PISTOLERA NIVEL 2 POLIM. GLOCK 17 / 22 / 31  BO7G17</v>
      </c>
      <c r="F523">
        <v>8703248</v>
      </c>
      <c r="G523" t="s">
        <v>13712</v>
      </c>
      <c r="H523">
        <v>6</v>
      </c>
    </row>
    <row r="524" spans="1:8" x14ac:dyDescent="0.25">
      <c r="A524" s="2">
        <v>16522</v>
      </c>
      <c r="B524" s="2" t="s">
        <v>4</v>
      </c>
      <c r="C524" s="2" t="str">
        <f t="shared" si="10"/>
        <v>8708001##</v>
      </c>
      <c r="D524" s="2"/>
      <c r="E524" s="2" t="str">
        <f>IFERROR(VLOOKUP(1*LEFT(C524,7),DF!$A$1:$F$9447,2,FALSE),"")</f>
        <v>PLATAFORMA MOLLE STRIKE 001-14/4,84</v>
      </c>
      <c r="F524">
        <v>8708001</v>
      </c>
      <c r="G524" t="s">
        <v>13713</v>
      </c>
      <c r="H524">
        <v>4</v>
      </c>
    </row>
    <row r="525" spans="1:8" x14ac:dyDescent="0.25">
      <c r="A525" s="2">
        <v>16522</v>
      </c>
      <c r="B525" s="2" t="s">
        <v>4</v>
      </c>
      <c r="C525" s="2" t="str">
        <f t="shared" si="10"/>
        <v>8703252##</v>
      </c>
      <c r="D525" s="2"/>
      <c r="E525" s="2" t="str">
        <f>IFERROR(VLOOKUP(1*LEFT(C525,7),DF!$A$1:$F$9447,2,FALSE),"")</f>
        <v>PLATAFORMA MUSLERA AH UNIVER. AUTOMA DEG</v>
      </c>
      <c r="F525">
        <v>8703252</v>
      </c>
      <c r="G525" t="s">
        <v>13714</v>
      </c>
      <c r="H525">
        <v>7</v>
      </c>
    </row>
    <row r="526" spans="1:8" x14ac:dyDescent="0.25">
      <c r="A526">
        <v>16522</v>
      </c>
      <c r="B526" t="s">
        <v>4</v>
      </c>
      <c r="C526" t="str">
        <f t="shared" si="10"/>
        <v>8708272##</v>
      </c>
      <c r="E526" t="str">
        <f>IFERROR(VLOOKUP(1*LEFT(C526,7),DF!$A$1:$F$9447,2,FALSE),"")</f>
        <v>PLATAFORMA MUSLERA H.N2-72 FUN</v>
      </c>
      <c r="F526">
        <v>8708272</v>
      </c>
      <c r="G526" t="s">
        <v>13715</v>
      </c>
      <c r="H526">
        <v>5</v>
      </c>
    </row>
    <row r="527" spans="1:8" x14ac:dyDescent="0.25">
      <c r="A527" s="2">
        <v>16522</v>
      </c>
      <c r="B527" s="2" t="s">
        <v>4</v>
      </c>
      <c r="C527" s="2" t="str">
        <f t="shared" si="10"/>
        <v>8708272##</v>
      </c>
      <c r="D527" s="2"/>
      <c r="E527" s="2" t="str">
        <f>IFERROR(VLOOKUP(1*LEFT(C527,7),DF!$A$1:$F$9447,2,FALSE),"")</f>
        <v>PLATAFORMA MUSLERA H.N2-72 FUN</v>
      </c>
      <c r="F527">
        <v>8708272</v>
      </c>
      <c r="G527" t="s">
        <v>13715</v>
      </c>
      <c r="H527">
        <v>5</v>
      </c>
    </row>
    <row r="528" spans="1:8" x14ac:dyDescent="0.25">
      <c r="A528" s="2">
        <v>16522</v>
      </c>
      <c r="B528" s="2" t="s">
        <v>4</v>
      </c>
      <c r="C528" s="2" t="str">
        <f t="shared" si="10"/>
        <v>8708070##</v>
      </c>
      <c r="D528" s="2"/>
      <c r="E528" s="2" t="str">
        <f>IFERROR(VLOOKUP(1*LEFT(C528,7),DF!$A$1:$F$9447,2,FALSE),"")</f>
        <v>PLATAFORMA XTL STP568 XTR</v>
      </c>
      <c r="F528">
        <v>8708070</v>
      </c>
      <c r="G528" t="s">
        <v>13716</v>
      </c>
      <c r="H528">
        <v>5</v>
      </c>
    </row>
    <row r="529" spans="1:8" x14ac:dyDescent="0.25">
      <c r="A529" s="2">
        <v>16522</v>
      </c>
      <c r="B529" s="2" t="s">
        <v>4</v>
      </c>
      <c r="C529" s="2" t="str">
        <f t="shared" si="10"/>
        <v>2220030##</v>
      </c>
      <c r="D529" s="2"/>
      <c r="E529" s="2" t="str">
        <f>IFERROR(VLOOKUP(1*LEFT(C529,7),DF!$A$1:$F$9447,2,FALSE),"")</f>
        <v>POLERA ALGODON AZUL RER</v>
      </c>
      <c r="F529" s="7">
        <v>2220030</v>
      </c>
      <c r="G529" t="s">
        <v>13717</v>
      </c>
      <c r="H529">
        <v>3</v>
      </c>
    </row>
    <row r="530" spans="1:8" x14ac:dyDescent="0.25">
      <c r="A530" s="2">
        <v>16522</v>
      </c>
      <c r="B530" s="2" t="s">
        <v>4</v>
      </c>
      <c r="C530" s="2" t="str">
        <f t="shared" si="10"/>
        <v>2220034##</v>
      </c>
      <c r="D530" s="2"/>
      <c r="E530" s="2" t="str">
        <f>IFERROR(VLOOKUP(1*LEFT(C530,7),DF!$A$1:$F$9447,2,FALSE),"")</f>
        <v>POLERA ALGODON BLANCA RER</v>
      </c>
      <c r="F530" s="7">
        <v>2220034</v>
      </c>
      <c r="G530" t="s">
        <v>13718</v>
      </c>
      <c r="H530">
        <v>2</v>
      </c>
    </row>
    <row r="531" spans="1:8" x14ac:dyDescent="0.25">
      <c r="A531" s="2">
        <v>16522</v>
      </c>
      <c r="B531" s="2" t="s">
        <v>4</v>
      </c>
      <c r="C531" s="2" t="str">
        <f t="shared" si="10"/>
        <v>2220032##</v>
      </c>
      <c r="D531" s="2"/>
      <c r="E531" s="2" t="str">
        <f>IFERROR(VLOOKUP(1*LEFT(C531,7),DF!$A$1:$F$9447,2,FALSE),"")</f>
        <v>POLERA ALGODON GRIS RER</v>
      </c>
      <c r="F531" s="7">
        <v>2220032</v>
      </c>
      <c r="G531" t="s">
        <v>13719</v>
      </c>
      <c r="H531">
        <v>3</v>
      </c>
    </row>
    <row r="532" spans="1:8" x14ac:dyDescent="0.25">
      <c r="A532" s="2">
        <v>16522</v>
      </c>
      <c r="B532" s="2" t="s">
        <v>4</v>
      </c>
      <c r="C532" s="2" t="str">
        <f t="shared" si="10"/>
        <v>2220037##</v>
      </c>
      <c r="D532" s="2"/>
      <c r="E532" s="2" t="str">
        <f>IFERROR(VLOOKUP(1*LEFT(C532,7),DF!$A$1:$F$9447,2,FALSE),"")</f>
        <v>POLERA ALGODON NEGRA RER</v>
      </c>
      <c r="F532" s="7">
        <v>2220037</v>
      </c>
      <c r="G532" t="s">
        <v>13720</v>
      </c>
      <c r="H532">
        <v>3</v>
      </c>
    </row>
    <row r="533" spans="1:8" x14ac:dyDescent="0.25">
      <c r="A533">
        <v>16522</v>
      </c>
      <c r="B533" t="s">
        <v>4</v>
      </c>
      <c r="C533" t="str">
        <f t="shared" si="10"/>
        <v>1407094##</v>
      </c>
      <c r="E533" t="str">
        <f>IFERROR(VLOOKUP(1*LEFT(C533,7),DF!$A$1:$F$9447,2,FALSE),"")</f>
        <v>POLLERA POLICIA C FORRO RER</v>
      </c>
      <c r="F533">
        <v>1407094</v>
      </c>
      <c r="G533" t="s">
        <v>13721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 t="shared" si="10"/>
        <v>1407093##</v>
      </c>
      <c r="D534" s="2"/>
      <c r="E534" s="2" t="str">
        <f>IFERROR(VLOOKUP(1*LEFT(C534,7),DF!$A$1:$F$9447,2,FALSE),"")</f>
        <v>POLLERA POLICIA SIN FORRAR RER</v>
      </c>
      <c r="F534" s="7">
        <v>1407093</v>
      </c>
      <c r="G534" t="s">
        <v>13722</v>
      </c>
      <c r="H534">
        <v>5</v>
      </c>
    </row>
    <row r="535" spans="1:8" x14ac:dyDescent="0.25">
      <c r="A535">
        <v>16522</v>
      </c>
      <c r="B535" t="s">
        <v>4</v>
      </c>
      <c r="C535" t="str">
        <f t="shared" si="10"/>
        <v>8708299##</v>
      </c>
      <c r="E535" t="str">
        <f>IFERROR(VLOOKUP(1*LEFT(C535,7),DF!$A$1:$F$9447,2,FALSE),"")</f>
        <v>PORTA BOTELLA SISTEMA MOLLE 2995</v>
      </c>
      <c r="F535">
        <v>8708299</v>
      </c>
      <c r="G535" t="s">
        <v>13723</v>
      </c>
      <c r="H535">
        <v>4</v>
      </c>
    </row>
    <row r="536" spans="1:8" x14ac:dyDescent="0.25">
      <c r="A536">
        <v>16522</v>
      </c>
      <c r="B536" t="s">
        <v>4</v>
      </c>
      <c r="C536" t="str">
        <f t="shared" si="10"/>
        <v>8705802##</v>
      </c>
      <c r="E536" t="str">
        <f>IFERROR(VLOOKUP(1*LEFT(C536,7),DF!$A$1:$F$9447,2,FALSE),"")</f>
        <v>PORTA CARG FAL VERDE MAZ</v>
      </c>
      <c r="F536">
        <v>8705802</v>
      </c>
      <c r="G536" t="s">
        <v>13724</v>
      </c>
      <c r="H536">
        <v>8</v>
      </c>
    </row>
    <row r="537" spans="1:8" x14ac:dyDescent="0.25">
      <c r="A537">
        <v>16522</v>
      </c>
      <c r="B537" t="s">
        <v>4</v>
      </c>
      <c r="C537" t="str">
        <f t="shared" si="10"/>
        <v>8705552##</v>
      </c>
      <c r="E537" t="str">
        <f>IFERROR(VLOOKUP(1*LEFT(C537,7),DF!$A$1:$F$9447,2,FALSE),"")</f>
        <v>PORTA CARG POLIA GRIS VERDE CON GANCHO</v>
      </c>
      <c r="F537">
        <v>8705552</v>
      </c>
      <c r="G537" t="s">
        <v>13725</v>
      </c>
      <c r="H537">
        <v>8</v>
      </c>
    </row>
    <row r="538" spans="1:8" x14ac:dyDescent="0.25">
      <c r="A538" s="2">
        <v>16522</v>
      </c>
      <c r="B538" s="2" t="s">
        <v>4</v>
      </c>
      <c r="C538" s="2" t="str">
        <f t="shared" si="10"/>
        <v>8705113##</v>
      </c>
      <c r="D538" s="2"/>
      <c r="E538" s="2" t="str">
        <f>IFERROR(VLOOKUP(1*LEFT(C538,7),DF!$A$1:$F$9447,2,FALSE),"")</f>
        <v>PORTA CARGADOR DOBLE H.RP113 9/40 FUN</v>
      </c>
      <c r="F538">
        <v>8705113</v>
      </c>
      <c r="G538" t="s">
        <v>14100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 t="shared" si="10"/>
        <v>8705075##</v>
      </c>
      <c r="D539" s="2"/>
      <c r="E539" s="2" t="str">
        <f>IFERROR(VLOOKUP(1*LEFT(C539,7),DF!$A$1:$F$9447,2,FALSE),"")</f>
        <v>PORTA CARGADOR DOBLE MOLLE M001 TB</v>
      </c>
      <c r="F539">
        <v>8705075</v>
      </c>
      <c r="G539" t="s">
        <v>13726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 t="shared" si="10"/>
        <v>8705119##</v>
      </c>
      <c r="D540" s="2"/>
      <c r="E540" s="2" t="str">
        <f>IFERROR(VLOOKUP(1*LEFT(C540,7),DF!$A$1:$F$9447,2,FALSE),"")</f>
        <v>PORTA CARGADOR DOBLE UNIVERSAL POLIMERO BO4D</v>
      </c>
      <c r="F540">
        <v>8705119</v>
      </c>
      <c r="G540" t="s">
        <v>13727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 t="shared" si="10"/>
        <v>8705115##</v>
      </c>
      <c r="D541" s="2"/>
      <c r="E541" s="2" t="str">
        <f>IFERROR(VLOOKUP(1*LEFT(C541,7),DF!$A$1:$F$9447,2,FALSE),"")</f>
        <v>PORTA CARGADOR DOBLE UNIVERSAL POLIMERO BO4DT</v>
      </c>
      <c r="F541">
        <v>8705115</v>
      </c>
      <c r="G541" t="s">
        <v>13728</v>
      </c>
      <c r="H541">
        <v>7</v>
      </c>
    </row>
    <row r="542" spans="1:8" x14ac:dyDescent="0.25">
      <c r="A542" s="2">
        <v>16522</v>
      </c>
      <c r="B542" s="2" t="s">
        <v>4</v>
      </c>
      <c r="C542" s="2" t="str">
        <f t="shared" si="10"/>
        <v>8705116##</v>
      </c>
      <c r="D542" s="2"/>
      <c r="E542" s="2" t="str">
        <f>IFERROR(VLOOKUP(1*LEFT(C542,7),DF!$A$1:$F$9447,2,FALSE),"")</f>
        <v>PORTA CARGADOR SIMPLE UNIV POLIMERO BO4S-MOLLE</v>
      </c>
      <c r="F542">
        <v>8705116</v>
      </c>
      <c r="G542" t="s">
        <v>13729</v>
      </c>
      <c r="H542">
        <v>6</v>
      </c>
    </row>
    <row r="543" spans="1:8" x14ac:dyDescent="0.25">
      <c r="A543" s="2">
        <v>16522</v>
      </c>
      <c r="B543" s="2" t="s">
        <v>4</v>
      </c>
      <c r="C543" s="2" t="str">
        <f t="shared" si="10"/>
        <v>8705121##</v>
      </c>
      <c r="D543" s="2"/>
      <c r="E543" s="2" t="str">
        <f>IFERROR(VLOOKUP(1*LEFT(C543,7),DF!$A$1:$F$9447,2,FALSE),"")</f>
        <v>PORTA CARGADOR SIMPLE UNIV POLIMERO BO4S-PALETA</v>
      </c>
      <c r="F543">
        <v>8705121</v>
      </c>
      <c r="G543" t="s">
        <v>13730</v>
      </c>
      <c r="H543">
        <v>4</v>
      </c>
    </row>
    <row r="544" spans="1:8" x14ac:dyDescent="0.25">
      <c r="A544" s="2">
        <v>16522</v>
      </c>
      <c r="B544" s="2" t="s">
        <v>4</v>
      </c>
      <c r="C544" s="2" t="str">
        <f t="shared" si="10"/>
        <v>8705117##</v>
      </c>
      <c r="D544" s="2"/>
      <c r="E544" s="2" t="str">
        <f>IFERROR(VLOOKUP(1*LEFT(C544,7),DF!$A$1:$F$9447,2,FALSE),"")</f>
        <v>PORTA CARGADOR SIMPLE UNIVERSAL C/TAPA POLIMERO BO4ST</v>
      </c>
      <c r="F544">
        <v>8705117</v>
      </c>
      <c r="G544" t="s">
        <v>13731</v>
      </c>
      <c r="H544">
        <v>6</v>
      </c>
    </row>
    <row r="545" spans="1:8" x14ac:dyDescent="0.25">
      <c r="A545" s="2">
        <v>16522</v>
      </c>
      <c r="B545" s="2" t="s">
        <v>4</v>
      </c>
      <c r="C545" s="2" t="str">
        <f t="shared" si="10"/>
        <v>8705233##</v>
      </c>
      <c r="D545" s="2"/>
      <c r="E545" s="2" t="str">
        <f>IFERROR(VLOOKUP(1*LEFT(C545,7),DF!$A$1:$F$9447,2,FALSE),"")</f>
        <v>PORTA CELULAR GRANDE RRD69</v>
      </c>
      <c r="F545" s="7">
        <v>8705233</v>
      </c>
      <c r="G545" t="s">
        <v>13732</v>
      </c>
      <c r="H545">
        <v>7</v>
      </c>
    </row>
    <row r="546" spans="1:8" x14ac:dyDescent="0.25">
      <c r="A546" s="2">
        <v>16522</v>
      </c>
      <c r="B546" s="2" t="s">
        <v>4</v>
      </c>
      <c r="C546" s="2" t="str">
        <f t="shared" si="10"/>
        <v>8705225##</v>
      </c>
      <c r="D546" s="2"/>
      <c r="E546" s="2" t="str">
        <f>IFERROR(VLOOKUP(1*LEFT(C546,7),DF!$A$1:$F$9447,2,FALSE),"")</f>
        <v>PORTA CELULAR MOLLE M004 TB</v>
      </c>
      <c r="F546">
        <v>8705225</v>
      </c>
      <c r="G546" t="s">
        <v>13733</v>
      </c>
      <c r="H546">
        <v>5</v>
      </c>
    </row>
    <row r="547" spans="1:8" x14ac:dyDescent="0.25">
      <c r="A547">
        <v>16522</v>
      </c>
      <c r="B547" t="s">
        <v>4</v>
      </c>
      <c r="C547" t="str">
        <f t="shared" si="10"/>
        <v>8501026##</v>
      </c>
      <c r="E547" t="str">
        <f>IFERROR(VLOOKUP(1*LEFT(C547,7),DF!$A$1:$F$9447,2,FALSE),"")</f>
        <v>PORTA CRED CUERO LIBRO 1026 TB</v>
      </c>
      <c r="F547">
        <v>8501026</v>
      </c>
      <c r="G547" t="s">
        <v>13734</v>
      </c>
      <c r="H547">
        <v>3</v>
      </c>
    </row>
    <row r="548" spans="1:8" x14ac:dyDescent="0.25">
      <c r="A548">
        <v>16522</v>
      </c>
      <c r="B548" t="s">
        <v>4</v>
      </c>
      <c r="C548" t="str">
        <f t="shared" si="10"/>
        <v>8707750##</v>
      </c>
      <c r="E548" t="str">
        <f>IFERROR(VLOOKUP(1*LEFT(C548,7),DF!$A$1:$F$9447,2,FALSE),"")</f>
        <v>PORTA ESPO POLIA GRIS T552 C/TAPA TB</v>
      </c>
      <c r="F548">
        <v>8707750</v>
      </c>
      <c r="G548" t="s">
        <v>13735</v>
      </c>
      <c r="H548">
        <v>3</v>
      </c>
    </row>
    <row r="549" spans="1:8" x14ac:dyDescent="0.25">
      <c r="A549">
        <v>16522</v>
      </c>
      <c r="B549" t="s">
        <v>4</v>
      </c>
      <c r="C549" t="str">
        <f t="shared" si="10"/>
        <v>8707026##</v>
      </c>
      <c r="E549" t="str">
        <f>IFERROR(VLOOKUP(1*LEFT(C549,7),DF!$A$1:$F$9447,2,FALSE),"")</f>
        <v>PORTA ESPOSAS FOBUS HSP MIN</v>
      </c>
      <c r="F549">
        <v>8707026</v>
      </c>
      <c r="G549" t="s">
        <v>13736</v>
      </c>
      <c r="H549">
        <v>6</v>
      </c>
    </row>
    <row r="550" spans="1:8" x14ac:dyDescent="0.25">
      <c r="A550">
        <v>16522</v>
      </c>
      <c r="B550" t="s">
        <v>4</v>
      </c>
      <c r="C550" t="str">
        <f t="shared" si="10"/>
        <v>8707964##</v>
      </c>
      <c r="E550" t="str">
        <f>IFERROR(VLOOKUP(1*LEFT(C550,7),DF!$A$1:$F$9447,2,FALSE),"")</f>
        <v>PORTA ESPOSAS TACTICO POLIMERO REGUL2079</v>
      </c>
      <c r="F550">
        <v>8707964</v>
      </c>
      <c r="G550" t="s">
        <v>13737</v>
      </c>
      <c r="H550">
        <v>5</v>
      </c>
    </row>
    <row r="551" spans="1:8" x14ac:dyDescent="0.25">
      <c r="A551" s="2">
        <v>16522</v>
      </c>
      <c r="B551" s="2" t="s">
        <v>4</v>
      </c>
      <c r="C551" s="2" t="str">
        <f t="shared" si="10"/>
        <v>8705011##</v>
      </c>
      <c r="D551" s="2"/>
      <c r="E551" s="2" t="str">
        <f>IFERROR(VLOOKUP(1*LEFT(C551,7),DF!$A$1:$F$9447,2,FALSE),"")</f>
        <v>PORTA OBJETOS MULTIUSO M006 MOLLE TB</v>
      </c>
      <c r="F551">
        <v>8705011</v>
      </c>
      <c r="G551" t="s">
        <v>14076</v>
      </c>
      <c r="H551">
        <v>7</v>
      </c>
    </row>
    <row r="552" spans="1:8" x14ac:dyDescent="0.25">
      <c r="A552" s="2">
        <v>16522</v>
      </c>
      <c r="B552" s="2" t="s">
        <v>4</v>
      </c>
      <c r="C552" s="2" t="str">
        <f t="shared" si="10"/>
        <v>8715803##</v>
      </c>
      <c r="D552" s="2"/>
      <c r="E552" s="2" t="str">
        <f>IFERROR(VLOOKUP(1*LEFT(C552,7),DF!$A$1:$F$9447,2,FALSE),"")</f>
        <v>PORTA TAHALI POLIA VERDE GN RER</v>
      </c>
      <c r="F552">
        <v>8715803</v>
      </c>
      <c r="G552" t="s">
        <v>13738</v>
      </c>
      <c r="H552">
        <v>2</v>
      </c>
    </row>
    <row r="553" spans="1:8" x14ac:dyDescent="0.25">
      <c r="A553">
        <v>16522</v>
      </c>
      <c r="B553" t="s">
        <v>4</v>
      </c>
      <c r="C553" t="str">
        <f t="shared" si="10"/>
        <v>8705013##</v>
      </c>
      <c r="E553" t="str">
        <f>IFERROR(VLOOKUP(1*LEFT(C553,7),DF!$A$1:$F$9447,2,FALSE),"")</f>
        <v>PORTA TONFA FIJO PLASTICO RER 214</v>
      </c>
      <c r="F553">
        <v>8705013</v>
      </c>
      <c r="G553" t="s">
        <v>13739</v>
      </c>
      <c r="H553">
        <v>2</v>
      </c>
    </row>
    <row r="554" spans="1:8" x14ac:dyDescent="0.25">
      <c r="A554">
        <v>16522</v>
      </c>
      <c r="B554" t="s">
        <v>4</v>
      </c>
      <c r="C554" t="str">
        <f t="shared" si="10"/>
        <v>8705553##</v>
      </c>
      <c r="E554" t="str">
        <f>IFERROR(VLOOKUP(1*LEFT(C554,7),DF!$A$1:$F$9447,2,FALSE),"")</f>
        <v>PORTA TONFA POLIA VERDE GN</v>
      </c>
      <c r="F554">
        <v>8705553</v>
      </c>
      <c r="G554" t="s">
        <v>13740</v>
      </c>
      <c r="H554">
        <v>3</v>
      </c>
    </row>
    <row r="555" spans="1:8" x14ac:dyDescent="0.25">
      <c r="A555" s="2">
        <v>16522</v>
      </c>
      <c r="B555" s="2" t="s">
        <v>4</v>
      </c>
      <c r="C555" s="2" t="str">
        <f t="shared" si="10"/>
        <v>8705586##</v>
      </c>
      <c r="D555" s="2"/>
      <c r="E555" s="2" t="str">
        <f>IFERROR(VLOOKUP(1*LEFT(C555,7),DF!$A$1:$F$9447,2,FALSE),"")</f>
        <v>PORTA TONFA RERDA BROCHE/ARO METAL EZ</v>
      </c>
      <c r="F555">
        <v>8705586</v>
      </c>
      <c r="G555" t="s">
        <v>14101</v>
      </c>
      <c r="H555">
        <v>3</v>
      </c>
    </row>
    <row r="556" spans="1:8" x14ac:dyDescent="0.25">
      <c r="A556" s="2">
        <v>16522</v>
      </c>
      <c r="B556" s="2" t="s">
        <v>4</v>
      </c>
      <c r="C556" s="2" t="str">
        <f t="shared" si="10"/>
        <v>8708107##</v>
      </c>
      <c r="D556" s="2"/>
      <c r="E556" s="2" t="str">
        <f>IFERROR(VLOOKUP(1*LEFT(C556,7),DF!$A$1:$F$9447,2,FALSE),"")</f>
        <v>POUCH GRANDE RRD15 BLK</v>
      </c>
      <c r="F556">
        <v>8708107</v>
      </c>
      <c r="G556" t="s">
        <v>14103</v>
      </c>
      <c r="H556">
        <v>3</v>
      </c>
    </row>
    <row r="557" spans="1:8" x14ac:dyDescent="0.25">
      <c r="A557" s="2">
        <v>16522</v>
      </c>
      <c r="B557" s="2" t="s">
        <v>4</v>
      </c>
      <c r="C557" s="2" t="str">
        <f t="shared" si="10"/>
        <v>8708200##</v>
      </c>
      <c r="D557" s="2"/>
      <c r="E557" s="2" t="str">
        <f>IFERROR(VLOOKUP(1*LEFT(C557,7),DF!$A$1:$F$9447,2,FALSE),"")</f>
        <v>POUCH MULTIUSO GRANDE PCH001 MOLLE EM</v>
      </c>
      <c r="F557">
        <v>8708200</v>
      </c>
      <c r="G557" t="s">
        <v>13741</v>
      </c>
      <c r="H557">
        <v>5</v>
      </c>
    </row>
    <row r="558" spans="1:8" x14ac:dyDescent="0.25">
      <c r="A558">
        <v>16522</v>
      </c>
      <c r="B558" t="s">
        <v>4</v>
      </c>
      <c r="C558" t="str">
        <f t="shared" si="10"/>
        <v>8500500##</v>
      </c>
      <c r="E558" t="str">
        <f>IFERROR(VLOOKUP(1*LEFT(C558,7),DF!$A$1:$F$9447,2,FALSE),"")</f>
        <v>PRECINTOS POLICIALES TACTICOS LUBRI MAL</v>
      </c>
      <c r="F558">
        <v>8500500</v>
      </c>
      <c r="G558" t="s">
        <v>13742</v>
      </c>
      <c r="H558">
        <v>3</v>
      </c>
    </row>
    <row r="559" spans="1:8" x14ac:dyDescent="0.25">
      <c r="A559">
        <v>16522</v>
      </c>
      <c r="B559" t="s">
        <v>4</v>
      </c>
      <c r="C559" t="str">
        <f t="shared" si="10"/>
        <v>8520235##</v>
      </c>
      <c r="E559" t="str">
        <f>IFERROR(VLOOKUP(1*LEFT(C559,7),DF!$A$1:$F$9447,2,FALSE),"")</f>
        <v>PUNTERO LASER RECARGABLE</v>
      </c>
      <c r="F559">
        <v>8520235</v>
      </c>
      <c r="G559" t="s">
        <v>13743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 t="shared" si="10"/>
        <v>8522999##</v>
      </c>
      <c r="D560" s="2"/>
      <c r="E560" s="2" t="str">
        <f>IFERROR(VLOOKUP(1*LEFT(C560,7),DF!$A$1:$F$9447,2,FALSE),"")</f>
        <v>RABIZA ANTIPERDIDA RAB-BROCHE/ABROJ EZ</v>
      </c>
      <c r="F560">
        <v>8522999</v>
      </c>
      <c r="G560" t="s">
        <v>13744</v>
      </c>
      <c r="H560">
        <v>3</v>
      </c>
    </row>
    <row r="561" spans="1:9" x14ac:dyDescent="0.25">
      <c r="A561" s="2">
        <v>16522</v>
      </c>
      <c r="B561" s="2" t="s">
        <v>4</v>
      </c>
      <c r="C561" s="2" t="str">
        <f t="shared" si="10"/>
        <v>8522102##</v>
      </c>
      <c r="D561" s="2"/>
      <c r="E561" s="2" t="str">
        <f>IFERROR(VLOOKUP(1*LEFT(C561,7),DF!$A$1:$F$9447,2,FALSE),"")</f>
        <v>RABIZA EXTENSIBLE C/ABROJO 101R FUN</v>
      </c>
      <c r="F561">
        <v>8522102</v>
      </c>
      <c r="G561" t="s">
        <v>13745</v>
      </c>
      <c r="H561">
        <v>3</v>
      </c>
    </row>
    <row r="562" spans="1:9" x14ac:dyDescent="0.25">
      <c r="A562" s="2">
        <v>16522</v>
      </c>
      <c r="B562" s="2" t="s">
        <v>4</v>
      </c>
      <c r="C562" s="2" t="str">
        <f t="shared" si="10"/>
        <v>8522101##</v>
      </c>
      <c r="D562" s="2"/>
      <c r="E562" s="2" t="str">
        <f>IFERROR(VLOOKUP(1*LEFT(C562,7),DF!$A$1:$F$9447,2,FALSE),"")</f>
        <v>RABIZA EXTENSIBLE RETRACTIL 101RR FUN</v>
      </c>
      <c r="F562">
        <v>8522101</v>
      </c>
      <c r="G562" t="s">
        <v>13746</v>
      </c>
      <c r="H562">
        <v>3</v>
      </c>
    </row>
    <row r="563" spans="1:9" x14ac:dyDescent="0.25">
      <c r="A563" s="2">
        <v>16522</v>
      </c>
      <c r="B563" s="2" t="s">
        <v>4</v>
      </c>
      <c r="C563" s="2" t="str">
        <f t="shared" si="10"/>
        <v>8522011##</v>
      </c>
      <c r="D563" s="2"/>
      <c r="E563" s="2" t="str">
        <f>IFERROR(VLOOKUP(1*LEFT(C563,7),DF!$A$1:$F$9447,2,FALSE),"")</f>
        <v>RABIZA SIMPLE C/CABLE DE TEL Y  ABROJO</v>
      </c>
      <c r="F563">
        <v>8522011</v>
      </c>
      <c r="G563" t="s">
        <v>14085</v>
      </c>
      <c r="H563">
        <v>5</v>
      </c>
    </row>
    <row r="564" spans="1:9" x14ac:dyDescent="0.25">
      <c r="A564" s="2">
        <v>16522</v>
      </c>
      <c r="B564" s="2" t="s">
        <v>4</v>
      </c>
      <c r="C564" s="2" t="str">
        <f t="shared" si="10"/>
        <v>8522030##</v>
      </c>
      <c r="D564" s="2"/>
      <c r="E564" s="2" t="str">
        <f>IFERROR(VLOOKUP(1*LEFT(C564,7),DF!$A$1:$F$9447,2,FALSE),"")</f>
        <v>RABIZA TACTICA REFORZADA C/HEBILLA 5641-</v>
      </c>
      <c r="F564">
        <v>8522030</v>
      </c>
      <c r="G564" t="s">
        <v>14086</v>
      </c>
      <c r="H564">
        <v>3</v>
      </c>
    </row>
    <row r="565" spans="1:9" x14ac:dyDescent="0.25">
      <c r="A565">
        <v>16522</v>
      </c>
      <c r="B565" t="s">
        <v>4</v>
      </c>
      <c r="C565" t="str">
        <f t="shared" si="10"/>
        <v>8303299##</v>
      </c>
      <c r="E565" t="str">
        <f>IFERROR(VLOOKUP(1*LEFT(C565,7),DF!$A$1:$F$9447,2,FALSE),"")</f>
        <v>RELOJ TACTICO DIGITAL 5514-30-48/3,6</v>
      </c>
      <c r="F565">
        <v>8303299</v>
      </c>
      <c r="G565" t="s">
        <v>13747</v>
      </c>
      <c r="H565">
        <v>5</v>
      </c>
    </row>
    <row r="566" spans="1:9" x14ac:dyDescent="0.25">
      <c r="A566" s="2">
        <v>16522</v>
      </c>
      <c r="B566" s="2" t="s">
        <v>4</v>
      </c>
      <c r="C566" s="2" t="str">
        <f t="shared" si="10"/>
        <v>2220292##</v>
      </c>
      <c r="D566" s="2"/>
      <c r="E566" s="2" t="str">
        <f>IFERROR(VLOOKUP(1*LEFT(C566,7),DF!$A$1:$F$9447,2,FALSE),"")</f>
        <v>REMERA MC AZUL CON ESTAMPA POLICIA GEI</v>
      </c>
      <c r="F566">
        <v>2220292</v>
      </c>
      <c r="G566" t="s">
        <v>13748</v>
      </c>
      <c r="H566">
        <v>4</v>
      </c>
      <c r="I566">
        <v>1</v>
      </c>
    </row>
    <row r="567" spans="1:9" x14ac:dyDescent="0.25">
      <c r="A567" s="2">
        <v>16522</v>
      </c>
      <c r="B567" s="2" t="s">
        <v>4</v>
      </c>
      <c r="C567" s="2" t="str">
        <f t="shared" si="10"/>
        <v>2220333##</v>
      </c>
      <c r="D567" s="2"/>
      <c r="E567" s="2" t="str">
        <f>IFERROR(VLOOKUP(1*LEFT(C567,7),DF!$A$1:$F$9447,2,FALSE),"")</f>
        <v>REMERA MC AZUL LISA GEI</v>
      </c>
      <c r="F567" s="7">
        <v>2220333</v>
      </c>
      <c r="G567" t="s">
        <v>13749</v>
      </c>
      <c r="H567">
        <v>1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10"/>
        <v>2220856##</v>
      </c>
      <c r="D568" s="2"/>
      <c r="E568" s="2" t="str">
        <f>IFERROR(VLOOKUP(1*LEFT(C568,7),DF!$A$1:$F$9447,2,FALSE),"")</f>
        <v>REMERA MC BEIGE LISA GEI</v>
      </c>
      <c r="F568" s="7">
        <v>2220856</v>
      </c>
      <c r="G568" t="s">
        <v>13750</v>
      </c>
      <c r="H568">
        <v>1</v>
      </c>
      <c r="I568">
        <v>1</v>
      </c>
    </row>
    <row r="569" spans="1:9" x14ac:dyDescent="0.25">
      <c r="A569" s="2">
        <v>16522</v>
      </c>
      <c r="B569" s="2" t="s">
        <v>4</v>
      </c>
      <c r="C569" s="2" t="str">
        <f t="shared" si="10"/>
        <v>2220004##</v>
      </c>
      <c r="D569" s="2"/>
      <c r="E569" s="2" t="str">
        <f>IFERROR(VLOOKUP(1*LEFT(C569,7),DF!$A$1:$F$9447,2,FALSE),"")</f>
        <v>REMERA MC BLANCA LISA GEI</v>
      </c>
      <c r="F569" s="7">
        <v>2220004</v>
      </c>
      <c r="G569" t="s">
        <v>13751</v>
      </c>
      <c r="H569">
        <v>1</v>
      </c>
      <c r="I569">
        <v>1</v>
      </c>
    </row>
    <row r="570" spans="1:9" x14ac:dyDescent="0.25">
      <c r="A570" s="2">
        <v>16522</v>
      </c>
      <c r="B570" s="2" t="s">
        <v>4</v>
      </c>
      <c r="C570" s="2" t="str">
        <f t="shared" si="10"/>
        <v>2220601##</v>
      </c>
      <c r="D570" s="2"/>
      <c r="E570" s="2" t="str">
        <f>IFERROR(VLOOKUP(1*LEFT(C570,7),DF!$A$1:$F$9447,2,FALSE),"")</f>
        <v>REMERA MC GRIS MELANGE SIN BORDAR GEI</v>
      </c>
      <c r="F570" s="7">
        <v>2220601</v>
      </c>
      <c r="G570" t="s">
        <v>13752</v>
      </c>
      <c r="H570">
        <v>3</v>
      </c>
    </row>
    <row r="571" spans="1:9" x14ac:dyDescent="0.25">
      <c r="A571" s="2">
        <v>16522</v>
      </c>
      <c r="B571" s="2" t="s">
        <v>4</v>
      </c>
      <c r="C571" s="2" t="str">
        <f t="shared" si="10"/>
        <v>2220456##</v>
      </c>
      <c r="D571" s="2"/>
      <c r="E571" s="2" t="str">
        <f>IFERROR(VLOOKUP(1*LEFT(C571,7),DF!$A$1:$F$9447,2,FALSE),"")</f>
        <v>REMERA MC NEGRA CON ESTAMPA POLICIA GEI</v>
      </c>
      <c r="F571" s="7">
        <v>2220456</v>
      </c>
      <c r="G571" t="s">
        <v>13753</v>
      </c>
      <c r="H571">
        <v>4</v>
      </c>
      <c r="I571">
        <v>1</v>
      </c>
    </row>
    <row r="572" spans="1:9" x14ac:dyDescent="0.25">
      <c r="A572" s="2">
        <v>16522</v>
      </c>
      <c r="B572" s="2" t="s">
        <v>4</v>
      </c>
      <c r="C572" s="2" t="str">
        <f t="shared" si="10"/>
        <v>2220444##</v>
      </c>
      <c r="D572" s="2"/>
      <c r="E572" s="2" t="str">
        <f>IFERROR(VLOOKUP(1*LEFT(C572,7),DF!$A$1:$F$9447,2,FALSE),"")</f>
        <v>REMERA MC NEGRA LISA GEI</v>
      </c>
      <c r="F572" s="7">
        <v>2220444</v>
      </c>
      <c r="G572" t="s">
        <v>13754</v>
      </c>
      <c r="H572">
        <v>1</v>
      </c>
      <c r="I572">
        <v>1</v>
      </c>
    </row>
    <row r="573" spans="1:9" x14ac:dyDescent="0.25">
      <c r="A573" s="2">
        <v>16522</v>
      </c>
      <c r="B573" s="2" t="s">
        <v>4</v>
      </c>
      <c r="C573" s="2" t="str">
        <f t="shared" si="10"/>
        <v>2230600##</v>
      </c>
      <c r="D573" s="2"/>
      <c r="E573" s="2" t="str">
        <f>IFERROR(VLOOKUP(1*LEFT(C573,7),DF!$A$1:$F$9447,2,FALSE),"")</f>
        <v>REMERA MC VERDE LMGE GEI</v>
      </c>
      <c r="F573" s="7">
        <v>2230600</v>
      </c>
      <c r="G573" t="s">
        <v>13755</v>
      </c>
      <c r="H573">
        <v>1</v>
      </c>
      <c r="I573">
        <v>1</v>
      </c>
    </row>
    <row r="574" spans="1:9" x14ac:dyDescent="0.25">
      <c r="A574" s="2">
        <v>16522</v>
      </c>
      <c r="B574" s="2" t="s">
        <v>4</v>
      </c>
      <c r="C574" s="2" t="str">
        <f t="shared" si="10"/>
        <v>2220100##</v>
      </c>
      <c r="D574" s="2"/>
      <c r="E574" s="2" t="str">
        <f>IFERROR(VLOOKUP(1*LEFT(C574,7),DF!$A$1:$F$9447,2,FALSE),"")</f>
        <v>REMERA ML 1RA PIEL NEGRA MINIJACK RER</v>
      </c>
      <c r="F574" s="7">
        <v>2220100</v>
      </c>
      <c r="G574" t="s">
        <v>13756</v>
      </c>
      <c r="H574">
        <v>4</v>
      </c>
    </row>
    <row r="575" spans="1:9" x14ac:dyDescent="0.25">
      <c r="A575" s="2">
        <v>16522</v>
      </c>
      <c r="B575" s="2" t="s">
        <v>4</v>
      </c>
      <c r="C575" s="2" t="str">
        <f t="shared" si="10"/>
        <v>2103495##</v>
      </c>
      <c r="D575" s="2"/>
      <c r="E575" s="2" t="str">
        <f>IFERROR(VLOOKUP(1*LEFT(C575,7),DF!$A$1:$F$9447,2,FALSE),"")</f>
        <v>REMERA ML COMBAT AZUL</v>
      </c>
      <c r="F575" s="7">
        <v>2103495</v>
      </c>
      <c r="G575" t="s">
        <v>13757</v>
      </c>
      <c r="H575">
        <v>5</v>
      </c>
      <c r="I575">
        <v>1</v>
      </c>
    </row>
    <row r="576" spans="1:9" x14ac:dyDescent="0.25">
      <c r="A576" s="2">
        <v>16522</v>
      </c>
      <c r="B576" s="2" t="s">
        <v>4</v>
      </c>
      <c r="C576" s="2" t="str">
        <f t="shared" ref="C576:C605" si="11">CONCATENATE(F576,"##")</f>
        <v>2103217##</v>
      </c>
      <c r="D576" s="2"/>
      <c r="E576" s="2" t="str">
        <f>IFERROR(VLOOKUP(1*LEFT(C576,7),DF!$A$1:$F$9447,2,FALSE),"")</f>
        <v>REMERA ML COMBAT NEGRA RER</v>
      </c>
      <c r="F576" s="7">
        <v>2103217</v>
      </c>
      <c r="G576" t="s">
        <v>13758</v>
      </c>
      <c r="H576">
        <v>5</v>
      </c>
      <c r="I576">
        <v>1</v>
      </c>
    </row>
    <row r="577" spans="1:9" x14ac:dyDescent="0.25">
      <c r="A577" s="2">
        <v>16522</v>
      </c>
      <c r="B577" s="2" t="s">
        <v>4</v>
      </c>
      <c r="C577" s="2" t="str">
        <f t="shared" si="11"/>
        <v>2220591##</v>
      </c>
      <c r="D577" s="2"/>
      <c r="E577" s="2" t="str">
        <f>IFERROR(VLOOKUP(1*LEFT(C577,7),DF!$A$1:$F$9447,2,FALSE),"")</f>
        <v>REMERA ML TERMICAS SPINIT NEGRA GEI</v>
      </c>
      <c r="F577" s="7">
        <v>2220591</v>
      </c>
      <c r="G577" t="s">
        <v>13759</v>
      </c>
      <c r="H577">
        <v>2</v>
      </c>
    </row>
    <row r="578" spans="1:9" x14ac:dyDescent="0.25">
      <c r="A578">
        <v>16522</v>
      </c>
      <c r="B578" t="s">
        <v>4</v>
      </c>
      <c r="C578" t="str">
        <f t="shared" si="11"/>
        <v>7711676##</v>
      </c>
      <c r="E578" t="str">
        <f>IFERROR(VLOOKUP(1*LEFT(C578,7),DF!$A$1:$F$9447,2,FALSE),"")</f>
        <v>ROMBO BORD ORO DG</v>
      </c>
      <c r="F578">
        <v>7711676</v>
      </c>
      <c r="G578" t="s">
        <v>13760</v>
      </c>
      <c r="H578">
        <v>1</v>
      </c>
    </row>
    <row r="579" spans="1:9" x14ac:dyDescent="0.25">
      <c r="A579" s="2">
        <v>16522</v>
      </c>
      <c r="B579" s="2" t="s">
        <v>4</v>
      </c>
      <c r="C579" s="2" t="str">
        <f t="shared" si="11"/>
        <v>8711701##</v>
      </c>
      <c r="D579" s="2"/>
      <c r="E579" s="2" t="str">
        <f>IFERROR(VLOOKUP(1*LEFT(C579,7),DF!$A$1:$F$9447,2,FALSE),"")</f>
        <v>SOBAQ. POLIA C/PORTACAR. SIMPLE T701 TB</v>
      </c>
      <c r="F579">
        <v>8711701</v>
      </c>
      <c r="G579" t="s">
        <v>13761</v>
      </c>
      <c r="H579">
        <v>3</v>
      </c>
    </row>
    <row r="580" spans="1:9" x14ac:dyDescent="0.25">
      <c r="A580" s="2">
        <v>16522</v>
      </c>
      <c r="B580" s="2" t="s">
        <v>4</v>
      </c>
      <c r="C580" s="2" t="str">
        <f t="shared" si="11"/>
        <v>8711700##</v>
      </c>
      <c r="D580" s="2"/>
      <c r="E580" s="2" t="str">
        <f>IFERROR(VLOOKUP(1*LEFT(C580,7),DF!$A$1:$F$9447,2,FALSE),"")</f>
        <v>SOBAQ. UNIVERSAL SIMPLE T700 TB</v>
      </c>
      <c r="F580">
        <v>8711700</v>
      </c>
      <c r="G580" t="s">
        <v>13762</v>
      </c>
      <c r="H580">
        <v>4</v>
      </c>
    </row>
    <row r="581" spans="1:9" x14ac:dyDescent="0.25">
      <c r="A581">
        <v>16522</v>
      </c>
      <c r="B581" t="s">
        <v>4</v>
      </c>
      <c r="C581" t="str">
        <f t="shared" si="11"/>
        <v>8401013##</v>
      </c>
      <c r="E581" t="str">
        <f>IFERROR(VLOOKUP(1*LEFT(C581,7),DF!$A$1:$F$9447,2,FALSE),"")</f>
        <v>SUDADERA RED MILITAR BEIGE 160 X 0.25 RE</v>
      </c>
      <c r="F581">
        <v>8401013</v>
      </c>
      <c r="G581" t="s">
        <v>13763</v>
      </c>
      <c r="H581">
        <v>1</v>
      </c>
    </row>
    <row r="582" spans="1:9" x14ac:dyDescent="0.25">
      <c r="A582">
        <v>16522</v>
      </c>
      <c r="B582" t="s">
        <v>4</v>
      </c>
      <c r="C582" t="str">
        <f t="shared" si="11"/>
        <v>8401004##</v>
      </c>
      <c r="E582" t="str">
        <f>IFERROR(VLOOKUP(1*LEFT(C582,7),DF!$A$1:$F$9447,2,FALSE),"")</f>
        <v>SUDADERA RED MILITAR BEIGE ORF</v>
      </c>
      <c r="F582">
        <v>8401004</v>
      </c>
      <c r="G582" t="s">
        <v>13764</v>
      </c>
      <c r="H582">
        <v>1</v>
      </c>
    </row>
    <row r="583" spans="1:9" x14ac:dyDescent="0.25">
      <c r="A583">
        <v>16522</v>
      </c>
      <c r="B583" t="s">
        <v>4</v>
      </c>
      <c r="C583" t="str">
        <f t="shared" si="11"/>
        <v>8401006##</v>
      </c>
      <c r="E583" t="str">
        <f>IFERROR(VLOOKUP(1*LEFT(C583,7),DF!$A$1:$F$9447,2,FALSE),"")</f>
        <v>SUDADERA RED MILITAR BLANCA ORF</v>
      </c>
      <c r="F583">
        <v>8401006</v>
      </c>
      <c r="G583" t="s">
        <v>13765</v>
      </c>
      <c r="H583">
        <v>1</v>
      </c>
    </row>
    <row r="584" spans="1:9" x14ac:dyDescent="0.25">
      <c r="A584">
        <v>16522</v>
      </c>
      <c r="B584" t="s">
        <v>4</v>
      </c>
      <c r="C584" t="str">
        <f t="shared" si="11"/>
        <v>8401005##</v>
      </c>
      <c r="E584" t="str">
        <f>IFERROR(VLOOKUP(1*LEFT(C584,7),DF!$A$1:$F$9447,2,FALSE),"")</f>
        <v>SUDADERA RED MILITAR MARRON ORF</v>
      </c>
      <c r="F584">
        <v>8401005</v>
      </c>
      <c r="G584" t="s">
        <v>13766</v>
      </c>
      <c r="H584">
        <v>1</v>
      </c>
    </row>
    <row r="585" spans="1:9" x14ac:dyDescent="0.25">
      <c r="A585">
        <v>16522</v>
      </c>
      <c r="B585" t="s">
        <v>4</v>
      </c>
      <c r="C585" t="str">
        <f t="shared" si="11"/>
        <v>8401010##</v>
      </c>
      <c r="E585" t="str">
        <f>IFERROR(VLOOKUP(1*LEFT(C585,7),DF!$A$1:$F$9447,2,FALSE),"")</f>
        <v>SUDADERA RED MILITAR NEG 160 X 0.25 RER</v>
      </c>
      <c r="F585">
        <v>8401010</v>
      </c>
      <c r="G585" t="s">
        <v>13767</v>
      </c>
      <c r="H585">
        <v>1</v>
      </c>
    </row>
    <row r="586" spans="1:9" x14ac:dyDescent="0.25">
      <c r="A586">
        <v>16522</v>
      </c>
      <c r="B586" t="s">
        <v>4</v>
      </c>
      <c r="C586" t="str">
        <f t="shared" si="11"/>
        <v>8401009##</v>
      </c>
      <c r="E586" t="str">
        <f>IFERROR(VLOOKUP(1*LEFT(C586,7),DF!$A$1:$F$9447,2,FALSE),"")</f>
        <v>SUDADERA RED MILITAR NEG 160 X 0.45 RER</v>
      </c>
      <c r="F586">
        <v>8401009</v>
      </c>
      <c r="G586" t="s">
        <v>13768</v>
      </c>
      <c r="H586">
        <v>1</v>
      </c>
    </row>
    <row r="587" spans="1:9" x14ac:dyDescent="0.25">
      <c r="A587">
        <v>16522</v>
      </c>
      <c r="B587" t="s">
        <v>4</v>
      </c>
      <c r="C587" t="str">
        <f t="shared" si="11"/>
        <v>8401001##</v>
      </c>
      <c r="E587" t="str">
        <f>IFERROR(VLOOKUP(1*LEFT(C587,7),DF!$A$1:$F$9447,2,FALSE),"")</f>
        <v>SUDADERA RED MILITAR NEGRA ORF</v>
      </c>
      <c r="F587">
        <v>8401001</v>
      </c>
      <c r="G587" t="s">
        <v>13769</v>
      </c>
      <c r="H587">
        <v>1</v>
      </c>
    </row>
    <row r="588" spans="1:9" x14ac:dyDescent="0.25">
      <c r="A588">
        <v>16522</v>
      </c>
      <c r="B588" t="s">
        <v>4</v>
      </c>
      <c r="C588" t="str">
        <f t="shared" si="11"/>
        <v>8401012##</v>
      </c>
      <c r="E588" t="str">
        <f>IFERROR(VLOOKUP(1*LEFT(C588,7),DF!$A$1:$F$9447,2,FALSE),"")</f>
        <v>SUDADERA RED MILITAR VER 160 X 0.25 RER</v>
      </c>
      <c r="F588">
        <v>8401012</v>
      </c>
      <c r="G588" t="s">
        <v>13770</v>
      </c>
      <c r="H588">
        <v>1</v>
      </c>
    </row>
    <row r="589" spans="1:9" x14ac:dyDescent="0.25">
      <c r="A589">
        <v>16522</v>
      </c>
      <c r="B589" t="s">
        <v>4</v>
      </c>
      <c r="C589" t="str">
        <f t="shared" si="11"/>
        <v>8401011##</v>
      </c>
      <c r="E589" t="str">
        <f>IFERROR(VLOOKUP(1*LEFT(C589,7),DF!$A$1:$F$9447,2,FALSE),"")</f>
        <v>SUDADERA RED MILITAR VER 160 X 0.45 RER</v>
      </c>
      <c r="F589">
        <v>8401011</v>
      </c>
      <c r="G589" t="s">
        <v>13771</v>
      </c>
      <c r="H589">
        <v>1</v>
      </c>
    </row>
    <row r="590" spans="1:9" x14ac:dyDescent="0.25">
      <c r="A590">
        <v>16522</v>
      </c>
      <c r="B590" t="s">
        <v>4</v>
      </c>
      <c r="C590" t="str">
        <f t="shared" si="11"/>
        <v>8401003##</v>
      </c>
      <c r="E590" t="str">
        <f>IFERROR(VLOOKUP(1*LEFT(C590,7),DF!$A$1:$F$9447,2,FALSE),"")</f>
        <v>SUDADERA RED MILITAR VERDE ORF</v>
      </c>
      <c r="F590">
        <v>8401003</v>
      </c>
      <c r="G590" t="s">
        <v>13772</v>
      </c>
      <c r="H590">
        <v>1</v>
      </c>
    </row>
    <row r="591" spans="1:9" x14ac:dyDescent="0.25">
      <c r="A591">
        <v>16522</v>
      </c>
      <c r="B591" t="s">
        <v>4</v>
      </c>
      <c r="C591" t="str">
        <f t="shared" si="11"/>
        <v>8507002##</v>
      </c>
      <c r="E591" t="str">
        <f>IFERROR(VLOOKUP(1*LEFT(C591,7),DF!$A$1:$F$9447,2,FALSE),"")</f>
        <v>TIRO SABLE CUERO 1041 TB</v>
      </c>
      <c r="F591">
        <v>8507002</v>
      </c>
      <c r="G591" t="s">
        <v>13773</v>
      </c>
      <c r="H591">
        <v>4</v>
      </c>
    </row>
    <row r="592" spans="1:9" x14ac:dyDescent="0.25">
      <c r="A592" s="2">
        <v>16522</v>
      </c>
      <c r="B592" s="2" t="s">
        <v>4</v>
      </c>
      <c r="C592" s="2" t="str">
        <f t="shared" si="11"/>
        <v>2601004##</v>
      </c>
      <c r="D592" s="2"/>
      <c r="E592" s="2" t="str">
        <f>IFERROR(VLOOKUP(1*LEFT(C592,7),DF!$A$1:$F$9447,2,FALSE),"")</f>
        <v>TRICOPOLAR AZUL RER</v>
      </c>
      <c r="F592" s="7">
        <v>2601004</v>
      </c>
      <c r="G592" t="s">
        <v>13774</v>
      </c>
      <c r="H592">
        <v>5</v>
      </c>
      <c r="I592">
        <v>1</v>
      </c>
    </row>
    <row r="593" spans="1:9" x14ac:dyDescent="0.25">
      <c r="A593" s="2">
        <v>16522</v>
      </c>
      <c r="B593" s="2" t="s">
        <v>4</v>
      </c>
      <c r="C593" s="2" t="str">
        <f t="shared" si="11"/>
        <v>2601750##</v>
      </c>
      <c r="D593" s="2"/>
      <c r="E593" s="2" t="str">
        <f>IFERROR(VLOOKUP(1*LEFT(C593,7),DF!$A$1:$F$9447,2,FALSE),"")</f>
        <v>TRICOPOLAR GRIS RER</v>
      </c>
      <c r="F593" s="7">
        <v>2601750</v>
      </c>
      <c r="G593" t="s">
        <v>13775</v>
      </c>
      <c r="H593">
        <v>5</v>
      </c>
      <c r="I593">
        <v>1</v>
      </c>
    </row>
    <row r="594" spans="1:9" x14ac:dyDescent="0.25">
      <c r="A594" s="2">
        <v>16522</v>
      </c>
      <c r="B594" s="2" t="s">
        <v>4</v>
      </c>
      <c r="C594" s="2" t="str">
        <f t="shared" si="11"/>
        <v>2601003##</v>
      </c>
      <c r="D594" s="2"/>
      <c r="E594" s="2" t="str">
        <f>IFERROR(VLOOKUP(1*LEFT(C594,7),DF!$A$1:$F$9447,2,FALSE),"")</f>
        <v>TRICOPOLAR NEGRO RER</v>
      </c>
      <c r="F594" s="7">
        <v>2601003</v>
      </c>
      <c r="G594" t="s">
        <v>13776</v>
      </c>
      <c r="H594">
        <v>9</v>
      </c>
      <c r="I594">
        <v>1</v>
      </c>
    </row>
    <row r="595" spans="1:9" x14ac:dyDescent="0.25">
      <c r="A595" s="2">
        <v>16522</v>
      </c>
      <c r="B595" s="2" t="s">
        <v>4</v>
      </c>
      <c r="C595" s="2" t="str">
        <f t="shared" si="11"/>
        <v>2301888##</v>
      </c>
      <c r="D595" s="2"/>
      <c r="E595" s="2" t="str">
        <f>IFERROR(VLOOKUP(1*LEFT(C595,7),DF!$A$1:$F$9447,2,FALSE),"")</f>
        <v>TRICOTA C/POLERA FORRADA AZUL EM</v>
      </c>
      <c r="F595" s="7">
        <v>2301888</v>
      </c>
      <c r="G595" t="s">
        <v>13777</v>
      </c>
      <c r="H595">
        <v>9</v>
      </c>
      <c r="I595">
        <v>1</v>
      </c>
    </row>
    <row r="596" spans="1:9" x14ac:dyDescent="0.25">
      <c r="A596" s="2">
        <v>16522</v>
      </c>
      <c r="B596" s="2" t="s">
        <v>4</v>
      </c>
      <c r="C596" s="2" t="str">
        <f t="shared" si="11"/>
        <v>2301158##</v>
      </c>
      <c r="D596" s="2"/>
      <c r="E596" s="2" t="str">
        <f>IFERROR(VLOOKUP(1*LEFT(C596,7),DF!$A$1:$F$9447,2,FALSE),"")</f>
        <v>TRICOTA C/POLERA FORRADA GRIS EM</v>
      </c>
      <c r="F596" s="7">
        <v>2301158</v>
      </c>
      <c r="G596" t="s">
        <v>13778</v>
      </c>
      <c r="H596">
        <v>8</v>
      </c>
      <c r="I596">
        <v>1</v>
      </c>
    </row>
    <row r="597" spans="1:9" x14ac:dyDescent="0.25">
      <c r="A597" s="2">
        <v>16522</v>
      </c>
      <c r="B597" s="2" t="s">
        <v>4</v>
      </c>
      <c r="C597" s="2" t="str">
        <f t="shared" si="11"/>
        <v>2301048##</v>
      </c>
      <c r="D597" s="2"/>
      <c r="E597" s="2" t="str">
        <f>IFERROR(VLOOKUP(1*LEFT(C597,7),DF!$A$1:$F$9447,2,FALSE),"")</f>
        <v>TRICOTA C/POLERA FORRADA NEGRA EM</v>
      </c>
      <c r="F597" s="7">
        <v>2301048</v>
      </c>
      <c r="G597" t="s">
        <v>13779</v>
      </c>
      <c r="H597">
        <v>8</v>
      </c>
      <c r="I597">
        <v>1</v>
      </c>
    </row>
    <row r="598" spans="1:9" x14ac:dyDescent="0.25">
      <c r="A598" s="2">
        <v>16522</v>
      </c>
      <c r="B598" s="2" t="s">
        <v>4</v>
      </c>
      <c r="C598" s="2" t="str">
        <f t="shared" si="11"/>
        <v>2301300##</v>
      </c>
      <c r="D598" s="2"/>
      <c r="E598" s="2" t="str">
        <f>IFERROR(VLOOKUP(1*LEFT(C598,7),DF!$A$1:$F$9447,2,FALSE),"")</f>
        <v>TRICOTA C/POLERA FORRADA VERDE EM</v>
      </c>
      <c r="F598" s="7">
        <v>2301300</v>
      </c>
      <c r="G598" t="s">
        <v>13780</v>
      </c>
      <c r="H598">
        <v>8</v>
      </c>
      <c r="I598">
        <v>1</v>
      </c>
    </row>
    <row r="599" spans="1:9" x14ac:dyDescent="0.25">
      <c r="A599" s="2">
        <v>16522</v>
      </c>
      <c r="B599" s="2" t="s">
        <v>4</v>
      </c>
      <c r="C599" s="2" t="str">
        <f t="shared" si="11"/>
        <v>2301777##</v>
      </c>
      <c r="D599" s="2"/>
      <c r="E599" s="2" t="str">
        <f>IFERROR(VLOOKUP(1*LEFT(C599,7),DF!$A$1:$F$9447,2,FALSE),"")</f>
        <v>TRICOTA CUELLO REDONDO FORRADA AZUL EM</v>
      </c>
      <c r="F599" s="7">
        <v>2301777</v>
      </c>
      <c r="G599" t="s">
        <v>13781</v>
      </c>
      <c r="H599">
        <v>4</v>
      </c>
      <c r="I599">
        <v>1</v>
      </c>
    </row>
    <row r="600" spans="1:9" x14ac:dyDescent="0.25">
      <c r="A600" s="2">
        <v>16522</v>
      </c>
      <c r="B600" s="2" t="s">
        <v>4</v>
      </c>
      <c r="C600" s="2" t="str">
        <f t="shared" si="11"/>
        <v>2301900##</v>
      </c>
      <c r="D600" s="2"/>
      <c r="E600" s="2" t="str">
        <f>IFERROR(VLOOKUP(1*LEFT(C600,7),DF!$A$1:$F$9447,2,FALSE),"")</f>
        <v>TRICOTA CUELLO REDONDO NEGRA EM</v>
      </c>
      <c r="F600" s="7">
        <v>2301900</v>
      </c>
      <c r="G600" t="s">
        <v>13782</v>
      </c>
      <c r="H600">
        <v>4</v>
      </c>
      <c r="I600">
        <v>1</v>
      </c>
    </row>
    <row r="601" spans="1:9" x14ac:dyDescent="0.25">
      <c r="A601" s="2">
        <v>16522</v>
      </c>
      <c r="B601" s="2" t="s">
        <v>4</v>
      </c>
      <c r="C601" s="2" t="str">
        <f t="shared" si="11"/>
        <v>2301333##</v>
      </c>
      <c r="D601" s="2"/>
      <c r="E601" s="2" t="str">
        <f>IFERROR(VLOOKUP(1*LEFT(C601,7),DF!$A$1:$F$9447,2,FALSE),"")</f>
        <v>TRICOTA CUELLO REDONDO VERDE EM</v>
      </c>
      <c r="F601" s="7">
        <v>2301333</v>
      </c>
      <c r="G601" t="s">
        <v>13783</v>
      </c>
      <c r="H601">
        <v>4</v>
      </c>
      <c r="I601">
        <v>1</v>
      </c>
    </row>
    <row r="602" spans="1:9" x14ac:dyDescent="0.25">
      <c r="A602" s="2">
        <v>16522</v>
      </c>
      <c r="B602" s="2" t="s">
        <v>4</v>
      </c>
      <c r="C602" s="2" t="str">
        <f t="shared" si="11"/>
        <v>2301666##</v>
      </c>
      <c r="D602" s="2"/>
      <c r="E602" s="2" t="str">
        <f>IFERROR(VLOOKUP(1*LEFT(C602,7),DF!$A$1:$F$9447,2,FALSE),"")</f>
        <v>TRICOTA ESCOTE V SIN FORRO AZUL EM</v>
      </c>
      <c r="F602" s="7">
        <v>2301666</v>
      </c>
      <c r="G602" t="s">
        <v>13784</v>
      </c>
      <c r="H602">
        <v>3</v>
      </c>
      <c r="I602">
        <v>1</v>
      </c>
    </row>
    <row r="603" spans="1:9" x14ac:dyDescent="0.25">
      <c r="A603" s="2">
        <v>16522</v>
      </c>
      <c r="B603" s="2" t="s">
        <v>4</v>
      </c>
      <c r="C603" s="2" t="str">
        <f t="shared" si="11"/>
        <v>2301046##</v>
      </c>
      <c r="D603" s="2"/>
      <c r="E603" s="2" t="str">
        <f>IFERROR(VLOOKUP(1*LEFT(C603,7),DF!$A$1:$F$9447,2,FALSE),"")</f>
        <v>TRICOTA ESCOTE V SIN FORRO NEGRA EM</v>
      </c>
      <c r="F603" s="7">
        <v>2301046</v>
      </c>
      <c r="G603" t="s">
        <v>13785</v>
      </c>
      <c r="H603">
        <v>5</v>
      </c>
      <c r="I603">
        <v>1</v>
      </c>
    </row>
    <row r="604" spans="1:9" x14ac:dyDescent="0.25">
      <c r="A604" s="2">
        <v>16522</v>
      </c>
      <c r="B604" s="2" t="s">
        <v>4</v>
      </c>
      <c r="C604" s="2" t="str">
        <f t="shared" si="11"/>
        <v>8203265##</v>
      </c>
      <c r="D604" s="2"/>
      <c r="E604" s="2" t="str">
        <f>IFERROR(VLOOKUP(1*LEFT(C604,7),DF!$A$1:$F$9447,2,FALSE),"")</f>
        <v>ZAPATO DAMA CUERO FLOR ART.265 RER</v>
      </c>
      <c r="F604" s="7">
        <v>8203265</v>
      </c>
      <c r="G604" t="s">
        <v>13786</v>
      </c>
      <c r="H604">
        <v>8</v>
      </c>
      <c r="I604">
        <v>1</v>
      </c>
    </row>
    <row r="605" spans="1:9" x14ac:dyDescent="0.25">
      <c r="A605" s="2">
        <v>16522</v>
      </c>
      <c r="B605" s="2" t="s">
        <v>4</v>
      </c>
      <c r="C605" s="2" t="str">
        <f t="shared" si="11"/>
        <v>8203830##</v>
      </c>
      <c r="D605" s="2"/>
      <c r="E605" s="2" t="str">
        <f>IFERROR(VLOOKUP(1*LEFT(C605,7),DF!$A$1:$F$9447,2,FALSE),"")</f>
        <v>ZAPATO GOMA ELE</v>
      </c>
      <c r="F605" s="7">
        <v>8203830</v>
      </c>
      <c r="G605" s="9" t="s">
        <v>13787</v>
      </c>
      <c r="H605">
        <v>3</v>
      </c>
      <c r="I605">
        <v>1</v>
      </c>
    </row>
  </sheetData>
  <autoFilter ref="A1:J1">
    <sortState ref="A2:J605">
      <sortCondition ref="E1"/>
    </sortState>
  </autoFilter>
  <hyperlinks>
    <hyperlink ref="G605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12453</v>
      </c>
      <c r="B3" s="26" t="s">
        <v>12454</v>
      </c>
    </row>
    <row r="4" spans="1:2" x14ac:dyDescent="0.25">
      <c r="A4" s="26" t="s">
        <v>12455</v>
      </c>
      <c r="B4" s="27"/>
    </row>
    <row r="5" spans="1:2" x14ac:dyDescent="0.25">
      <c r="A5" s="26" t="s">
        <v>12456</v>
      </c>
      <c r="B5" s="27"/>
    </row>
    <row r="6" spans="1:2" x14ac:dyDescent="0.25">
      <c r="A6" s="26" t="s">
        <v>12457</v>
      </c>
      <c r="B6" s="27"/>
    </row>
    <row r="7" spans="1:2" x14ac:dyDescent="0.25">
      <c r="A7" s="26" t="s">
        <v>12458</v>
      </c>
      <c r="B7" s="27"/>
    </row>
    <row r="8" spans="1:2" x14ac:dyDescent="0.25">
      <c r="A8" s="26" t="s">
        <v>12459</v>
      </c>
      <c r="B8" s="27"/>
    </row>
    <row r="9" spans="1:2" x14ac:dyDescent="0.25">
      <c r="A9" s="26" t="s">
        <v>12460</v>
      </c>
      <c r="B9" s="27"/>
    </row>
    <row r="10" spans="1:2" x14ac:dyDescent="0.25">
      <c r="A10" s="26" t="s">
        <v>12461</v>
      </c>
      <c r="B10" s="27"/>
    </row>
    <row r="11" spans="1:2" x14ac:dyDescent="0.25">
      <c r="A11" s="26" t="s">
        <v>12462</v>
      </c>
      <c r="B11" s="27"/>
    </row>
    <row r="12" spans="1:2" x14ac:dyDescent="0.25">
      <c r="A12" s="26" t="s">
        <v>12463</v>
      </c>
      <c r="B12" s="27"/>
    </row>
    <row r="13" spans="1:2" x14ac:dyDescent="0.25">
      <c r="A13" s="26" t="s">
        <v>12464</v>
      </c>
      <c r="B13" s="27"/>
    </row>
    <row r="14" spans="1:2" x14ac:dyDescent="0.25">
      <c r="A14" s="26" t="s">
        <v>12465</v>
      </c>
      <c r="B14" s="26" t="s">
        <v>12466</v>
      </c>
    </row>
    <row r="15" spans="1:2" x14ac:dyDescent="0.25">
      <c r="A15" s="26" t="s">
        <v>12467</v>
      </c>
      <c r="B15" s="27"/>
    </row>
    <row r="16" spans="1:2" x14ac:dyDescent="0.25">
      <c r="A16" s="26" t="s">
        <v>12468</v>
      </c>
      <c r="B16" s="27"/>
    </row>
    <row r="17" spans="1:2" x14ac:dyDescent="0.25">
      <c r="A17" s="26" t="s">
        <v>12469</v>
      </c>
      <c r="B17" s="27"/>
    </row>
    <row r="18" spans="1:2" x14ac:dyDescent="0.25">
      <c r="A18" s="26" t="s">
        <v>12470</v>
      </c>
      <c r="B18" s="27"/>
    </row>
    <row r="19" spans="1:2" x14ac:dyDescent="0.25">
      <c r="A19" s="26" t="s">
        <v>12471</v>
      </c>
      <c r="B19" s="27"/>
    </row>
    <row r="20" spans="1:2" x14ac:dyDescent="0.25">
      <c r="A20" s="26" t="s">
        <v>12472</v>
      </c>
      <c r="B20" s="27"/>
    </row>
    <row r="21" spans="1:2" x14ac:dyDescent="0.25">
      <c r="A21" s="26" t="s">
        <v>12473</v>
      </c>
      <c r="B21" s="26" t="s">
        <v>12474</v>
      </c>
    </row>
    <row r="22" spans="1:2" x14ac:dyDescent="0.25">
      <c r="A22" s="26" t="s">
        <v>12475</v>
      </c>
      <c r="B22" s="27"/>
    </row>
    <row r="23" spans="1:2" x14ac:dyDescent="0.25">
      <c r="A23" s="28">
        <v>120</v>
      </c>
      <c r="B23" s="26" t="s">
        <v>12476</v>
      </c>
    </row>
    <row r="24" spans="1:2" x14ac:dyDescent="0.25">
      <c r="A24" s="28">
        <v>123</v>
      </c>
      <c r="B24" s="26" t="s">
        <v>12477</v>
      </c>
    </row>
    <row r="25" spans="1:2" x14ac:dyDescent="0.25">
      <c r="A25" s="28">
        <v>124</v>
      </c>
      <c r="B25" s="26" t="s">
        <v>12478</v>
      </c>
    </row>
    <row r="26" spans="1:2" x14ac:dyDescent="0.25">
      <c r="A26" s="28">
        <v>126</v>
      </c>
      <c r="B26" s="26" t="s">
        <v>12479</v>
      </c>
    </row>
    <row r="27" spans="1:2" x14ac:dyDescent="0.25">
      <c r="A27" s="28">
        <v>127</v>
      </c>
      <c r="B27" s="26" t="s">
        <v>12480</v>
      </c>
    </row>
    <row r="28" spans="1:2" x14ac:dyDescent="0.25">
      <c r="A28" s="28">
        <v>128</v>
      </c>
      <c r="B28" s="26" t="s">
        <v>12481</v>
      </c>
    </row>
    <row r="29" spans="1:2" x14ac:dyDescent="0.25">
      <c r="A29" s="28">
        <v>129</v>
      </c>
      <c r="B29" s="26" t="s">
        <v>12482</v>
      </c>
    </row>
    <row r="30" spans="1:2" x14ac:dyDescent="0.25">
      <c r="A30" s="28">
        <v>1</v>
      </c>
      <c r="B30" s="26" t="s">
        <v>12483</v>
      </c>
    </row>
    <row r="31" spans="1:2" x14ac:dyDescent="0.25">
      <c r="A31" s="28">
        <v>1</v>
      </c>
      <c r="B31" s="26" t="s">
        <v>12484</v>
      </c>
    </row>
    <row r="32" spans="1:2" x14ac:dyDescent="0.25">
      <c r="A32" s="28">
        <v>10</v>
      </c>
      <c r="B32" s="26" t="s">
        <v>12485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12486</v>
      </c>
      <c r="B54" s="27"/>
    </row>
    <row r="55" spans="1:2" x14ac:dyDescent="0.25">
      <c r="A55" s="26" t="s">
        <v>12487</v>
      </c>
      <c r="B55" s="27"/>
    </row>
    <row r="56" spans="1:2" x14ac:dyDescent="0.25">
      <c r="A56" s="26" t="s">
        <v>12488</v>
      </c>
      <c r="B56" s="26" t="s">
        <v>12489</v>
      </c>
    </row>
    <row r="57" spans="1:2" x14ac:dyDescent="0.25">
      <c r="A57" s="26" t="s">
        <v>12490</v>
      </c>
      <c r="B57" s="26" t="s">
        <v>12491</v>
      </c>
    </row>
    <row r="58" spans="1:2" x14ac:dyDescent="0.25">
      <c r="A58" s="26" t="s">
        <v>12492</v>
      </c>
      <c r="B58" s="26" t="s">
        <v>12493</v>
      </c>
    </row>
    <row r="59" spans="1:2" x14ac:dyDescent="0.25">
      <c r="A59" s="26" t="s">
        <v>12494</v>
      </c>
      <c r="B59" s="27"/>
    </row>
    <row r="60" spans="1:2" x14ac:dyDescent="0.25">
      <c r="A60" s="26" t="s">
        <v>12495</v>
      </c>
      <c r="B60" s="26" t="s">
        <v>12496</v>
      </c>
    </row>
    <row r="61" spans="1:2" x14ac:dyDescent="0.25">
      <c r="A61" s="26" t="s">
        <v>12497</v>
      </c>
      <c r="B61" s="27"/>
    </row>
    <row r="62" spans="1:2" x14ac:dyDescent="0.25">
      <c r="A62" s="26" t="s">
        <v>12498</v>
      </c>
      <c r="B62" s="27"/>
    </row>
    <row r="63" spans="1:2" x14ac:dyDescent="0.25">
      <c r="A63" s="26" t="s">
        <v>12499</v>
      </c>
      <c r="B63" s="26" t="s">
        <v>12500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13196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12501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12502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12503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12504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12505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13197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12506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12507</v>
      </c>
      <c r="B206" s="26" t="s">
        <v>12508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12509</v>
      </c>
      <c r="B208" s="26" t="s">
        <v>12510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12511</v>
      </c>
      <c r="B231" s="26" t="s">
        <v>12512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12513</v>
      </c>
      <c r="B243" s="27"/>
    </row>
    <row r="244" spans="1:2" x14ac:dyDescent="0.25">
      <c r="A244" s="26" t="s">
        <v>12514</v>
      </c>
      <c r="B244" s="27"/>
    </row>
    <row r="245" spans="1:2" x14ac:dyDescent="0.25">
      <c r="A245" s="26" t="s">
        <v>12515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12516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12517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12518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12519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12520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12521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12522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12523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12524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12525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12526</v>
      </c>
    </row>
    <row r="306" spans="1:2" x14ac:dyDescent="0.25">
      <c r="A306" s="28">
        <v>1120442</v>
      </c>
      <c r="B306" s="26" t="s">
        <v>12527</v>
      </c>
    </row>
    <row r="307" spans="1:2" x14ac:dyDescent="0.25">
      <c r="A307" s="26" t="s">
        <v>12528</v>
      </c>
      <c r="B307" s="27"/>
    </row>
    <row r="308" spans="1:2" x14ac:dyDescent="0.25">
      <c r="A308" s="28">
        <v>1120443</v>
      </c>
      <c r="B308" s="26" t="s">
        <v>12529</v>
      </c>
    </row>
    <row r="309" spans="1:2" x14ac:dyDescent="0.25">
      <c r="A309" s="26" t="s">
        <v>12530</v>
      </c>
      <c r="B309" s="27"/>
    </row>
    <row r="310" spans="1:2" x14ac:dyDescent="0.25">
      <c r="A310" s="28">
        <v>1120444</v>
      </c>
      <c r="B310" s="26" t="s">
        <v>12531</v>
      </c>
    </row>
    <row r="311" spans="1:2" x14ac:dyDescent="0.25">
      <c r="A311" s="26" t="s">
        <v>12532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12533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12534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12535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12536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12537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12538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12539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12540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12541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12542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12543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12544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12545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13198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13199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12546</v>
      </c>
    </row>
    <row r="543" spans="1:2" x14ac:dyDescent="0.25">
      <c r="A543" s="28">
        <v>112094036</v>
      </c>
      <c r="B543" s="26" t="s">
        <v>12547</v>
      </c>
    </row>
    <row r="544" spans="1:2" x14ac:dyDescent="0.25">
      <c r="A544" s="28">
        <v>112094038</v>
      </c>
      <c r="B544" s="26" t="s">
        <v>12548</v>
      </c>
    </row>
    <row r="545" spans="1:2" x14ac:dyDescent="0.25">
      <c r="A545" s="28">
        <v>112094040</v>
      </c>
      <c r="B545" s="26" t="s">
        <v>12549</v>
      </c>
    </row>
    <row r="546" spans="1:2" x14ac:dyDescent="0.25">
      <c r="A546" s="28">
        <v>112094044</v>
      </c>
      <c r="B546" s="26" t="s">
        <v>12550</v>
      </c>
    </row>
    <row r="547" spans="1:2" x14ac:dyDescent="0.25">
      <c r="A547" s="28">
        <v>112094046</v>
      </c>
      <c r="B547" s="26" t="s">
        <v>12551</v>
      </c>
    </row>
    <row r="548" spans="1:2" x14ac:dyDescent="0.25">
      <c r="A548" s="28">
        <v>112094048</v>
      </c>
      <c r="B548" s="26" t="s">
        <v>12552</v>
      </c>
    </row>
    <row r="549" spans="1:2" x14ac:dyDescent="0.25">
      <c r="A549" s="28">
        <v>112094052</v>
      </c>
      <c r="B549" s="26" t="s">
        <v>12553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12554</v>
      </c>
    </row>
    <row r="552" spans="1:2" x14ac:dyDescent="0.25">
      <c r="A552" s="28">
        <v>112094154</v>
      </c>
      <c r="B552" s="26" t="s">
        <v>12555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12556</v>
      </c>
    </row>
    <row r="555" spans="1:2" x14ac:dyDescent="0.25">
      <c r="A555" s="28">
        <v>112094258</v>
      </c>
      <c r="B555" s="26" t="s">
        <v>12557</v>
      </c>
    </row>
    <row r="556" spans="1:2" x14ac:dyDescent="0.25">
      <c r="A556" s="28">
        <v>112094260</v>
      </c>
      <c r="B556" s="26" t="s">
        <v>12558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12559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12560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12561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12562</v>
      </c>
    </row>
    <row r="575" spans="1:2" x14ac:dyDescent="0.25">
      <c r="A575" s="28">
        <v>1121004</v>
      </c>
      <c r="B575" s="26" t="s">
        <v>12563</v>
      </c>
    </row>
    <row r="576" spans="1:2" x14ac:dyDescent="0.25">
      <c r="A576" s="28">
        <v>1121005</v>
      </c>
      <c r="B576" s="26" t="s">
        <v>12564</v>
      </c>
    </row>
    <row r="577" spans="1:2" x14ac:dyDescent="0.25">
      <c r="A577" s="28">
        <v>1121006</v>
      </c>
      <c r="B577" s="26" t="s">
        <v>12565</v>
      </c>
    </row>
    <row r="578" spans="1:2" x14ac:dyDescent="0.25">
      <c r="A578" s="28">
        <v>1121106</v>
      </c>
      <c r="B578" s="26" t="s">
        <v>12566</v>
      </c>
    </row>
    <row r="579" spans="1:2" x14ac:dyDescent="0.25">
      <c r="A579" s="28">
        <v>1121107</v>
      </c>
      <c r="B579" s="26" t="s">
        <v>12567</v>
      </c>
    </row>
    <row r="580" spans="1:2" x14ac:dyDescent="0.25">
      <c r="A580" s="28">
        <v>1121110</v>
      </c>
      <c r="B580" s="26" t="s">
        <v>12568</v>
      </c>
    </row>
    <row r="581" spans="1:2" x14ac:dyDescent="0.25">
      <c r="A581" s="28">
        <v>1121111</v>
      </c>
      <c r="B581" s="26" t="s">
        <v>12569</v>
      </c>
    </row>
    <row r="582" spans="1:2" x14ac:dyDescent="0.25">
      <c r="A582" s="28">
        <v>1121130</v>
      </c>
      <c r="B582" s="26" t="s">
        <v>12570</v>
      </c>
    </row>
    <row r="583" spans="1:2" x14ac:dyDescent="0.25">
      <c r="A583" s="28">
        <v>1121131</v>
      </c>
      <c r="B583" s="26" t="s">
        <v>12571</v>
      </c>
    </row>
    <row r="584" spans="1:2" x14ac:dyDescent="0.25">
      <c r="A584" s="28">
        <v>1121132</v>
      </c>
      <c r="B584" s="26" t="s">
        <v>12572</v>
      </c>
    </row>
    <row r="585" spans="1:2" x14ac:dyDescent="0.25">
      <c r="A585" s="28">
        <v>1121133</v>
      </c>
      <c r="B585" s="26" t="s">
        <v>12573</v>
      </c>
    </row>
    <row r="586" spans="1:2" x14ac:dyDescent="0.25">
      <c r="A586" s="28">
        <v>1121140</v>
      </c>
      <c r="B586" s="26" t="s">
        <v>12574</v>
      </c>
    </row>
    <row r="587" spans="1:2" x14ac:dyDescent="0.25">
      <c r="A587" s="28">
        <v>1121150</v>
      </c>
      <c r="B587" s="26" t="s">
        <v>12575</v>
      </c>
    </row>
    <row r="588" spans="1:2" x14ac:dyDescent="0.25">
      <c r="A588" s="28">
        <v>1121160</v>
      </c>
      <c r="B588" s="26" t="s">
        <v>12576</v>
      </c>
    </row>
    <row r="589" spans="1:2" x14ac:dyDescent="0.25">
      <c r="A589" s="28">
        <v>1121165</v>
      </c>
      <c r="B589" s="26" t="s">
        <v>12577</v>
      </c>
    </row>
    <row r="590" spans="1:2" x14ac:dyDescent="0.25">
      <c r="A590" s="28">
        <v>1121166</v>
      </c>
      <c r="B590" s="26" t="s">
        <v>12578</v>
      </c>
    </row>
    <row r="591" spans="1:2" x14ac:dyDescent="0.25">
      <c r="A591" s="28">
        <v>1121167</v>
      </c>
      <c r="B591" s="26" t="s">
        <v>12579</v>
      </c>
    </row>
    <row r="592" spans="1:2" x14ac:dyDescent="0.25">
      <c r="A592" s="28">
        <v>1121168</v>
      </c>
      <c r="B592" s="26" t="s">
        <v>12580</v>
      </c>
    </row>
    <row r="593" spans="1:2" x14ac:dyDescent="0.25">
      <c r="A593" s="28">
        <v>1121170</v>
      </c>
      <c r="B593" s="26" t="s">
        <v>12581</v>
      </c>
    </row>
    <row r="594" spans="1:2" x14ac:dyDescent="0.25">
      <c r="A594" s="28">
        <v>1121175</v>
      </c>
      <c r="B594" s="26" t="s">
        <v>12582</v>
      </c>
    </row>
    <row r="595" spans="1:2" x14ac:dyDescent="0.25">
      <c r="A595" s="28">
        <v>1121180</v>
      </c>
      <c r="B595" s="26" t="s">
        <v>12583</v>
      </c>
    </row>
    <row r="596" spans="1:2" x14ac:dyDescent="0.25">
      <c r="A596" s="28">
        <v>1121182</v>
      </c>
      <c r="B596" s="26" t="s">
        <v>12584</v>
      </c>
    </row>
    <row r="597" spans="1:2" x14ac:dyDescent="0.25">
      <c r="A597" s="28">
        <v>1121183</v>
      </c>
      <c r="B597" s="26" t="s">
        <v>12585</v>
      </c>
    </row>
    <row r="598" spans="1:2" x14ac:dyDescent="0.25">
      <c r="A598" s="28">
        <v>1121184</v>
      </c>
      <c r="B598" s="26" t="s">
        <v>12586</v>
      </c>
    </row>
    <row r="599" spans="1:2" x14ac:dyDescent="0.25">
      <c r="A599" s="28">
        <v>1121185</v>
      </c>
      <c r="B599" s="26" t="s">
        <v>12587</v>
      </c>
    </row>
    <row r="600" spans="1:2" x14ac:dyDescent="0.25">
      <c r="A600" s="28">
        <v>1121190</v>
      </c>
      <c r="B600" s="26" t="s">
        <v>12588</v>
      </c>
    </row>
    <row r="601" spans="1:2" x14ac:dyDescent="0.25">
      <c r="A601" s="28">
        <v>1121195</v>
      </c>
      <c r="B601" s="26" t="s">
        <v>12589</v>
      </c>
    </row>
    <row r="602" spans="1:2" x14ac:dyDescent="0.25">
      <c r="A602" s="28">
        <v>1121206</v>
      </c>
      <c r="B602" s="26" t="s">
        <v>12590</v>
      </c>
    </row>
    <row r="603" spans="1:2" x14ac:dyDescent="0.25">
      <c r="A603" s="28">
        <v>1121207</v>
      </c>
      <c r="B603" s="26" t="s">
        <v>12591</v>
      </c>
    </row>
    <row r="604" spans="1:2" x14ac:dyDescent="0.25">
      <c r="A604" s="28">
        <v>1121208</v>
      </c>
      <c r="B604" s="26" t="s">
        <v>12592</v>
      </c>
    </row>
    <row r="605" spans="1:2" x14ac:dyDescent="0.25">
      <c r="A605" s="28">
        <v>1121209</v>
      </c>
      <c r="B605" s="26" t="s">
        <v>12593</v>
      </c>
    </row>
    <row r="606" spans="1:2" x14ac:dyDescent="0.25">
      <c r="A606" s="28">
        <v>1121224</v>
      </c>
      <c r="B606" s="26" t="s">
        <v>12594</v>
      </c>
    </row>
    <row r="607" spans="1:2" x14ac:dyDescent="0.25">
      <c r="A607" s="28">
        <v>1121225</v>
      </c>
      <c r="B607" s="26" t="s">
        <v>12595</v>
      </c>
    </row>
    <row r="608" spans="1:2" x14ac:dyDescent="0.25">
      <c r="A608" s="28">
        <v>1121246</v>
      </c>
      <c r="B608" s="26" t="s">
        <v>12596</v>
      </c>
    </row>
    <row r="609" spans="1:2" x14ac:dyDescent="0.25">
      <c r="A609" s="28">
        <v>1121247</v>
      </c>
      <c r="B609" s="26" t="s">
        <v>12597</v>
      </c>
    </row>
    <row r="610" spans="1:2" x14ac:dyDescent="0.25">
      <c r="A610" s="28">
        <v>1121248</v>
      </c>
      <c r="B610" s="26" t="s">
        <v>12598</v>
      </c>
    </row>
    <row r="611" spans="1:2" x14ac:dyDescent="0.25">
      <c r="A611" s="28">
        <v>1121285</v>
      </c>
      <c r="B611" s="26" t="s">
        <v>12599</v>
      </c>
    </row>
    <row r="612" spans="1:2" x14ac:dyDescent="0.25">
      <c r="A612" s="28">
        <v>1121315</v>
      </c>
      <c r="B612" s="26" t="s">
        <v>12600</v>
      </c>
    </row>
    <row r="613" spans="1:2" x14ac:dyDescent="0.25">
      <c r="A613" s="28">
        <v>1121316</v>
      </c>
      <c r="B613" s="26" t="s">
        <v>12601</v>
      </c>
    </row>
    <row r="614" spans="1:2" x14ac:dyDescent="0.25">
      <c r="A614" s="28">
        <v>1121317</v>
      </c>
      <c r="B614" s="26" t="s">
        <v>12602</v>
      </c>
    </row>
    <row r="615" spans="1:2" x14ac:dyDescent="0.25">
      <c r="A615" s="28">
        <v>1121318</v>
      </c>
      <c r="B615" s="26" t="s">
        <v>12603</v>
      </c>
    </row>
    <row r="616" spans="1:2" x14ac:dyDescent="0.25">
      <c r="A616" s="28">
        <v>1121323</v>
      </c>
      <c r="B616" s="26" t="s">
        <v>12604</v>
      </c>
    </row>
    <row r="617" spans="1:2" x14ac:dyDescent="0.25">
      <c r="A617" s="28">
        <v>1121324</v>
      </c>
      <c r="B617" s="26" t="s">
        <v>12605</v>
      </c>
    </row>
    <row r="618" spans="1:2" x14ac:dyDescent="0.25">
      <c r="A618" s="28">
        <v>1121325</v>
      </c>
      <c r="B618" s="26" t="s">
        <v>12606</v>
      </c>
    </row>
    <row r="619" spans="1:2" x14ac:dyDescent="0.25">
      <c r="A619" s="28">
        <v>1121330</v>
      </c>
      <c r="B619" s="26" t="s">
        <v>12607</v>
      </c>
    </row>
    <row r="620" spans="1:2" x14ac:dyDescent="0.25">
      <c r="A620" s="28">
        <v>1121331</v>
      </c>
      <c r="B620" s="26" t="s">
        <v>12608</v>
      </c>
    </row>
    <row r="621" spans="1:2" x14ac:dyDescent="0.25">
      <c r="A621" s="28">
        <v>1121332</v>
      </c>
      <c r="B621" s="26" t="s">
        <v>12609</v>
      </c>
    </row>
    <row r="622" spans="1:2" x14ac:dyDescent="0.25">
      <c r="A622" s="28">
        <v>1121333</v>
      </c>
      <c r="B622" s="26" t="s">
        <v>12610</v>
      </c>
    </row>
    <row r="623" spans="1:2" x14ac:dyDescent="0.25">
      <c r="A623" s="28">
        <v>1121334</v>
      </c>
      <c r="B623" s="26" t="s">
        <v>12611</v>
      </c>
    </row>
    <row r="624" spans="1:2" x14ac:dyDescent="0.25">
      <c r="A624" s="28">
        <v>1121335</v>
      </c>
      <c r="B624" s="26" t="s">
        <v>12612</v>
      </c>
    </row>
    <row r="625" spans="1:2" x14ac:dyDescent="0.25">
      <c r="A625" s="28">
        <v>1121336</v>
      </c>
      <c r="B625" s="26" t="s">
        <v>12613</v>
      </c>
    </row>
    <row r="626" spans="1:2" x14ac:dyDescent="0.25">
      <c r="A626" s="28">
        <v>1121400</v>
      </c>
      <c r="B626" s="26" t="s">
        <v>12614</v>
      </c>
    </row>
    <row r="627" spans="1:2" x14ac:dyDescent="0.25">
      <c r="A627" s="28">
        <v>1121401</v>
      </c>
      <c r="B627" s="26" t="s">
        <v>12615</v>
      </c>
    </row>
    <row r="628" spans="1:2" x14ac:dyDescent="0.25">
      <c r="A628" s="28">
        <v>1121402</v>
      </c>
      <c r="B628" s="26" t="s">
        <v>12616</v>
      </c>
    </row>
    <row r="629" spans="1:2" x14ac:dyDescent="0.25">
      <c r="A629" s="28">
        <v>1121433</v>
      </c>
      <c r="B629" s="26" t="s">
        <v>12617</v>
      </c>
    </row>
    <row r="630" spans="1:2" x14ac:dyDescent="0.25">
      <c r="A630" s="28">
        <v>1121434</v>
      </c>
      <c r="B630" s="26" t="s">
        <v>12618</v>
      </c>
    </row>
    <row r="631" spans="1:2" x14ac:dyDescent="0.25">
      <c r="A631" s="28">
        <v>1121441</v>
      </c>
      <c r="B631" s="26" t="s">
        <v>12619</v>
      </c>
    </row>
    <row r="632" spans="1:2" x14ac:dyDescent="0.25">
      <c r="A632" s="28">
        <v>1121442</v>
      </c>
      <c r="B632" s="26" t="s">
        <v>12620</v>
      </c>
    </row>
    <row r="633" spans="1:2" x14ac:dyDescent="0.25">
      <c r="A633" s="28">
        <v>1121443</v>
      </c>
      <c r="B633" s="26" t="s">
        <v>12621</v>
      </c>
    </row>
    <row r="634" spans="1:2" x14ac:dyDescent="0.25">
      <c r="A634" s="28">
        <v>1121444</v>
      </c>
      <c r="B634" s="26" t="s">
        <v>12622</v>
      </c>
    </row>
    <row r="635" spans="1:2" x14ac:dyDescent="0.25">
      <c r="A635" s="28">
        <v>1121445</v>
      </c>
      <c r="B635" s="26" t="s">
        <v>12623</v>
      </c>
    </row>
    <row r="636" spans="1:2" x14ac:dyDescent="0.25">
      <c r="A636" s="28">
        <v>1121446</v>
      </c>
      <c r="B636" s="26" t="s">
        <v>12624</v>
      </c>
    </row>
    <row r="637" spans="1:2" x14ac:dyDescent="0.25">
      <c r="A637" s="28">
        <v>1121462</v>
      </c>
      <c r="B637" s="26" t="s">
        <v>12625</v>
      </c>
    </row>
    <row r="638" spans="1:2" x14ac:dyDescent="0.25">
      <c r="A638" s="28">
        <v>1121463</v>
      </c>
      <c r="B638" s="26" t="s">
        <v>12626</v>
      </c>
    </row>
    <row r="639" spans="1:2" x14ac:dyDescent="0.25">
      <c r="A639" s="28">
        <v>1121464</v>
      </c>
      <c r="B639" s="26" t="s">
        <v>12627</v>
      </c>
    </row>
    <row r="640" spans="1:2" x14ac:dyDescent="0.25">
      <c r="A640" s="28">
        <v>1121478</v>
      </c>
      <c r="B640" s="26" t="s">
        <v>12628</v>
      </c>
    </row>
    <row r="641" spans="1:2" x14ac:dyDescent="0.25">
      <c r="A641" s="28">
        <v>1121479</v>
      </c>
      <c r="B641" s="26" t="s">
        <v>12629</v>
      </c>
    </row>
    <row r="642" spans="1:2" x14ac:dyDescent="0.25">
      <c r="A642" s="28">
        <v>1121493</v>
      </c>
      <c r="B642" s="26" t="s">
        <v>12630</v>
      </c>
    </row>
    <row r="643" spans="1:2" x14ac:dyDescent="0.25">
      <c r="A643" s="28">
        <v>1121496</v>
      </c>
      <c r="B643" s="26" t="s">
        <v>12631</v>
      </c>
    </row>
    <row r="644" spans="1:2" x14ac:dyDescent="0.25">
      <c r="A644" s="28">
        <v>1121497</v>
      </c>
      <c r="B644" s="26" t="s">
        <v>12632</v>
      </c>
    </row>
    <row r="645" spans="1:2" x14ac:dyDescent="0.25">
      <c r="A645" s="28">
        <v>1121498</v>
      </c>
      <c r="B645" s="26" t="s">
        <v>12633</v>
      </c>
    </row>
    <row r="646" spans="1:2" x14ac:dyDescent="0.25">
      <c r="A646" s="28">
        <v>1121499</v>
      </c>
      <c r="B646" s="26" t="s">
        <v>12634</v>
      </c>
    </row>
    <row r="647" spans="1:2" x14ac:dyDescent="0.25">
      <c r="A647" s="28">
        <v>1121512</v>
      </c>
      <c r="B647" s="26" t="s">
        <v>12635</v>
      </c>
    </row>
    <row r="648" spans="1:2" x14ac:dyDescent="0.25">
      <c r="A648" s="28">
        <v>1121513</v>
      </c>
      <c r="B648" s="26" t="s">
        <v>12636</v>
      </c>
    </row>
    <row r="649" spans="1:2" x14ac:dyDescent="0.25">
      <c r="A649" s="28">
        <v>1121514</v>
      </c>
      <c r="B649" s="26" t="s">
        <v>12637</v>
      </c>
    </row>
    <row r="650" spans="1:2" x14ac:dyDescent="0.25">
      <c r="A650" s="28">
        <v>1121623</v>
      </c>
      <c r="B650" s="26" t="s">
        <v>12638</v>
      </c>
    </row>
    <row r="651" spans="1:2" x14ac:dyDescent="0.25">
      <c r="A651" s="28">
        <v>1121624</v>
      </c>
      <c r="B651" s="26" t="s">
        <v>12639</v>
      </c>
    </row>
    <row r="652" spans="1:2" x14ac:dyDescent="0.25">
      <c r="A652" s="28">
        <v>1121625</v>
      </c>
      <c r="B652" s="26" t="s">
        <v>12640</v>
      </c>
    </row>
    <row r="653" spans="1:2" x14ac:dyDescent="0.25">
      <c r="A653" s="28">
        <v>1121626</v>
      </c>
      <c r="B653" s="26" t="s">
        <v>12641</v>
      </c>
    </row>
    <row r="654" spans="1:2" x14ac:dyDescent="0.25">
      <c r="A654" s="28">
        <v>1121640</v>
      </c>
      <c r="B654" s="26" t="s">
        <v>12642</v>
      </c>
    </row>
    <row r="655" spans="1:2" x14ac:dyDescent="0.25">
      <c r="A655" s="28">
        <v>1121641</v>
      </c>
      <c r="B655" s="26" t="s">
        <v>12643</v>
      </c>
    </row>
    <row r="656" spans="1:2" x14ac:dyDescent="0.25">
      <c r="A656" s="28">
        <v>1121642</v>
      </c>
      <c r="B656" s="26" t="s">
        <v>12644</v>
      </c>
    </row>
    <row r="657" spans="1:2" x14ac:dyDescent="0.25">
      <c r="A657" s="28">
        <v>1121643</v>
      </c>
      <c r="B657" s="26" t="s">
        <v>12645</v>
      </c>
    </row>
    <row r="658" spans="1:2" x14ac:dyDescent="0.25">
      <c r="A658" s="28">
        <v>1121666</v>
      </c>
      <c r="B658" s="26" t="s">
        <v>12646</v>
      </c>
    </row>
    <row r="659" spans="1:2" x14ac:dyDescent="0.25">
      <c r="A659" s="28">
        <v>1121667</v>
      </c>
      <c r="B659" s="26" t="s">
        <v>12647</v>
      </c>
    </row>
    <row r="660" spans="1:2" x14ac:dyDescent="0.25">
      <c r="A660" s="28">
        <v>1121668</v>
      </c>
      <c r="B660" s="26" t="s">
        <v>12648</v>
      </c>
    </row>
    <row r="661" spans="1:2" x14ac:dyDescent="0.25">
      <c r="A661" s="28">
        <v>1121669</v>
      </c>
      <c r="B661" s="26" t="s">
        <v>12649</v>
      </c>
    </row>
    <row r="662" spans="1:2" x14ac:dyDescent="0.25">
      <c r="A662" s="28">
        <v>1121750</v>
      </c>
      <c r="B662" s="26" t="s">
        <v>12650</v>
      </c>
    </row>
    <row r="663" spans="1:2" x14ac:dyDescent="0.25">
      <c r="A663" s="28">
        <v>1121751</v>
      </c>
      <c r="B663" s="26" t="s">
        <v>12651</v>
      </c>
    </row>
    <row r="664" spans="1:2" x14ac:dyDescent="0.25">
      <c r="A664" s="28">
        <v>1121752</v>
      </c>
      <c r="B664" s="26" t="s">
        <v>12652</v>
      </c>
    </row>
    <row r="665" spans="1:2" x14ac:dyDescent="0.25">
      <c r="A665" s="28">
        <v>1121753</v>
      </c>
      <c r="B665" s="26" t="s">
        <v>12653</v>
      </c>
    </row>
    <row r="666" spans="1:2" x14ac:dyDescent="0.25">
      <c r="A666" s="28">
        <v>1121800</v>
      </c>
      <c r="B666" s="26" t="s">
        <v>12654</v>
      </c>
    </row>
    <row r="667" spans="1:2" x14ac:dyDescent="0.25">
      <c r="A667" s="28">
        <v>1121801</v>
      </c>
      <c r="B667" s="26" t="s">
        <v>12655</v>
      </c>
    </row>
    <row r="668" spans="1:2" x14ac:dyDescent="0.25">
      <c r="A668" s="28">
        <v>1121802</v>
      </c>
      <c r="B668" s="26" t="s">
        <v>12656</v>
      </c>
    </row>
    <row r="669" spans="1:2" x14ac:dyDescent="0.25">
      <c r="A669" s="28">
        <v>1121803</v>
      </c>
      <c r="B669" s="26" t="s">
        <v>12657</v>
      </c>
    </row>
    <row r="670" spans="1:2" x14ac:dyDescent="0.25">
      <c r="A670" s="28">
        <v>1121850</v>
      </c>
      <c r="B670" s="26" t="s">
        <v>12658</v>
      </c>
    </row>
    <row r="671" spans="1:2" x14ac:dyDescent="0.25">
      <c r="A671" s="28">
        <v>1121851</v>
      </c>
      <c r="B671" s="26" t="s">
        <v>12659</v>
      </c>
    </row>
    <row r="672" spans="1:2" x14ac:dyDescent="0.25">
      <c r="A672" s="28">
        <v>1121852</v>
      </c>
      <c r="B672" s="26" t="s">
        <v>12660</v>
      </c>
    </row>
    <row r="673" spans="1:2" x14ac:dyDescent="0.25">
      <c r="A673" s="28">
        <v>1121853</v>
      </c>
      <c r="B673" s="26" t="s">
        <v>12661</v>
      </c>
    </row>
    <row r="674" spans="1:2" x14ac:dyDescent="0.25">
      <c r="A674" s="28">
        <v>1121856</v>
      </c>
      <c r="B674" s="26" t="s">
        <v>12662</v>
      </c>
    </row>
    <row r="675" spans="1:2" x14ac:dyDescent="0.25">
      <c r="A675" s="28">
        <v>1121857</v>
      </c>
      <c r="B675" s="26" t="s">
        <v>12663</v>
      </c>
    </row>
    <row r="676" spans="1:2" x14ac:dyDescent="0.25">
      <c r="A676" s="28">
        <v>1121858</v>
      </c>
      <c r="B676" s="26" t="s">
        <v>12664</v>
      </c>
    </row>
    <row r="677" spans="1:2" x14ac:dyDescent="0.25">
      <c r="A677" s="28">
        <v>1121859</v>
      </c>
      <c r="B677" s="26" t="s">
        <v>12665</v>
      </c>
    </row>
    <row r="678" spans="1:2" x14ac:dyDescent="0.25">
      <c r="A678" s="28">
        <v>1121860</v>
      </c>
      <c r="B678" s="26" t="s">
        <v>12666</v>
      </c>
    </row>
    <row r="679" spans="1:2" x14ac:dyDescent="0.25">
      <c r="A679" s="28">
        <v>1121861</v>
      </c>
      <c r="B679" s="26" t="s">
        <v>12667</v>
      </c>
    </row>
    <row r="680" spans="1:2" x14ac:dyDescent="0.25">
      <c r="A680" s="28">
        <v>1121862</v>
      </c>
      <c r="B680" s="26" t="s">
        <v>12668</v>
      </c>
    </row>
    <row r="681" spans="1:2" x14ac:dyDescent="0.25">
      <c r="A681" s="28">
        <v>1121863</v>
      </c>
      <c r="B681" s="26" t="s">
        <v>12669</v>
      </c>
    </row>
    <row r="682" spans="1:2" x14ac:dyDescent="0.25">
      <c r="A682" s="28">
        <v>1121873</v>
      </c>
      <c r="B682" s="26" t="s">
        <v>12670</v>
      </c>
    </row>
    <row r="683" spans="1:2" x14ac:dyDescent="0.25">
      <c r="A683" s="28">
        <v>1121875</v>
      </c>
      <c r="B683" s="26" t="s">
        <v>12671</v>
      </c>
    </row>
    <row r="684" spans="1:2" x14ac:dyDescent="0.25">
      <c r="A684" s="28">
        <v>1121876</v>
      </c>
      <c r="B684" s="26" t="s">
        <v>12672</v>
      </c>
    </row>
    <row r="685" spans="1:2" x14ac:dyDescent="0.25">
      <c r="A685" s="28">
        <v>1121877</v>
      </c>
      <c r="B685" s="26" t="s">
        <v>12673</v>
      </c>
    </row>
    <row r="686" spans="1:2" x14ac:dyDescent="0.25">
      <c r="A686" s="28">
        <v>1121879</v>
      </c>
      <c r="B686" s="26" t="s">
        <v>12674</v>
      </c>
    </row>
    <row r="687" spans="1:2" x14ac:dyDescent="0.25">
      <c r="A687" s="28">
        <v>1121881</v>
      </c>
      <c r="B687" s="26" t="s">
        <v>12675</v>
      </c>
    </row>
    <row r="688" spans="1:2" x14ac:dyDescent="0.25">
      <c r="A688" s="28">
        <v>1121882</v>
      </c>
      <c r="B688" s="26" t="s">
        <v>12676</v>
      </c>
    </row>
    <row r="689" spans="1:2" x14ac:dyDescent="0.25">
      <c r="A689" s="28">
        <v>1121887</v>
      </c>
      <c r="B689" s="26" t="s">
        <v>12677</v>
      </c>
    </row>
    <row r="690" spans="1:2" x14ac:dyDescent="0.25">
      <c r="A690" s="28">
        <v>1121900</v>
      </c>
      <c r="B690" s="26" t="s">
        <v>12678</v>
      </c>
    </row>
    <row r="691" spans="1:2" x14ac:dyDescent="0.25">
      <c r="A691" s="28">
        <v>1121901</v>
      </c>
      <c r="B691" s="26" t="s">
        <v>12679</v>
      </c>
    </row>
    <row r="692" spans="1:2" x14ac:dyDescent="0.25">
      <c r="A692" s="28">
        <v>1121902</v>
      </c>
      <c r="B692" s="26" t="s">
        <v>12680</v>
      </c>
    </row>
    <row r="693" spans="1:2" x14ac:dyDescent="0.25">
      <c r="A693" s="28">
        <v>1121903</v>
      </c>
      <c r="B693" s="26" t="s">
        <v>12681</v>
      </c>
    </row>
    <row r="694" spans="1:2" x14ac:dyDescent="0.25">
      <c r="A694" s="28">
        <v>1121904</v>
      </c>
      <c r="B694" s="26" t="s">
        <v>12682</v>
      </c>
    </row>
    <row r="695" spans="1:2" x14ac:dyDescent="0.25">
      <c r="A695" s="28">
        <v>1121940</v>
      </c>
      <c r="B695" s="26" t="s">
        <v>12683</v>
      </c>
    </row>
    <row r="696" spans="1:2" x14ac:dyDescent="0.25">
      <c r="A696" s="28">
        <v>1121941</v>
      </c>
      <c r="B696" s="26" t="s">
        <v>12684</v>
      </c>
    </row>
    <row r="697" spans="1:2" x14ac:dyDescent="0.25">
      <c r="A697" s="28">
        <v>1121942</v>
      </c>
      <c r="B697" s="26" t="s">
        <v>12685</v>
      </c>
    </row>
    <row r="698" spans="1:2" x14ac:dyDescent="0.25">
      <c r="A698" s="28">
        <v>1121943</v>
      </c>
      <c r="B698" s="26" t="s">
        <v>12686</v>
      </c>
    </row>
    <row r="699" spans="1:2" x14ac:dyDescent="0.25">
      <c r="A699" s="28">
        <v>1121946</v>
      </c>
      <c r="B699" s="26" t="s">
        <v>12687</v>
      </c>
    </row>
    <row r="700" spans="1:2" x14ac:dyDescent="0.25">
      <c r="A700" s="28">
        <v>1121947</v>
      </c>
      <c r="B700" s="26" t="s">
        <v>12688</v>
      </c>
    </row>
    <row r="701" spans="1:2" x14ac:dyDescent="0.25">
      <c r="A701" s="28">
        <v>1121948</v>
      </c>
      <c r="B701" s="26" t="s">
        <v>12689</v>
      </c>
    </row>
    <row r="702" spans="1:2" x14ac:dyDescent="0.25">
      <c r="A702" s="28">
        <v>1121949</v>
      </c>
      <c r="B702" s="26" t="s">
        <v>12690</v>
      </c>
    </row>
    <row r="703" spans="1:2" x14ac:dyDescent="0.25">
      <c r="A703" s="28">
        <v>1121950</v>
      </c>
      <c r="B703" s="26" t="s">
        <v>12691</v>
      </c>
    </row>
    <row r="704" spans="1:2" x14ac:dyDescent="0.25">
      <c r="A704" s="28">
        <v>1121952</v>
      </c>
      <c r="B704" s="26" t="s">
        <v>12692</v>
      </c>
    </row>
    <row r="705" spans="1:2" x14ac:dyDescent="0.25">
      <c r="A705" s="28">
        <v>1121953</v>
      </c>
      <c r="B705" s="26" t="s">
        <v>12693</v>
      </c>
    </row>
    <row r="706" spans="1:2" x14ac:dyDescent="0.25">
      <c r="A706" s="28">
        <v>1121954</v>
      </c>
      <c r="B706" s="26" t="s">
        <v>12694</v>
      </c>
    </row>
    <row r="707" spans="1:2" x14ac:dyDescent="0.25">
      <c r="A707" s="28">
        <v>1121977</v>
      </c>
      <c r="B707" s="26" t="s">
        <v>12695</v>
      </c>
    </row>
    <row r="708" spans="1:2" x14ac:dyDescent="0.25">
      <c r="A708" s="28">
        <v>1121978</v>
      </c>
      <c r="B708" s="26" t="s">
        <v>12696</v>
      </c>
    </row>
    <row r="709" spans="1:2" x14ac:dyDescent="0.25">
      <c r="A709" s="28">
        <v>1121979</v>
      </c>
      <c r="B709" s="26" t="s">
        <v>12697</v>
      </c>
    </row>
    <row r="710" spans="1:2" x14ac:dyDescent="0.25">
      <c r="A710" s="28">
        <v>1121980</v>
      </c>
      <c r="B710" s="26" t="s">
        <v>12698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12699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12700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12701</v>
      </c>
      <c r="B741" s="26" t="s">
        <v>12702</v>
      </c>
    </row>
    <row r="742" spans="1:2" x14ac:dyDescent="0.25">
      <c r="A742" s="26" t="s">
        <v>12703</v>
      </c>
      <c r="B742" s="27"/>
    </row>
    <row r="743" spans="1:2" x14ac:dyDescent="0.25">
      <c r="A743" s="26" t="s">
        <v>12704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12705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12706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12707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12708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12709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12710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12711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12712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12713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12714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12715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13200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12716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12717</v>
      </c>
      <c r="B775" s="26" t="s">
        <v>12718</v>
      </c>
    </row>
    <row r="776" spans="1:2" x14ac:dyDescent="0.25">
      <c r="A776" s="26" t="s">
        <v>12719</v>
      </c>
      <c r="B776" s="27"/>
    </row>
    <row r="777" spans="1:2" x14ac:dyDescent="0.25">
      <c r="A777" s="28">
        <v>2</v>
      </c>
      <c r="B777" s="26" t="s">
        <v>12720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12721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12722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12723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12724</v>
      </c>
    </row>
    <row r="818" spans="1:2" x14ac:dyDescent="0.25">
      <c r="A818" s="28">
        <v>2101121</v>
      </c>
      <c r="B818" s="26" t="s">
        <v>12725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12726</v>
      </c>
    </row>
    <row r="856" spans="1:2" x14ac:dyDescent="0.25">
      <c r="A856" s="28">
        <v>2101533</v>
      </c>
      <c r="B856" s="26" t="s">
        <v>12727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12728</v>
      </c>
    </row>
    <row r="897" spans="1:2" x14ac:dyDescent="0.25">
      <c r="A897" s="28">
        <v>2101761</v>
      </c>
      <c r="B897" s="26" t="s">
        <v>12729</v>
      </c>
    </row>
    <row r="898" spans="1:2" x14ac:dyDescent="0.25">
      <c r="A898" s="28">
        <v>2101770</v>
      </c>
      <c r="B898" s="26" t="s">
        <v>12730</v>
      </c>
    </row>
    <row r="899" spans="1:2" x14ac:dyDescent="0.25">
      <c r="A899" s="28">
        <v>2101771</v>
      </c>
      <c r="B899" s="26" t="s">
        <v>12731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12732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12733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12734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12735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12736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12737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13201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12738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12739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12740</v>
      </c>
      <c r="B1109" s="27"/>
    </row>
    <row r="1110" spans="1:2" x14ac:dyDescent="0.25">
      <c r="A1110" s="28">
        <v>3</v>
      </c>
      <c r="B1110" s="26" t="s">
        <v>12741</v>
      </c>
    </row>
    <row r="1111" spans="1:2" x14ac:dyDescent="0.25">
      <c r="A1111" s="26" t="s">
        <v>12742</v>
      </c>
      <c r="B1111" s="26" t="s">
        <v>12743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12744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12745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12746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12747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12748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12749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12750</v>
      </c>
      <c r="B1257" s="26" t="s">
        <v>12751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13202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13203</v>
      </c>
    </row>
    <row r="1267" spans="1:2" x14ac:dyDescent="0.25">
      <c r="A1267" s="28">
        <v>4120216</v>
      </c>
      <c r="B1267" s="26" t="s">
        <v>13204</v>
      </c>
    </row>
    <row r="1268" spans="1:2" x14ac:dyDescent="0.25">
      <c r="A1268" s="28">
        <v>4120217</v>
      </c>
      <c r="B1268" s="26" t="s">
        <v>13205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12752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12753</v>
      </c>
      <c r="B1441" s="27"/>
    </row>
    <row r="1442" spans="1:2" x14ac:dyDescent="0.25">
      <c r="A1442" s="28">
        <v>5</v>
      </c>
      <c r="B1442" s="26" t="s">
        <v>12754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12755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13206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13207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12756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12757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12758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13208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12759</v>
      </c>
    </row>
    <row r="1918" spans="1:2" x14ac:dyDescent="0.25">
      <c r="A1918" s="28">
        <v>7703051</v>
      </c>
      <c r="B1918" s="26" t="s">
        <v>12760</v>
      </c>
    </row>
    <row r="1919" spans="1:2" x14ac:dyDescent="0.25">
      <c r="A1919" s="28">
        <v>7703052</v>
      </c>
      <c r="B1919" s="26" t="s">
        <v>12761</v>
      </c>
    </row>
    <row r="1920" spans="1:2" x14ac:dyDescent="0.25">
      <c r="A1920" s="28">
        <v>7703053</v>
      </c>
      <c r="B1920" s="26" t="s">
        <v>12762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12763</v>
      </c>
    </row>
    <row r="1923" spans="1:2" x14ac:dyDescent="0.25">
      <c r="A1923" s="28">
        <v>7703057</v>
      </c>
      <c r="B1923" s="26" t="s">
        <v>12764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12765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12766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13209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12767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12768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13194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13210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12769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12770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12771</v>
      </c>
    </row>
    <row r="2182" spans="1:2" x14ac:dyDescent="0.25">
      <c r="A2182" s="28">
        <v>7707599</v>
      </c>
      <c r="B2182" s="26" t="s">
        <v>12772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12773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13211</v>
      </c>
    </row>
    <row r="2199" spans="1:2" x14ac:dyDescent="0.25">
      <c r="A2199" s="28">
        <v>7707728</v>
      </c>
      <c r="B2199" s="26" t="s">
        <v>13212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12774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12775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12776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12777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12778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12779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12780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12781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12782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12783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12784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12785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13213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12786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12787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12788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12789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12790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12791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12792</v>
      </c>
    </row>
    <row r="2563" spans="1:2" x14ac:dyDescent="0.25">
      <c r="A2563" s="28">
        <v>7710012</v>
      </c>
      <c r="B2563" s="26" t="s">
        <v>12793</v>
      </c>
    </row>
    <row r="2564" spans="1:2" x14ac:dyDescent="0.25">
      <c r="A2564" s="28">
        <v>7710013</v>
      </c>
      <c r="B2564" s="26" t="s">
        <v>12794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12795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12796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13214</v>
      </c>
    </row>
    <row r="2626" spans="1:2" x14ac:dyDescent="0.25">
      <c r="A2626" s="28">
        <v>8205038</v>
      </c>
      <c r="B2626" s="26" t="s">
        <v>13215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12797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12798</v>
      </c>
    </row>
    <row r="2647" spans="1:2" x14ac:dyDescent="0.25">
      <c r="A2647" s="28">
        <v>8205210</v>
      </c>
      <c r="B2647" s="26" t="s">
        <v>12799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13216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12800</v>
      </c>
    </row>
    <row r="2717" spans="1:2" x14ac:dyDescent="0.25">
      <c r="A2717" s="28">
        <v>8303223</v>
      </c>
      <c r="B2717" s="26" t="s">
        <v>12801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12802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13217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13218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12803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12804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12805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13219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12806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12807</v>
      </c>
    </row>
    <row r="3180" spans="1:2" x14ac:dyDescent="0.25">
      <c r="A3180" s="28">
        <v>8505591</v>
      </c>
      <c r="B3180" s="26" t="s">
        <v>12808</v>
      </c>
    </row>
    <row r="3181" spans="1:2" x14ac:dyDescent="0.25">
      <c r="A3181" s="28">
        <v>8505592</v>
      </c>
      <c r="B3181" s="26" t="s">
        <v>13195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13220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13221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12809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13222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13223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12810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12811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12812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13224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13225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13226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13227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12813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12814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12815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12816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12817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13228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12818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12819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12820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12821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12822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12823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12824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12825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12826</v>
      </c>
      <c r="B4264" s="27"/>
    </row>
    <row r="4265" spans="1:2" x14ac:dyDescent="0.25">
      <c r="A4265" s="26" t="s">
        <v>12827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12828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12829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12830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12831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12832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12833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12834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12835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12836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12837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12838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12839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12840</v>
      </c>
      <c r="B4296" s="27"/>
    </row>
    <row r="4297" spans="1:2" x14ac:dyDescent="0.25">
      <c r="A4297" s="28">
        <v>999</v>
      </c>
      <c r="B4297" s="26" t="s">
        <v>12841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12842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12843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12844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12845</v>
      </c>
      <c r="B4307" s="27"/>
    </row>
    <row r="4308" spans="1:2" x14ac:dyDescent="0.25">
      <c r="A4308" s="26" t="s">
        <v>12846</v>
      </c>
      <c r="B4308" s="26" t="s">
        <v>12847</v>
      </c>
    </row>
    <row r="4309" spans="1:2" x14ac:dyDescent="0.25">
      <c r="A4309" s="26" t="s">
        <v>12848</v>
      </c>
      <c r="B4309" s="26" t="s">
        <v>12849</v>
      </c>
    </row>
    <row r="4310" spans="1:2" x14ac:dyDescent="0.25">
      <c r="A4310" s="26" t="s">
        <v>12850</v>
      </c>
      <c r="B4310" s="26" t="s">
        <v>12851</v>
      </c>
    </row>
    <row r="4311" spans="1:2" x14ac:dyDescent="0.25">
      <c r="A4311" s="26" t="s">
        <v>12852</v>
      </c>
      <c r="B4311" s="26" t="s">
        <v>12853</v>
      </c>
    </row>
    <row r="4312" spans="1:2" x14ac:dyDescent="0.25">
      <c r="A4312" s="26" t="s">
        <v>12854</v>
      </c>
      <c r="B4312" s="26" t="s">
        <v>12855</v>
      </c>
    </row>
    <row r="4313" spans="1:2" x14ac:dyDescent="0.25">
      <c r="A4313" s="26" t="s">
        <v>12856</v>
      </c>
      <c r="B4313" s="26" t="s">
        <v>12857</v>
      </c>
    </row>
    <row r="4314" spans="1:2" x14ac:dyDescent="0.25">
      <c r="A4314" s="26" t="s">
        <v>12858</v>
      </c>
      <c r="B4314" s="26" t="s">
        <v>12859</v>
      </c>
    </row>
    <row r="4315" spans="1:2" x14ac:dyDescent="0.25">
      <c r="A4315" s="26" t="s">
        <v>12860</v>
      </c>
      <c r="B4315" s="26" t="s">
        <v>12861</v>
      </c>
    </row>
    <row r="4316" spans="1:2" x14ac:dyDescent="0.25">
      <c r="A4316" s="26" t="s">
        <v>12862</v>
      </c>
      <c r="B4316" s="26" t="s">
        <v>12863</v>
      </c>
    </row>
    <row r="4317" spans="1:2" x14ac:dyDescent="0.25">
      <c r="A4317" s="26" t="s">
        <v>12864</v>
      </c>
      <c r="B4317" s="26" t="s">
        <v>12865</v>
      </c>
    </row>
    <row r="4318" spans="1:2" x14ac:dyDescent="0.25">
      <c r="A4318" s="26" t="s">
        <v>12866</v>
      </c>
      <c r="B4318" s="26" t="s">
        <v>12867</v>
      </c>
    </row>
    <row r="4319" spans="1:2" x14ac:dyDescent="0.25">
      <c r="A4319" s="26" t="s">
        <v>12868</v>
      </c>
      <c r="B4319" s="26" t="s">
        <v>12869</v>
      </c>
    </row>
    <row r="4320" spans="1:2" x14ac:dyDescent="0.25">
      <c r="A4320" s="26" t="s">
        <v>12870</v>
      </c>
      <c r="B4320" s="26" t="s">
        <v>12871</v>
      </c>
    </row>
    <row r="4321" spans="1:2" x14ac:dyDescent="0.25">
      <c r="A4321" s="26" t="s">
        <v>12872</v>
      </c>
      <c r="B4321" s="26" t="s">
        <v>12873</v>
      </c>
    </row>
    <row r="4322" spans="1:2" x14ac:dyDescent="0.25">
      <c r="A4322" s="26" t="s">
        <v>12874</v>
      </c>
      <c r="B4322" s="26" t="s">
        <v>12875</v>
      </c>
    </row>
    <row r="4323" spans="1:2" x14ac:dyDescent="0.25">
      <c r="A4323" s="26" t="s">
        <v>12876</v>
      </c>
      <c r="B4323" s="26" t="s">
        <v>12877</v>
      </c>
    </row>
    <row r="4324" spans="1:2" x14ac:dyDescent="0.25">
      <c r="A4324" s="26" t="s">
        <v>12878</v>
      </c>
      <c r="B4324" s="26" t="s">
        <v>12879</v>
      </c>
    </row>
    <row r="4325" spans="1:2" x14ac:dyDescent="0.25">
      <c r="A4325" s="26" t="s">
        <v>12880</v>
      </c>
      <c r="B4325" s="26" t="s">
        <v>12881</v>
      </c>
    </row>
    <row r="4326" spans="1:2" x14ac:dyDescent="0.25">
      <c r="A4326" s="26" t="s">
        <v>12882</v>
      </c>
      <c r="B4326" s="26" t="s">
        <v>12883</v>
      </c>
    </row>
    <row r="4327" spans="1:2" x14ac:dyDescent="0.25">
      <c r="A4327" s="26" t="s">
        <v>12884</v>
      </c>
      <c r="B4327" s="26" t="s">
        <v>12885</v>
      </c>
    </row>
    <row r="4328" spans="1:2" x14ac:dyDescent="0.25">
      <c r="A4328" s="26" t="s">
        <v>12886</v>
      </c>
      <c r="B4328" s="26" t="s">
        <v>12887</v>
      </c>
    </row>
    <row r="4329" spans="1:2" x14ac:dyDescent="0.25">
      <c r="A4329" s="26" t="s">
        <v>12888</v>
      </c>
      <c r="B4329" s="26" t="s">
        <v>12889</v>
      </c>
    </row>
    <row r="4330" spans="1:2" x14ac:dyDescent="0.25">
      <c r="A4330" s="26" t="s">
        <v>12890</v>
      </c>
      <c r="B4330" s="26" t="s">
        <v>12891</v>
      </c>
    </row>
    <row r="4331" spans="1:2" x14ac:dyDescent="0.25">
      <c r="A4331" s="26" t="s">
        <v>12892</v>
      </c>
      <c r="B4331" s="26" t="s">
        <v>12893</v>
      </c>
    </row>
    <row r="4332" spans="1:2" x14ac:dyDescent="0.25">
      <c r="A4332" s="26" t="s">
        <v>12894</v>
      </c>
      <c r="B4332" s="26" t="s">
        <v>12895</v>
      </c>
    </row>
    <row r="4333" spans="1:2" x14ac:dyDescent="0.25">
      <c r="A4333" s="26" t="s">
        <v>12896</v>
      </c>
      <c r="B4333" s="26" t="s">
        <v>12897</v>
      </c>
    </row>
    <row r="4334" spans="1:2" x14ac:dyDescent="0.25">
      <c r="A4334" s="26" t="s">
        <v>12898</v>
      </c>
      <c r="B4334" s="26" t="s">
        <v>12899</v>
      </c>
    </row>
    <row r="4335" spans="1:2" x14ac:dyDescent="0.25">
      <c r="A4335" s="26" t="s">
        <v>12900</v>
      </c>
      <c r="B4335" s="26" t="s">
        <v>12901</v>
      </c>
    </row>
    <row r="4336" spans="1:2" x14ac:dyDescent="0.25">
      <c r="A4336" s="26" t="s">
        <v>12902</v>
      </c>
      <c r="B4336" s="26" t="s">
        <v>12903</v>
      </c>
    </row>
    <row r="4337" spans="1:2" x14ac:dyDescent="0.25">
      <c r="A4337" s="26" t="s">
        <v>12904</v>
      </c>
      <c r="B4337" s="26" t="s">
        <v>12905</v>
      </c>
    </row>
    <row r="4338" spans="1:2" x14ac:dyDescent="0.25">
      <c r="A4338" s="26" t="s">
        <v>12906</v>
      </c>
      <c r="B4338" s="26" t="s">
        <v>12907</v>
      </c>
    </row>
    <row r="4339" spans="1:2" x14ac:dyDescent="0.25">
      <c r="A4339" s="26" t="s">
        <v>12908</v>
      </c>
      <c r="B4339" s="26" t="s">
        <v>12909</v>
      </c>
    </row>
    <row r="4340" spans="1:2" x14ac:dyDescent="0.25">
      <c r="A4340" s="26" t="s">
        <v>12910</v>
      </c>
      <c r="B4340" s="26" t="s">
        <v>12911</v>
      </c>
    </row>
    <row r="4341" spans="1:2" x14ac:dyDescent="0.25">
      <c r="A4341" s="26" t="s">
        <v>12912</v>
      </c>
      <c r="B4341" s="26" t="s">
        <v>12913</v>
      </c>
    </row>
    <row r="4342" spans="1:2" x14ac:dyDescent="0.25">
      <c r="A4342" s="26" t="s">
        <v>12914</v>
      </c>
      <c r="B4342" s="27"/>
    </row>
    <row r="4343" spans="1:2" x14ac:dyDescent="0.25">
      <c r="A4343" s="26" t="s">
        <v>12915</v>
      </c>
      <c r="B4343" s="26" t="s">
        <v>12916</v>
      </c>
    </row>
    <row r="4344" spans="1:2" x14ac:dyDescent="0.25">
      <c r="A4344" s="26" t="s">
        <v>12917</v>
      </c>
      <c r="B4344" s="26" t="s">
        <v>12918</v>
      </c>
    </row>
    <row r="4345" spans="1:2" x14ac:dyDescent="0.25">
      <c r="A4345" s="26" t="s">
        <v>12919</v>
      </c>
      <c r="B4345" s="26" t="s">
        <v>12920</v>
      </c>
    </row>
    <row r="4346" spans="1:2" x14ac:dyDescent="0.25">
      <c r="A4346" s="26" t="s">
        <v>12921</v>
      </c>
      <c r="B4346" s="26" t="s">
        <v>12922</v>
      </c>
    </row>
    <row r="4347" spans="1:2" x14ac:dyDescent="0.25">
      <c r="A4347" s="26" t="s">
        <v>12923</v>
      </c>
      <c r="B4347" s="26" t="s">
        <v>12924</v>
      </c>
    </row>
    <row r="4348" spans="1:2" x14ac:dyDescent="0.25">
      <c r="A4348" s="26" t="s">
        <v>12925</v>
      </c>
      <c r="B4348" s="26" t="s">
        <v>12926</v>
      </c>
    </row>
    <row r="4349" spans="1:2" x14ac:dyDescent="0.25">
      <c r="A4349" s="26" t="s">
        <v>12927</v>
      </c>
      <c r="B4349" s="26" t="s">
        <v>12928</v>
      </c>
    </row>
    <row r="4350" spans="1:2" x14ac:dyDescent="0.25">
      <c r="A4350" s="26" t="s">
        <v>12929</v>
      </c>
      <c r="B4350" s="26" t="s">
        <v>12930</v>
      </c>
    </row>
    <row r="4351" spans="1:2" x14ac:dyDescent="0.25">
      <c r="A4351" s="26" t="s">
        <v>12931</v>
      </c>
      <c r="B4351" s="26" t="s">
        <v>12932</v>
      </c>
    </row>
    <row r="4352" spans="1:2" x14ac:dyDescent="0.25">
      <c r="A4352" s="26" t="s">
        <v>12933</v>
      </c>
      <c r="B4352" s="26" t="s">
        <v>12934</v>
      </c>
    </row>
    <row r="4353" spans="1:2" x14ac:dyDescent="0.25">
      <c r="A4353" s="26" t="s">
        <v>12935</v>
      </c>
      <c r="B4353" s="26" t="s">
        <v>12936</v>
      </c>
    </row>
    <row r="4354" spans="1:2" x14ac:dyDescent="0.25">
      <c r="A4354" s="26" t="s">
        <v>12937</v>
      </c>
      <c r="B4354" s="26" t="s">
        <v>12938</v>
      </c>
    </row>
    <row r="4355" spans="1:2" x14ac:dyDescent="0.25">
      <c r="A4355" s="26" t="s">
        <v>12939</v>
      </c>
      <c r="B4355" s="26" t="s">
        <v>12940</v>
      </c>
    </row>
    <row r="4356" spans="1:2" x14ac:dyDescent="0.25">
      <c r="A4356" s="26" t="s">
        <v>12941</v>
      </c>
      <c r="B4356" s="26" t="s">
        <v>12942</v>
      </c>
    </row>
    <row r="4357" spans="1:2" x14ac:dyDescent="0.25">
      <c r="A4357" s="26" t="s">
        <v>12943</v>
      </c>
      <c r="B4357" s="26" t="s">
        <v>12944</v>
      </c>
    </row>
    <row r="4358" spans="1:2" x14ac:dyDescent="0.25">
      <c r="A4358" s="26" t="s">
        <v>12945</v>
      </c>
      <c r="B4358" s="26" t="s">
        <v>12946</v>
      </c>
    </row>
    <row r="4359" spans="1:2" x14ac:dyDescent="0.25">
      <c r="A4359" s="26" t="s">
        <v>12947</v>
      </c>
      <c r="B4359" s="26" t="s">
        <v>12946</v>
      </c>
    </row>
    <row r="4360" spans="1:2" x14ac:dyDescent="0.25">
      <c r="A4360" s="26" t="s">
        <v>12948</v>
      </c>
      <c r="B4360" s="26" t="s">
        <v>12949</v>
      </c>
    </row>
    <row r="4361" spans="1:2" x14ac:dyDescent="0.25">
      <c r="A4361" s="26" t="s">
        <v>12950</v>
      </c>
      <c r="B4361" s="26" t="s">
        <v>12951</v>
      </c>
    </row>
    <row r="4362" spans="1:2" x14ac:dyDescent="0.25">
      <c r="A4362" s="26" t="s">
        <v>12952</v>
      </c>
      <c r="B4362" s="26" t="s">
        <v>12953</v>
      </c>
    </row>
    <row r="4363" spans="1:2" x14ac:dyDescent="0.25">
      <c r="A4363" s="26" t="s">
        <v>12954</v>
      </c>
      <c r="B4363" s="26" t="s">
        <v>12955</v>
      </c>
    </row>
    <row r="4364" spans="1:2" x14ac:dyDescent="0.25">
      <c r="A4364" s="26" t="s">
        <v>12956</v>
      </c>
      <c r="B4364" s="26" t="s">
        <v>12957</v>
      </c>
    </row>
    <row r="4365" spans="1:2" x14ac:dyDescent="0.25">
      <c r="A4365" s="26" t="s">
        <v>12958</v>
      </c>
      <c r="B4365" s="26" t="s">
        <v>12959</v>
      </c>
    </row>
    <row r="4366" spans="1:2" x14ac:dyDescent="0.25">
      <c r="A4366" s="26" t="s">
        <v>12960</v>
      </c>
      <c r="B4366" s="26" t="s">
        <v>12961</v>
      </c>
    </row>
    <row r="4367" spans="1:2" x14ac:dyDescent="0.25">
      <c r="A4367" s="26" t="s">
        <v>12962</v>
      </c>
      <c r="B4367" s="26" t="s">
        <v>12963</v>
      </c>
    </row>
    <row r="4368" spans="1:2" x14ac:dyDescent="0.25">
      <c r="A4368" s="26" t="s">
        <v>12964</v>
      </c>
      <c r="B4368" s="26" t="s">
        <v>12965</v>
      </c>
    </row>
    <row r="4369" spans="1:2" x14ac:dyDescent="0.25">
      <c r="A4369" s="26" t="s">
        <v>12966</v>
      </c>
      <c r="B4369" s="26" t="s">
        <v>12967</v>
      </c>
    </row>
    <row r="4370" spans="1:2" x14ac:dyDescent="0.25">
      <c r="A4370" s="26" t="s">
        <v>12968</v>
      </c>
      <c r="B4370" s="26" t="s">
        <v>12969</v>
      </c>
    </row>
    <row r="4371" spans="1:2" x14ac:dyDescent="0.25">
      <c r="A4371" s="26" t="s">
        <v>12970</v>
      </c>
      <c r="B4371" s="26" t="s">
        <v>12971</v>
      </c>
    </row>
    <row r="4372" spans="1:2" x14ac:dyDescent="0.25">
      <c r="A4372" s="26" t="s">
        <v>12972</v>
      </c>
      <c r="B4372" s="26" t="s">
        <v>12973</v>
      </c>
    </row>
    <row r="4373" spans="1:2" x14ac:dyDescent="0.25">
      <c r="A4373" s="26" t="s">
        <v>12974</v>
      </c>
      <c r="B4373" s="26" t="s">
        <v>12975</v>
      </c>
    </row>
    <row r="4374" spans="1:2" x14ac:dyDescent="0.25">
      <c r="A4374" s="26" t="s">
        <v>12976</v>
      </c>
      <c r="B4374" s="26" t="s">
        <v>12977</v>
      </c>
    </row>
    <row r="4375" spans="1:2" x14ac:dyDescent="0.25">
      <c r="A4375" s="26" t="s">
        <v>12978</v>
      </c>
      <c r="B4375" s="26" t="s">
        <v>12979</v>
      </c>
    </row>
    <row r="4376" spans="1:2" x14ac:dyDescent="0.25">
      <c r="A4376" s="26" t="s">
        <v>12980</v>
      </c>
      <c r="B4376" s="26" t="s">
        <v>12981</v>
      </c>
    </row>
    <row r="4377" spans="1:2" x14ac:dyDescent="0.25">
      <c r="A4377" s="26" t="s">
        <v>12982</v>
      </c>
      <c r="B4377" s="26" t="s">
        <v>12983</v>
      </c>
    </row>
    <row r="4378" spans="1:2" x14ac:dyDescent="0.25">
      <c r="A4378" s="26" t="s">
        <v>12984</v>
      </c>
      <c r="B4378" s="26" t="s">
        <v>12983</v>
      </c>
    </row>
    <row r="4379" spans="1:2" x14ac:dyDescent="0.25">
      <c r="A4379" s="26" t="s">
        <v>12985</v>
      </c>
      <c r="B4379" s="26" t="s">
        <v>12986</v>
      </c>
    </row>
    <row r="4380" spans="1:2" x14ac:dyDescent="0.25">
      <c r="A4380" s="26" t="s">
        <v>12987</v>
      </c>
      <c r="B4380" s="26" t="s">
        <v>12988</v>
      </c>
    </row>
    <row r="4381" spans="1:2" x14ac:dyDescent="0.25">
      <c r="A4381" s="26" t="s">
        <v>12989</v>
      </c>
      <c r="B4381" s="26" t="s">
        <v>12990</v>
      </c>
    </row>
    <row r="4382" spans="1:2" x14ac:dyDescent="0.25">
      <c r="A4382" s="26" t="s">
        <v>12991</v>
      </c>
      <c r="B4382" s="26" t="s">
        <v>12992</v>
      </c>
    </row>
    <row r="4383" spans="1:2" x14ac:dyDescent="0.25">
      <c r="A4383" s="26" t="s">
        <v>13229</v>
      </c>
      <c r="B4383" s="27"/>
    </row>
    <row r="4384" spans="1:2" x14ac:dyDescent="0.25">
      <c r="A4384" s="26" t="s">
        <v>12993</v>
      </c>
      <c r="B4384" s="26" t="s">
        <v>12993</v>
      </c>
    </row>
    <row r="4385" spans="1:2" x14ac:dyDescent="0.25">
      <c r="A4385" s="26" t="s">
        <v>12994</v>
      </c>
      <c r="B4385" s="26" t="s">
        <v>12995</v>
      </c>
    </row>
    <row r="4386" spans="1:2" x14ac:dyDescent="0.25">
      <c r="A4386" s="26" t="s">
        <v>12996</v>
      </c>
      <c r="B4386" s="26" t="s">
        <v>12997</v>
      </c>
    </row>
    <row r="4387" spans="1:2" x14ac:dyDescent="0.25">
      <c r="A4387" s="26" t="s">
        <v>12998</v>
      </c>
      <c r="B4387" s="26" t="s">
        <v>12999</v>
      </c>
    </row>
    <row r="4388" spans="1:2" x14ac:dyDescent="0.25">
      <c r="A4388" s="26" t="s">
        <v>13000</v>
      </c>
      <c r="B4388" s="26" t="s">
        <v>13001</v>
      </c>
    </row>
    <row r="4389" spans="1:2" x14ac:dyDescent="0.25">
      <c r="A4389" s="26" t="s">
        <v>13002</v>
      </c>
      <c r="B4389" s="26" t="s">
        <v>13003</v>
      </c>
    </row>
    <row r="4390" spans="1:2" x14ac:dyDescent="0.25">
      <c r="A4390" s="26" t="s">
        <v>13004</v>
      </c>
      <c r="B4390" s="26" t="s">
        <v>13005</v>
      </c>
    </row>
    <row r="4391" spans="1:2" x14ac:dyDescent="0.25">
      <c r="A4391" s="26" t="s">
        <v>13006</v>
      </c>
      <c r="B4391" s="26" t="s">
        <v>13007</v>
      </c>
    </row>
    <row r="4392" spans="1:2" x14ac:dyDescent="0.25">
      <c r="A4392" s="26" t="s">
        <v>13008</v>
      </c>
      <c r="B4392" s="26" t="s">
        <v>13009</v>
      </c>
    </row>
    <row r="4393" spans="1:2" x14ac:dyDescent="0.25">
      <c r="A4393" s="26" t="s">
        <v>13010</v>
      </c>
      <c r="B4393" s="26" t="s">
        <v>13011</v>
      </c>
    </row>
    <row r="4394" spans="1:2" x14ac:dyDescent="0.25">
      <c r="A4394" s="26" t="s">
        <v>13012</v>
      </c>
      <c r="B4394" s="26" t="s">
        <v>13013</v>
      </c>
    </row>
    <row r="4395" spans="1:2" x14ac:dyDescent="0.25">
      <c r="A4395" s="26" t="s">
        <v>13014</v>
      </c>
      <c r="B4395" s="26" t="s">
        <v>13015</v>
      </c>
    </row>
    <row r="4396" spans="1:2" x14ac:dyDescent="0.25">
      <c r="A4396" s="26" t="s">
        <v>13016</v>
      </c>
      <c r="B4396" s="26" t="s">
        <v>13017</v>
      </c>
    </row>
    <row r="4397" spans="1:2" x14ac:dyDescent="0.25">
      <c r="A4397" s="26" t="s">
        <v>13018</v>
      </c>
      <c r="B4397" s="26" t="s">
        <v>13019</v>
      </c>
    </row>
    <row r="4398" spans="1:2" x14ac:dyDescent="0.25">
      <c r="A4398" s="26" t="s">
        <v>13020</v>
      </c>
      <c r="B4398" s="26" t="s">
        <v>13021</v>
      </c>
    </row>
    <row r="4399" spans="1:2" x14ac:dyDescent="0.25">
      <c r="A4399" s="26" t="s">
        <v>13022</v>
      </c>
      <c r="B4399" s="26" t="s">
        <v>13023</v>
      </c>
    </row>
    <row r="4400" spans="1:2" x14ac:dyDescent="0.25">
      <c r="A4400" s="26" t="s">
        <v>13024</v>
      </c>
      <c r="B4400" s="26" t="s">
        <v>13025</v>
      </c>
    </row>
    <row r="4401" spans="1:2" x14ac:dyDescent="0.25">
      <c r="A4401" s="26" t="s">
        <v>13026</v>
      </c>
      <c r="B4401" s="26" t="s">
        <v>13027</v>
      </c>
    </row>
    <row r="4402" spans="1:2" x14ac:dyDescent="0.25">
      <c r="A4402" s="26" t="s">
        <v>13028</v>
      </c>
      <c r="B4402" s="26" t="s">
        <v>13029</v>
      </c>
    </row>
    <row r="4403" spans="1:2" x14ac:dyDescent="0.25">
      <c r="A4403" s="26" t="s">
        <v>13030</v>
      </c>
      <c r="B4403" s="26" t="s">
        <v>13031</v>
      </c>
    </row>
    <row r="4404" spans="1:2" x14ac:dyDescent="0.25">
      <c r="A4404" s="26" t="s">
        <v>13032</v>
      </c>
      <c r="B4404" s="26" t="s">
        <v>13031</v>
      </c>
    </row>
    <row r="4405" spans="1:2" x14ac:dyDescent="0.25">
      <c r="A4405" s="26" t="s">
        <v>13033</v>
      </c>
      <c r="B4405" s="26" t="s">
        <v>13034</v>
      </c>
    </row>
    <row r="4406" spans="1:2" x14ac:dyDescent="0.25">
      <c r="A4406" s="26" t="s">
        <v>13035</v>
      </c>
      <c r="B4406" s="26" t="s">
        <v>13036</v>
      </c>
    </row>
    <row r="4407" spans="1:2" x14ac:dyDescent="0.25">
      <c r="A4407" s="26" t="s">
        <v>13037</v>
      </c>
      <c r="B4407" s="26" t="s">
        <v>13038</v>
      </c>
    </row>
    <row r="4408" spans="1:2" x14ac:dyDescent="0.25">
      <c r="A4408" s="26" t="s">
        <v>13039</v>
      </c>
      <c r="B4408" s="26" t="s">
        <v>13040</v>
      </c>
    </row>
    <row r="4409" spans="1:2" x14ac:dyDescent="0.25">
      <c r="A4409" s="26" t="s">
        <v>13041</v>
      </c>
      <c r="B4409" s="26" t="s">
        <v>13042</v>
      </c>
    </row>
    <row r="4410" spans="1:2" x14ac:dyDescent="0.25">
      <c r="A4410" s="26" t="s">
        <v>13043</v>
      </c>
      <c r="B4410" s="26" t="s">
        <v>13044</v>
      </c>
    </row>
    <row r="4411" spans="1:2" x14ac:dyDescent="0.25">
      <c r="A4411" s="26" t="s">
        <v>13045</v>
      </c>
      <c r="B4411" s="26" t="s">
        <v>13046</v>
      </c>
    </row>
    <row r="4412" spans="1:2" x14ac:dyDescent="0.25">
      <c r="A4412" s="26" t="s">
        <v>13047</v>
      </c>
      <c r="B4412" s="26" t="s">
        <v>13048</v>
      </c>
    </row>
    <row r="4413" spans="1:2" x14ac:dyDescent="0.25">
      <c r="A4413" s="26" t="s">
        <v>13049</v>
      </c>
      <c r="B4413" s="26" t="s">
        <v>13050</v>
      </c>
    </row>
    <row r="4414" spans="1:2" x14ac:dyDescent="0.25">
      <c r="A4414" s="26" t="s">
        <v>13051</v>
      </c>
      <c r="B4414" s="26" t="s">
        <v>13052</v>
      </c>
    </row>
    <row r="4415" spans="1:2" x14ac:dyDescent="0.25">
      <c r="A4415" s="26" t="s">
        <v>13053</v>
      </c>
      <c r="B4415" s="26" t="s">
        <v>13054</v>
      </c>
    </row>
    <row r="4416" spans="1:2" x14ac:dyDescent="0.25">
      <c r="A4416" s="26" t="s">
        <v>13055</v>
      </c>
      <c r="B4416" s="26" t="s">
        <v>13056</v>
      </c>
    </row>
    <row r="4417" spans="1:2" x14ac:dyDescent="0.25">
      <c r="A4417" s="26" t="s">
        <v>13057</v>
      </c>
      <c r="B4417" s="26" t="s">
        <v>12916</v>
      </c>
    </row>
    <row r="4418" spans="1:2" x14ac:dyDescent="0.25">
      <c r="A4418" s="26" t="s">
        <v>13058</v>
      </c>
      <c r="B4418" s="26" t="s">
        <v>13059</v>
      </c>
    </row>
    <row r="4419" spans="1:2" x14ac:dyDescent="0.25">
      <c r="A4419" s="26" t="s">
        <v>13060</v>
      </c>
      <c r="B4419" s="26" t="s">
        <v>13061</v>
      </c>
    </row>
    <row r="4420" spans="1:2" x14ac:dyDescent="0.25">
      <c r="A4420" s="26" t="s">
        <v>13062</v>
      </c>
      <c r="B4420" s="26" t="s">
        <v>13063</v>
      </c>
    </row>
    <row r="4421" spans="1:2" x14ac:dyDescent="0.25">
      <c r="A4421" s="26" t="s">
        <v>13064</v>
      </c>
      <c r="B4421" s="26" t="s">
        <v>13065</v>
      </c>
    </row>
    <row r="4422" spans="1:2" x14ac:dyDescent="0.25">
      <c r="A4422" s="26" t="s">
        <v>13066</v>
      </c>
      <c r="B4422" s="26" t="s">
        <v>13067</v>
      </c>
    </row>
    <row r="4423" spans="1:2" x14ac:dyDescent="0.25">
      <c r="A4423" s="26" t="s">
        <v>13068</v>
      </c>
      <c r="B4423" s="26" t="s">
        <v>13069</v>
      </c>
    </row>
    <row r="4424" spans="1:2" x14ac:dyDescent="0.25">
      <c r="A4424" s="26" t="s">
        <v>13070</v>
      </c>
      <c r="B4424" s="26" t="s">
        <v>13071</v>
      </c>
    </row>
    <row r="4425" spans="1:2" x14ac:dyDescent="0.25">
      <c r="A4425" s="26" t="s">
        <v>13072</v>
      </c>
      <c r="B4425" s="26" t="s">
        <v>13073</v>
      </c>
    </row>
    <row r="4426" spans="1:2" x14ac:dyDescent="0.25">
      <c r="A4426" s="26" t="s">
        <v>13074</v>
      </c>
      <c r="B4426" s="27"/>
    </row>
    <row r="4427" spans="1:2" x14ac:dyDescent="0.25">
      <c r="A4427" s="26" t="s">
        <v>13075</v>
      </c>
      <c r="B4427" s="26" t="s">
        <v>13076</v>
      </c>
    </row>
    <row r="4428" spans="1:2" x14ac:dyDescent="0.25">
      <c r="A4428" s="26" t="s">
        <v>13077</v>
      </c>
      <c r="B4428" s="26" t="s">
        <v>12934</v>
      </c>
    </row>
    <row r="4429" spans="1:2" x14ac:dyDescent="0.25">
      <c r="A4429" s="26" t="s">
        <v>13078</v>
      </c>
      <c r="B4429" s="26" t="s">
        <v>13078</v>
      </c>
    </row>
    <row r="4430" spans="1:2" x14ac:dyDescent="0.25">
      <c r="A4430" s="26" t="s">
        <v>13079</v>
      </c>
      <c r="B4430" s="26" t="s">
        <v>13080</v>
      </c>
    </row>
    <row r="4431" spans="1:2" x14ac:dyDescent="0.25">
      <c r="A4431" s="26" t="s">
        <v>13081</v>
      </c>
      <c r="B4431" s="26" t="s">
        <v>13082</v>
      </c>
    </row>
    <row r="4432" spans="1:2" x14ac:dyDescent="0.25">
      <c r="A4432" s="26" t="s">
        <v>13083</v>
      </c>
      <c r="B4432" s="26" t="s">
        <v>13084</v>
      </c>
    </row>
    <row r="4433" spans="1:2" x14ac:dyDescent="0.25">
      <c r="A4433" s="26" t="s">
        <v>13085</v>
      </c>
      <c r="B4433" s="26" t="s">
        <v>13086</v>
      </c>
    </row>
    <row r="4434" spans="1:2" x14ac:dyDescent="0.25">
      <c r="A4434" s="26" t="s">
        <v>13087</v>
      </c>
      <c r="B4434" s="26" t="s">
        <v>13088</v>
      </c>
    </row>
    <row r="4435" spans="1:2" x14ac:dyDescent="0.25">
      <c r="A4435" s="26" t="s">
        <v>13089</v>
      </c>
      <c r="B4435" s="26" t="s">
        <v>13090</v>
      </c>
    </row>
    <row r="4436" spans="1:2" x14ac:dyDescent="0.25">
      <c r="A4436" s="26" t="s">
        <v>13091</v>
      </c>
      <c r="B4436" s="26" t="s">
        <v>13091</v>
      </c>
    </row>
    <row r="4437" spans="1:2" x14ac:dyDescent="0.25">
      <c r="A4437" s="26" t="s">
        <v>13092</v>
      </c>
      <c r="B4437" s="26" t="s">
        <v>13093</v>
      </c>
    </row>
    <row r="4438" spans="1:2" x14ac:dyDescent="0.25">
      <c r="A4438" s="26" t="s">
        <v>13094</v>
      </c>
      <c r="B4438" s="26" t="s">
        <v>13095</v>
      </c>
    </row>
    <row r="4439" spans="1:2" x14ac:dyDescent="0.25">
      <c r="A4439" s="26" t="s">
        <v>13096</v>
      </c>
      <c r="B4439" s="26" t="s">
        <v>13097</v>
      </c>
    </row>
    <row r="4440" spans="1:2" x14ac:dyDescent="0.25">
      <c r="A4440" s="26" t="s">
        <v>13098</v>
      </c>
      <c r="B4440" s="26" t="s">
        <v>13099</v>
      </c>
    </row>
    <row r="4441" spans="1:2" x14ac:dyDescent="0.25">
      <c r="A4441" s="26" t="s">
        <v>13100</v>
      </c>
      <c r="B4441" s="26" t="s">
        <v>13101</v>
      </c>
    </row>
    <row r="4442" spans="1:2" x14ac:dyDescent="0.25">
      <c r="A4442" s="26" t="s">
        <v>13102</v>
      </c>
      <c r="B4442" s="26" t="s">
        <v>13103</v>
      </c>
    </row>
    <row r="4443" spans="1:2" x14ac:dyDescent="0.25">
      <c r="A4443" s="26" t="s">
        <v>13104</v>
      </c>
      <c r="B4443" s="26" t="s">
        <v>13079</v>
      </c>
    </row>
    <row r="4444" spans="1:2" x14ac:dyDescent="0.25">
      <c r="A4444" s="26" t="s">
        <v>13105</v>
      </c>
      <c r="B4444" s="26" t="s">
        <v>13106</v>
      </c>
    </row>
    <row r="4445" spans="1:2" x14ac:dyDescent="0.25">
      <c r="A4445" s="26" t="s">
        <v>11021</v>
      </c>
      <c r="B4445" s="26" t="s">
        <v>13107</v>
      </c>
    </row>
    <row r="4446" spans="1:2" x14ac:dyDescent="0.25">
      <c r="A4446" s="26" t="s">
        <v>13108</v>
      </c>
      <c r="B4446" s="26" t="s">
        <v>13109</v>
      </c>
    </row>
    <row r="4447" spans="1:2" x14ac:dyDescent="0.25">
      <c r="A4447" s="26" t="s">
        <v>13110</v>
      </c>
      <c r="B4447" s="26" t="s">
        <v>13111</v>
      </c>
    </row>
    <row r="4448" spans="1:2" x14ac:dyDescent="0.25">
      <c r="A4448" s="26" t="s">
        <v>13112</v>
      </c>
      <c r="B4448" s="26" t="s">
        <v>13113</v>
      </c>
    </row>
    <row r="4449" spans="1:2" x14ac:dyDescent="0.25">
      <c r="A4449" s="26" t="s">
        <v>13114</v>
      </c>
      <c r="B4449" s="26" t="s">
        <v>13115</v>
      </c>
    </row>
    <row r="4450" spans="1:2" x14ac:dyDescent="0.25">
      <c r="A4450" s="26" t="s">
        <v>13116</v>
      </c>
      <c r="B4450" s="26" t="s">
        <v>13117</v>
      </c>
    </row>
    <row r="4451" spans="1:2" x14ac:dyDescent="0.25">
      <c r="A4451" s="26" t="s">
        <v>13118</v>
      </c>
      <c r="B4451" s="26" t="s">
        <v>13119</v>
      </c>
    </row>
    <row r="4452" spans="1:2" x14ac:dyDescent="0.25">
      <c r="A4452" s="26" t="s">
        <v>13120</v>
      </c>
      <c r="B4452" s="26" t="s">
        <v>13121</v>
      </c>
    </row>
    <row r="4453" spans="1:2" x14ac:dyDescent="0.25">
      <c r="A4453" s="26" t="s">
        <v>13122</v>
      </c>
      <c r="B4453" s="26" t="s">
        <v>13123</v>
      </c>
    </row>
    <row r="4454" spans="1:2" x14ac:dyDescent="0.25">
      <c r="A4454" s="26" t="s">
        <v>13124</v>
      </c>
      <c r="B4454" s="26" t="s">
        <v>13124</v>
      </c>
    </row>
    <row r="4455" spans="1:2" x14ac:dyDescent="0.25">
      <c r="A4455" s="26" t="s">
        <v>13125</v>
      </c>
      <c r="B4455" s="26" t="s">
        <v>13126</v>
      </c>
    </row>
    <row r="4456" spans="1:2" x14ac:dyDescent="0.25">
      <c r="A4456" s="26" t="s">
        <v>13127</v>
      </c>
      <c r="B4456" s="26" t="s">
        <v>13128</v>
      </c>
    </row>
    <row r="4457" spans="1:2" x14ac:dyDescent="0.25">
      <c r="A4457" s="26" t="s">
        <v>13129</v>
      </c>
      <c r="B4457" s="26" t="s">
        <v>13130</v>
      </c>
    </row>
    <row r="4458" spans="1:2" x14ac:dyDescent="0.25">
      <c r="A4458" s="26" t="s">
        <v>13131</v>
      </c>
      <c r="B4458" s="26" t="s">
        <v>13132</v>
      </c>
    </row>
    <row r="4459" spans="1:2" x14ac:dyDescent="0.25">
      <c r="A4459" s="26" t="s">
        <v>13133</v>
      </c>
      <c r="B4459" s="26" t="s">
        <v>13134</v>
      </c>
    </row>
    <row r="4460" spans="1:2" x14ac:dyDescent="0.25">
      <c r="A4460" s="26" t="s">
        <v>13135</v>
      </c>
      <c r="B4460" s="26" t="s">
        <v>13135</v>
      </c>
    </row>
    <row r="4461" spans="1:2" x14ac:dyDescent="0.25">
      <c r="A4461" s="26" t="s">
        <v>13136</v>
      </c>
      <c r="B4461" s="26" t="s">
        <v>13136</v>
      </c>
    </row>
    <row r="4462" spans="1:2" x14ac:dyDescent="0.25">
      <c r="A4462" s="26" t="s">
        <v>13137</v>
      </c>
      <c r="B4462" s="26" t="s">
        <v>13137</v>
      </c>
    </row>
    <row r="4463" spans="1:2" x14ac:dyDescent="0.25">
      <c r="A4463" s="26" t="s">
        <v>13138</v>
      </c>
      <c r="B4463" s="26" t="s">
        <v>13139</v>
      </c>
    </row>
    <row r="4464" spans="1:2" x14ac:dyDescent="0.25">
      <c r="A4464" s="26" t="s">
        <v>13140</v>
      </c>
      <c r="B4464" s="26" t="s">
        <v>13141</v>
      </c>
    </row>
    <row r="4465" spans="1:2" x14ac:dyDescent="0.25">
      <c r="A4465" s="26" t="s">
        <v>13142</v>
      </c>
      <c r="B4465" s="26" t="s">
        <v>13143</v>
      </c>
    </row>
    <row r="4466" spans="1:2" x14ac:dyDescent="0.25">
      <c r="A4466" s="26" t="s">
        <v>13144</v>
      </c>
      <c r="B4466" s="26" t="s">
        <v>13145</v>
      </c>
    </row>
    <row r="4467" spans="1:2" x14ac:dyDescent="0.25">
      <c r="A4467" s="26" t="s">
        <v>13146</v>
      </c>
      <c r="B4467" s="26" t="s">
        <v>13147</v>
      </c>
    </row>
    <row r="4468" spans="1:2" x14ac:dyDescent="0.25">
      <c r="A4468" s="26" t="s">
        <v>13148</v>
      </c>
      <c r="B4468" s="26" t="s">
        <v>13149</v>
      </c>
    </row>
    <row r="4469" spans="1:2" x14ac:dyDescent="0.25">
      <c r="A4469" s="26" t="s">
        <v>13150</v>
      </c>
      <c r="B4469" s="26" t="s">
        <v>13151</v>
      </c>
    </row>
    <row r="4470" spans="1:2" x14ac:dyDescent="0.25">
      <c r="A4470" s="26" t="s">
        <v>13152</v>
      </c>
      <c r="B4470" s="27"/>
    </row>
    <row r="4471" spans="1:2" x14ac:dyDescent="0.25">
      <c r="A4471" s="26" t="s">
        <v>13153</v>
      </c>
      <c r="B4471" s="26" t="s">
        <v>13154</v>
      </c>
    </row>
    <row r="4472" spans="1:2" x14ac:dyDescent="0.25">
      <c r="A4472" s="26" t="s">
        <v>13155</v>
      </c>
      <c r="B4472" s="26" t="s">
        <v>13156</v>
      </c>
    </row>
    <row r="4473" spans="1:2" x14ac:dyDescent="0.25">
      <c r="A4473" s="26" t="s">
        <v>13157</v>
      </c>
      <c r="B4473" s="26" t="s">
        <v>13158</v>
      </c>
    </row>
    <row r="4474" spans="1:2" x14ac:dyDescent="0.25">
      <c r="A4474" s="26" t="s">
        <v>13159</v>
      </c>
      <c r="B4474" s="26" t="s">
        <v>13160</v>
      </c>
    </row>
    <row r="4475" spans="1:2" x14ac:dyDescent="0.25">
      <c r="A4475" s="26" t="s">
        <v>13161</v>
      </c>
      <c r="B4475" s="26" t="s">
        <v>13162</v>
      </c>
    </row>
    <row r="4476" spans="1:2" x14ac:dyDescent="0.25">
      <c r="A4476" s="26" t="s">
        <v>13163</v>
      </c>
      <c r="B4476" s="27"/>
    </row>
    <row r="4477" spans="1:2" x14ac:dyDescent="0.25">
      <c r="A4477" s="26" t="s">
        <v>13164</v>
      </c>
      <c r="B4477" s="27"/>
    </row>
    <row r="4478" spans="1:2" x14ac:dyDescent="0.25">
      <c r="A4478" s="26" t="s">
        <v>13165</v>
      </c>
      <c r="B4478" s="26" t="s">
        <v>13166</v>
      </c>
    </row>
    <row r="4479" spans="1:2" x14ac:dyDescent="0.25">
      <c r="A4479" s="26" t="s">
        <v>13167</v>
      </c>
      <c r="B4479" s="27"/>
    </row>
    <row r="4480" spans="1:2" x14ac:dyDescent="0.25">
      <c r="A4480" s="2" t="s">
        <v>13026</v>
      </c>
      <c r="B4480" s="2" t="s">
        <v>13027</v>
      </c>
    </row>
    <row r="4481" spans="1:2" x14ac:dyDescent="0.25">
      <c r="A4481" s="2" t="s">
        <v>13028</v>
      </c>
      <c r="B4481" s="2" t="s">
        <v>13029</v>
      </c>
    </row>
    <row r="4482" spans="1:2" x14ac:dyDescent="0.25">
      <c r="A4482" s="2" t="s">
        <v>13030</v>
      </c>
      <c r="B4482" s="2" t="s">
        <v>13031</v>
      </c>
    </row>
    <row r="4483" spans="1:2" x14ac:dyDescent="0.25">
      <c r="A4483" s="2" t="s">
        <v>13032</v>
      </c>
      <c r="B4483" s="2" t="s">
        <v>13031</v>
      </c>
    </row>
    <row r="4484" spans="1:2" x14ac:dyDescent="0.25">
      <c r="A4484" s="2" t="s">
        <v>13033</v>
      </c>
      <c r="B4484" s="2" t="s">
        <v>13034</v>
      </c>
    </row>
    <row r="4485" spans="1:2" x14ac:dyDescent="0.25">
      <c r="A4485" s="2" t="s">
        <v>13035</v>
      </c>
      <c r="B4485" s="2" t="s">
        <v>13036</v>
      </c>
    </row>
    <row r="4486" spans="1:2" x14ac:dyDescent="0.25">
      <c r="A4486" s="2" t="s">
        <v>13037</v>
      </c>
      <c r="B4486" s="2" t="s">
        <v>13038</v>
      </c>
    </row>
    <row r="4487" spans="1:2" x14ac:dyDescent="0.25">
      <c r="A4487" s="2" t="s">
        <v>13039</v>
      </c>
      <c r="B4487" s="2" t="s">
        <v>13040</v>
      </c>
    </row>
    <row r="4488" spans="1:2" x14ac:dyDescent="0.25">
      <c r="A4488" s="2" t="s">
        <v>13041</v>
      </c>
      <c r="B4488" s="2" t="s">
        <v>13042</v>
      </c>
    </row>
    <row r="4489" spans="1:2" x14ac:dyDescent="0.25">
      <c r="A4489" s="2" t="s">
        <v>13043</v>
      </c>
      <c r="B4489" s="2" t="s">
        <v>13044</v>
      </c>
    </row>
    <row r="4490" spans="1:2" x14ac:dyDescent="0.25">
      <c r="A4490" s="2" t="s">
        <v>13045</v>
      </c>
      <c r="B4490" s="2" t="s">
        <v>13046</v>
      </c>
    </row>
    <row r="4491" spans="1:2" x14ac:dyDescent="0.25">
      <c r="A4491" s="2" t="s">
        <v>13047</v>
      </c>
      <c r="B4491" s="2" t="s">
        <v>13048</v>
      </c>
    </row>
    <row r="4492" spans="1:2" x14ac:dyDescent="0.25">
      <c r="A4492" s="2" t="s">
        <v>13049</v>
      </c>
      <c r="B4492" s="2" t="s">
        <v>13050</v>
      </c>
    </row>
    <row r="4493" spans="1:2" x14ac:dyDescent="0.25">
      <c r="A4493" s="2" t="s">
        <v>13051</v>
      </c>
      <c r="B4493" s="2" t="s">
        <v>13052</v>
      </c>
    </row>
    <row r="4494" spans="1:2" x14ac:dyDescent="0.25">
      <c r="A4494" s="2" t="s">
        <v>13053</v>
      </c>
      <c r="B4494" s="2" t="s">
        <v>13054</v>
      </c>
    </row>
    <row r="4495" spans="1:2" x14ac:dyDescent="0.25">
      <c r="A4495" s="2" t="s">
        <v>13055</v>
      </c>
      <c r="B4495" s="2" t="s">
        <v>13056</v>
      </c>
    </row>
    <row r="4496" spans="1:2" x14ac:dyDescent="0.25">
      <c r="A4496" s="2" t="s">
        <v>13057</v>
      </c>
      <c r="B4496" s="2" t="s">
        <v>12916</v>
      </c>
    </row>
    <row r="4497" spans="1:2" x14ac:dyDescent="0.25">
      <c r="A4497" s="2" t="s">
        <v>13058</v>
      </c>
      <c r="B4497" s="2" t="s">
        <v>13059</v>
      </c>
    </row>
    <row r="4498" spans="1:2" x14ac:dyDescent="0.25">
      <c r="A4498" s="2" t="s">
        <v>13060</v>
      </c>
      <c r="B4498" s="2" t="s">
        <v>13061</v>
      </c>
    </row>
    <row r="4499" spans="1:2" x14ac:dyDescent="0.25">
      <c r="A4499" s="2" t="s">
        <v>13062</v>
      </c>
      <c r="B4499" s="2" t="s">
        <v>13063</v>
      </c>
    </row>
    <row r="4500" spans="1:2" x14ac:dyDescent="0.25">
      <c r="A4500" s="2" t="s">
        <v>13064</v>
      </c>
      <c r="B4500" s="2" t="s">
        <v>13065</v>
      </c>
    </row>
    <row r="4501" spans="1:2" x14ac:dyDescent="0.25">
      <c r="A4501" s="2" t="s">
        <v>13066</v>
      </c>
      <c r="B4501" s="2" t="s">
        <v>13067</v>
      </c>
    </row>
    <row r="4502" spans="1:2" x14ac:dyDescent="0.25">
      <c r="A4502" s="2" t="s">
        <v>13068</v>
      </c>
      <c r="B4502" s="2" t="s">
        <v>13069</v>
      </c>
    </row>
    <row r="4503" spans="1:2" x14ac:dyDescent="0.25">
      <c r="A4503" s="2" t="s">
        <v>13070</v>
      </c>
      <c r="B4503" s="2" t="s">
        <v>13071</v>
      </c>
    </row>
    <row r="4504" spans="1:2" x14ac:dyDescent="0.25">
      <c r="A4504" s="2" t="s">
        <v>13072</v>
      </c>
      <c r="B4504" s="2" t="s">
        <v>13073</v>
      </c>
    </row>
    <row r="4505" spans="1:2" x14ac:dyDescent="0.25">
      <c r="A4505" s="2" t="s">
        <v>13074</v>
      </c>
    </row>
    <row r="4506" spans="1:2" x14ac:dyDescent="0.25">
      <c r="A4506" s="2" t="s">
        <v>13075</v>
      </c>
      <c r="B4506" s="2" t="s">
        <v>13076</v>
      </c>
    </row>
    <row r="4507" spans="1:2" x14ac:dyDescent="0.25">
      <c r="A4507" s="2" t="s">
        <v>13077</v>
      </c>
      <c r="B4507" s="2" t="s">
        <v>12934</v>
      </c>
    </row>
    <row r="4508" spans="1:2" x14ac:dyDescent="0.25">
      <c r="A4508" s="2" t="s">
        <v>13078</v>
      </c>
      <c r="B4508" s="2" t="s">
        <v>13078</v>
      </c>
    </row>
    <row r="4509" spans="1:2" x14ac:dyDescent="0.25">
      <c r="A4509" s="2" t="s">
        <v>13079</v>
      </c>
      <c r="B4509" s="2" t="s">
        <v>13080</v>
      </c>
    </row>
    <row r="4510" spans="1:2" x14ac:dyDescent="0.25">
      <c r="A4510" s="2" t="s">
        <v>13081</v>
      </c>
      <c r="B4510" s="2" t="s">
        <v>13082</v>
      </c>
    </row>
    <row r="4511" spans="1:2" x14ac:dyDescent="0.25">
      <c r="A4511" s="2" t="s">
        <v>13083</v>
      </c>
      <c r="B4511" s="2" t="s">
        <v>13084</v>
      </c>
    </row>
    <row r="4512" spans="1:2" x14ac:dyDescent="0.25">
      <c r="A4512" s="2" t="s">
        <v>13085</v>
      </c>
      <c r="B4512" s="2" t="s">
        <v>13086</v>
      </c>
    </row>
    <row r="4513" spans="1:2" x14ac:dyDescent="0.25">
      <c r="A4513" s="2" t="s">
        <v>13087</v>
      </c>
      <c r="B4513" s="2" t="s">
        <v>13088</v>
      </c>
    </row>
    <row r="4514" spans="1:2" x14ac:dyDescent="0.25">
      <c r="A4514" s="2" t="s">
        <v>13089</v>
      </c>
      <c r="B4514" s="2" t="s">
        <v>13090</v>
      </c>
    </row>
    <row r="4515" spans="1:2" x14ac:dyDescent="0.25">
      <c r="A4515" s="2" t="s">
        <v>13091</v>
      </c>
      <c r="B4515" s="2" t="s">
        <v>13091</v>
      </c>
    </row>
    <row r="4516" spans="1:2" x14ac:dyDescent="0.25">
      <c r="A4516" s="2" t="s">
        <v>13092</v>
      </c>
      <c r="B4516" s="2" t="s">
        <v>13093</v>
      </c>
    </row>
    <row r="4517" spans="1:2" x14ac:dyDescent="0.25">
      <c r="A4517" s="2" t="s">
        <v>13094</v>
      </c>
      <c r="B4517" s="2" t="s">
        <v>13095</v>
      </c>
    </row>
    <row r="4518" spans="1:2" x14ac:dyDescent="0.25">
      <c r="A4518" s="2" t="s">
        <v>13096</v>
      </c>
      <c r="B4518" s="2" t="s">
        <v>13097</v>
      </c>
    </row>
    <row r="4519" spans="1:2" x14ac:dyDescent="0.25">
      <c r="A4519" s="2" t="s">
        <v>13098</v>
      </c>
      <c r="B4519" s="2" t="s">
        <v>13099</v>
      </c>
    </row>
    <row r="4520" spans="1:2" x14ac:dyDescent="0.25">
      <c r="A4520" s="2" t="s">
        <v>13100</v>
      </c>
      <c r="B4520" s="2" t="s">
        <v>13101</v>
      </c>
    </row>
    <row r="4521" spans="1:2" x14ac:dyDescent="0.25">
      <c r="A4521" s="2" t="s">
        <v>13102</v>
      </c>
      <c r="B4521" s="2" t="s">
        <v>13103</v>
      </c>
    </row>
    <row r="4522" spans="1:2" x14ac:dyDescent="0.25">
      <c r="A4522" s="2" t="s">
        <v>13104</v>
      </c>
      <c r="B4522" s="2" t="s">
        <v>13079</v>
      </c>
    </row>
    <row r="4523" spans="1:2" x14ac:dyDescent="0.25">
      <c r="A4523" s="2" t="s">
        <v>13105</v>
      </c>
      <c r="B4523" s="2" t="s">
        <v>13106</v>
      </c>
    </row>
    <row r="4524" spans="1:2" x14ac:dyDescent="0.25">
      <c r="A4524" s="2" t="s">
        <v>11021</v>
      </c>
      <c r="B4524" s="2" t="s">
        <v>13107</v>
      </c>
    </row>
    <row r="4525" spans="1:2" x14ac:dyDescent="0.25">
      <c r="A4525" s="2" t="s">
        <v>13108</v>
      </c>
      <c r="B4525" s="2" t="s">
        <v>13109</v>
      </c>
    </row>
    <row r="4526" spans="1:2" x14ac:dyDescent="0.25">
      <c r="A4526" s="2" t="s">
        <v>13110</v>
      </c>
      <c r="B4526" s="2" t="s">
        <v>13111</v>
      </c>
    </row>
    <row r="4527" spans="1:2" x14ac:dyDescent="0.25">
      <c r="A4527" s="2" t="s">
        <v>13112</v>
      </c>
      <c r="B4527" s="2" t="s">
        <v>13113</v>
      </c>
    </row>
    <row r="4528" spans="1:2" x14ac:dyDescent="0.25">
      <c r="A4528" s="2" t="s">
        <v>13114</v>
      </c>
      <c r="B4528" s="2" t="s">
        <v>13115</v>
      </c>
    </row>
    <row r="4529" spans="1:2" x14ac:dyDescent="0.25">
      <c r="A4529" s="2" t="s">
        <v>13116</v>
      </c>
      <c r="B4529" s="2" t="s">
        <v>13117</v>
      </c>
    </row>
    <row r="4530" spans="1:2" x14ac:dyDescent="0.25">
      <c r="A4530" s="2" t="s">
        <v>13118</v>
      </c>
      <c r="B4530" s="2" t="s">
        <v>13119</v>
      </c>
    </row>
    <row r="4531" spans="1:2" x14ac:dyDescent="0.25">
      <c r="A4531" s="2" t="s">
        <v>13120</v>
      </c>
      <c r="B4531" s="2" t="s">
        <v>13121</v>
      </c>
    </row>
    <row r="4532" spans="1:2" x14ac:dyDescent="0.25">
      <c r="A4532" s="2" t="s">
        <v>13122</v>
      </c>
      <c r="B4532" s="2" t="s">
        <v>13123</v>
      </c>
    </row>
    <row r="4533" spans="1:2" x14ac:dyDescent="0.25">
      <c r="A4533" s="2" t="s">
        <v>13124</v>
      </c>
      <c r="B4533" s="2" t="s">
        <v>13124</v>
      </c>
    </row>
    <row r="4534" spans="1:2" x14ac:dyDescent="0.25">
      <c r="A4534" s="2" t="s">
        <v>13125</v>
      </c>
      <c r="B4534" s="2" t="s">
        <v>13126</v>
      </c>
    </row>
    <row r="4535" spans="1:2" x14ac:dyDescent="0.25">
      <c r="A4535" s="2" t="s">
        <v>13127</v>
      </c>
      <c r="B4535" s="2" t="s">
        <v>13128</v>
      </c>
    </row>
    <row r="4536" spans="1:2" x14ac:dyDescent="0.25">
      <c r="A4536" s="2" t="s">
        <v>13129</v>
      </c>
      <c r="B4536" s="2" t="s">
        <v>13130</v>
      </c>
    </row>
    <row r="4537" spans="1:2" x14ac:dyDescent="0.25">
      <c r="A4537" s="2" t="s">
        <v>13131</v>
      </c>
      <c r="B4537" s="2" t="s">
        <v>13132</v>
      </c>
    </row>
    <row r="4538" spans="1:2" x14ac:dyDescent="0.25">
      <c r="A4538" s="2" t="s">
        <v>13133</v>
      </c>
      <c r="B4538" s="2" t="s">
        <v>13134</v>
      </c>
    </row>
    <row r="4539" spans="1:2" x14ac:dyDescent="0.25">
      <c r="A4539" s="2" t="s">
        <v>13135</v>
      </c>
      <c r="B4539" s="2" t="s">
        <v>13135</v>
      </c>
    </row>
    <row r="4540" spans="1:2" x14ac:dyDescent="0.25">
      <c r="A4540" s="2" t="s">
        <v>13136</v>
      </c>
      <c r="B4540" s="2" t="s">
        <v>13136</v>
      </c>
    </row>
    <row r="4541" spans="1:2" x14ac:dyDescent="0.25">
      <c r="A4541" s="2" t="s">
        <v>13137</v>
      </c>
      <c r="B4541" s="2" t="s">
        <v>13137</v>
      </c>
    </row>
    <row r="4542" spans="1:2" x14ac:dyDescent="0.25">
      <c r="A4542" s="2" t="s">
        <v>13138</v>
      </c>
      <c r="B4542" s="2" t="s">
        <v>13139</v>
      </c>
    </row>
    <row r="4543" spans="1:2" x14ac:dyDescent="0.25">
      <c r="A4543" s="2" t="s">
        <v>13140</v>
      </c>
      <c r="B4543" s="2" t="s">
        <v>13141</v>
      </c>
    </row>
    <row r="4544" spans="1:2" x14ac:dyDescent="0.25">
      <c r="A4544" s="2" t="s">
        <v>13142</v>
      </c>
      <c r="B4544" s="2" t="s">
        <v>13143</v>
      </c>
    </row>
    <row r="4545" spans="1:2" x14ac:dyDescent="0.25">
      <c r="A4545" s="2" t="s">
        <v>13144</v>
      </c>
      <c r="B4545" s="2" t="s">
        <v>13145</v>
      </c>
    </row>
    <row r="4546" spans="1:2" x14ac:dyDescent="0.25">
      <c r="A4546" s="2" t="s">
        <v>13146</v>
      </c>
      <c r="B4546" s="2" t="s">
        <v>13147</v>
      </c>
    </row>
    <row r="4547" spans="1:2" x14ac:dyDescent="0.25">
      <c r="A4547" s="2" t="s">
        <v>13148</v>
      </c>
      <c r="B4547" s="2" t="s">
        <v>13149</v>
      </c>
    </row>
    <row r="4548" spans="1:2" x14ac:dyDescent="0.25">
      <c r="A4548" s="2" t="s">
        <v>13150</v>
      </c>
      <c r="B4548" s="2" t="s">
        <v>13151</v>
      </c>
    </row>
    <row r="4549" spans="1:2" x14ac:dyDescent="0.25">
      <c r="A4549" s="2" t="s">
        <v>13152</v>
      </c>
    </row>
    <row r="4550" spans="1:2" x14ac:dyDescent="0.25">
      <c r="A4550" s="2" t="s">
        <v>13153</v>
      </c>
      <c r="B4550" s="2" t="s">
        <v>13154</v>
      </c>
    </row>
    <row r="4551" spans="1:2" x14ac:dyDescent="0.25">
      <c r="A4551" s="2" t="s">
        <v>13155</v>
      </c>
      <c r="B4551" s="2" t="s">
        <v>13156</v>
      </c>
    </row>
    <row r="4552" spans="1:2" x14ac:dyDescent="0.25">
      <c r="A4552" s="2" t="s">
        <v>13157</v>
      </c>
      <c r="B4552" s="2" t="s">
        <v>13158</v>
      </c>
    </row>
    <row r="4553" spans="1:2" x14ac:dyDescent="0.25">
      <c r="A4553" s="2" t="s">
        <v>13159</v>
      </c>
      <c r="B4553" s="2" t="s">
        <v>13160</v>
      </c>
    </row>
    <row r="4554" spans="1:2" x14ac:dyDescent="0.25">
      <c r="A4554" s="2" t="s">
        <v>13161</v>
      </c>
      <c r="B4554" s="2" t="s">
        <v>13162</v>
      </c>
    </row>
    <row r="4555" spans="1:2" x14ac:dyDescent="0.25">
      <c r="A4555" s="2" t="s">
        <v>13163</v>
      </c>
    </row>
    <row r="4556" spans="1:2" x14ac:dyDescent="0.25">
      <c r="A4556" s="2" t="s">
        <v>13164</v>
      </c>
    </row>
    <row r="4557" spans="1:2" x14ac:dyDescent="0.25">
      <c r="A4557" s="2" t="s">
        <v>13165</v>
      </c>
      <c r="B4557" s="2" t="s">
        <v>13166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2024-08-23T13:41:30Z</dcterms:modified>
</cp:coreProperties>
</file>